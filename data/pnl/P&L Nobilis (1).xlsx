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стана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<sst xmlns="http://schemas.openxmlformats.org/spreadsheetml/2006/main" count="228" uniqueCount="99">
  <si>
    <t xml:space="preserve"> Месяцы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</si>
  <si>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</si>
  <si>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</si>
  <si>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</si>
  <si>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</si>
  <si>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</si>
  <si>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</si>
  <si>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</si>
  <si>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</si>
  <si>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</si>
  <si>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</si>
  <si>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</si>
  <si>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</si>
  <si>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ПЛАН</t>
  </si>
  <si>
    <t>ЗП Nobilis Сотрудников</t>
  </si>
  <si>
    <t>100 клиентов 450</t>
  </si>
  <si>
    <t>Выручка</t>
  </si>
  <si>
    <t>ЗП ОП Nobiis</t>
  </si>
  <si>
    <t>Итого Расходы</t>
  </si>
  <si>
    <t>Итого постоянных расходов</t>
  </si>
  <si>
    <t>Фонд оплаты труда (оклады)</t>
  </si>
  <si>
    <t>Аружан</t>
  </si>
  <si>
    <t>Нуртилеу</t>
  </si>
  <si>
    <t>Байғазы Салтанат</t>
  </si>
  <si>
    <t>Расиль Асхат</t>
  </si>
  <si>
    <t>-</t>
  </si>
  <si>
    <t>Дархан</t>
  </si>
  <si>
    <t xml:space="preserve">Эльвира (уборщица) </t>
  </si>
  <si>
    <t>Бахадыр юрист</t>
  </si>
  <si>
    <t>Амина (Дизайнер)</t>
  </si>
  <si>
    <t>Нурым</t>
  </si>
  <si>
    <t>Мадияр</t>
  </si>
  <si>
    <t>Бейбут</t>
  </si>
  <si>
    <t>Мадина Нов</t>
  </si>
  <si>
    <t>Анель</t>
  </si>
  <si>
    <t>Диана(СММ)</t>
  </si>
  <si>
    <t>Абылай(СММ)</t>
  </si>
  <si>
    <t>Маргулан (Видеограф)</t>
  </si>
  <si>
    <t>Бухгалтер</t>
  </si>
  <si>
    <t>Алена</t>
  </si>
  <si>
    <t>Улан</t>
  </si>
  <si>
    <t>Алуа</t>
  </si>
  <si>
    <t>Гульмира</t>
  </si>
  <si>
    <t>Гулим</t>
  </si>
  <si>
    <t>Бекмухмет</t>
  </si>
  <si>
    <t>Аруна</t>
  </si>
  <si>
    <t>Алмат</t>
  </si>
  <si>
    <t>Аманжол</t>
  </si>
  <si>
    <t>Алима</t>
  </si>
  <si>
    <t>Динара колл центр</t>
  </si>
  <si>
    <t>Айгерим колл центр</t>
  </si>
  <si>
    <t>Асем Психолог</t>
  </si>
  <si>
    <t>Асель SAT</t>
  </si>
  <si>
    <t>Ханаби препод матем</t>
  </si>
  <si>
    <t>Диас Международка</t>
  </si>
  <si>
    <t>Темирлан</t>
  </si>
  <si>
    <t>Султан</t>
  </si>
  <si>
    <t>Мерей SAT</t>
  </si>
  <si>
    <t>Miracle IELTS</t>
  </si>
  <si>
    <t>Адип SAT</t>
  </si>
  <si>
    <t>?</t>
  </si>
  <si>
    <t>Дамир SAT</t>
  </si>
  <si>
    <t>Шолпан IELTS</t>
  </si>
  <si>
    <t>Маркетинг (бюджет)</t>
  </si>
  <si>
    <t>ТикТок</t>
  </si>
  <si>
    <t>Инстаграм</t>
  </si>
  <si>
    <t>Wuzzup</t>
  </si>
  <si>
    <t>Bitrix24</t>
  </si>
  <si>
    <t>Bitrix телефония</t>
  </si>
  <si>
    <t>Alfacrm</t>
  </si>
  <si>
    <t>Netflix</t>
  </si>
  <si>
    <t>Алтел телефония</t>
  </si>
  <si>
    <t>Zoom</t>
  </si>
  <si>
    <t>Аренда помещения</t>
  </si>
  <si>
    <t>Аренда кв Атырау</t>
  </si>
  <si>
    <t>Астана телеком</t>
  </si>
  <si>
    <t>Комунальные услуги офиса</t>
  </si>
  <si>
    <t>Итого переменные расходов</t>
  </si>
  <si>
    <t>4 доллара</t>
  </si>
  <si>
    <t xml:space="preserve">1750 лидов </t>
  </si>
  <si>
    <t>60 лидов в день</t>
  </si>
  <si>
    <t>% МОП Мадияр</t>
  </si>
  <si>
    <t>% МОП Анель</t>
  </si>
  <si>
    <t>% МОП Мадина</t>
  </si>
  <si>
    <t>% МОП Динара</t>
  </si>
  <si>
    <t>% МОП Али</t>
  </si>
  <si>
    <t>1% Алмат</t>
  </si>
  <si>
    <t>1% Нурым</t>
  </si>
  <si>
    <t>Подробнее:</t>
  </si>
  <si>
    <t>Косвенные (Накладные) расходы</t>
  </si>
  <si>
    <t>Косвенные (Накладные) расходы Nobilis</t>
  </si>
  <si>
    <t>Ebitda</t>
  </si>
  <si>
    <t xml:space="preserve"> </t>
  </si>
  <si>
    <t>Налоги на сотрудников Оф ТУ (26%)</t>
  </si>
  <si>
    <t>Налог 3%</t>
  </si>
  <si>
    <t>Прибыль</t>
  </si>
  <si>
    <t>Рентабельность</t>
  </si>
  <si>
    <t>Реинвестиция</t>
  </si>
  <si>
    <t>Остатки на счете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</si>
</sst>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u/>
      <color rgb="FF0000FF"/>
      <name val="Arial"/>
    </font>
    <font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sz val="9.0"/>
      <color rgb="FF7E3794"/>
      <name val="&quot;Google Sans Mono&quot;"/>
    </font>
    <font>
      <sz val="11.0"/>
      <color rgb="FF000000"/>
      <name val="Inconsolata"/>
    </font>
    <font>
      <b/>
      <color theme="1"/>
      <name val="Arial"/>
      <scheme val="minor"/>
    </font>
    <font>
      <b/>
      <color theme="1"/>
      <name val="Calibri"/>
    </font>
    <font>
      <u/>
      <color rgb="FF0000FF"/>
      <name val="Calibri"/>
    </font>
    <font>
      <sz val="11.0"/>
      <color theme="1"/>
      <name val="Arial"/>
    </font>
    <font>
      <sz val="9.0"/>
      <color rgb="FF000000"/>
      <name val="&quot;Google Sans Mono&quot;"/>
    </font>
    <font>
      <sz val="13.0"/>
      <color rgb="FF0E0E0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EFF8FF"/>
        <bgColor rgb="FFEFF8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4" fillId="2" fontId="3" numFmtId="0" xfId="0" applyAlignment="1" applyBorder="1" applyFill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3" fontId="1" numFmtId="0" xfId="0" applyAlignment="1" applyBorder="1" applyFill="1" applyFont="1">
      <alignment horizontal="center" shrinkToFit="0" vertical="bottom" wrapText="1"/>
    </xf>
    <xf borderId="7" fillId="3" fontId="1" numFmtId="3" xfId="0" applyAlignment="1" applyBorder="1" applyFont="1" applyNumberFormat="1">
      <alignment horizontal="center" readingOrder="0" vertical="bottom"/>
    </xf>
    <xf borderId="8" fillId="3" fontId="1" numFmtId="3" xfId="0" applyAlignment="1" applyBorder="1" applyFont="1" applyNumberFormat="1">
      <alignment horizontal="center" readingOrder="0" vertical="bottom"/>
    </xf>
    <xf borderId="5" fillId="0" fontId="5" numFmtId="0" xfId="0" applyBorder="1" applyFont="1"/>
    <xf borderId="0" fillId="4" fontId="6" numFmtId="0" xfId="0" applyAlignment="1" applyFill="1" applyFon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9" fillId="3" fontId="1" numFmtId="0" xfId="0" applyAlignment="1" applyBorder="1" applyFont="1">
      <alignment horizontal="center" shrinkToFit="0" vertical="bottom" wrapText="1"/>
    </xf>
    <xf borderId="10" fillId="3" fontId="1" numFmtId="3" xfId="0" applyAlignment="1" applyBorder="1" applyFont="1" applyNumberFormat="1">
      <alignment horizontal="center" readingOrder="0" vertical="bottom"/>
    </xf>
    <xf borderId="9" fillId="2" fontId="3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readingOrder="0" vertical="bottom"/>
    </xf>
    <xf borderId="10" fillId="2" fontId="8" numFmtId="0" xfId="0" applyAlignment="1" applyBorder="1" applyFont="1">
      <alignment horizontal="center"/>
    </xf>
    <xf borderId="0" fillId="4" fontId="3" numFmtId="0" xfId="0" applyAlignment="1" applyFont="1">
      <alignment horizontal="center" readingOrder="0" vertical="bottom"/>
    </xf>
    <xf borderId="11" fillId="5" fontId="1" numFmtId="0" xfId="0" applyAlignment="1" applyBorder="1" applyFill="1" applyFont="1">
      <alignment horizontal="center" shrinkToFit="0" vertical="bottom" wrapText="1"/>
    </xf>
    <xf borderId="8" fillId="5" fontId="1" numFmtId="3" xfId="0" applyAlignment="1" applyBorder="1" applyFont="1" applyNumberFormat="1">
      <alignment horizontal="center" vertical="bottom"/>
    </xf>
    <xf borderId="12" fillId="5" fontId="2" numFmtId="0" xfId="0" applyAlignment="1" applyBorder="1" applyFont="1">
      <alignment horizontal="center" shrinkToFit="0" vertical="bottom" wrapText="1"/>
    </xf>
    <xf borderId="4" fillId="5" fontId="2" numFmtId="3" xfId="0" applyAlignment="1" applyBorder="1" applyFont="1" applyNumberFormat="1">
      <alignment horizontal="center" vertical="bottom"/>
    </xf>
    <xf borderId="0" fillId="4" fontId="3" numFmtId="3" xfId="0" applyAlignment="1" applyFont="1" applyNumberFormat="1">
      <alignment horizontal="center" vertical="bottom"/>
    </xf>
    <xf borderId="12" fillId="4" fontId="2" numFmtId="0" xfId="0" applyAlignment="1" applyBorder="1" applyFont="1">
      <alignment horizontal="center" shrinkToFit="0" vertical="bottom" wrapText="1"/>
    </xf>
    <xf borderId="4" fillId="4" fontId="3" numFmtId="3" xfId="0" applyAlignment="1" applyBorder="1" applyFont="1" applyNumberFormat="1">
      <alignment horizontal="center" vertical="bottom"/>
    </xf>
    <xf borderId="4" fillId="4" fontId="3" numFmtId="3" xfId="0" applyAlignment="1" applyBorder="1" applyFont="1" applyNumberFormat="1">
      <alignment horizontal="center" readingOrder="0" vertical="bottom"/>
    </xf>
    <xf borderId="4" fillId="0" fontId="9" numFmtId="0" xfId="0" applyAlignment="1" applyBorder="1" applyFont="1">
      <alignment horizontal="center" readingOrder="0" vertical="bottom"/>
    </xf>
    <xf borderId="4" fillId="0" fontId="9" numFmtId="3" xfId="0" applyAlignment="1" applyBorder="1" applyFont="1" applyNumberFormat="1">
      <alignment horizontal="center" readingOrder="0" vertical="bottom"/>
    </xf>
    <xf borderId="1" fillId="0" fontId="9" numFmtId="3" xfId="0" applyAlignment="1" applyBorder="1" applyFont="1" applyNumberFormat="1">
      <alignment horizontal="center" readingOrder="0"/>
    </xf>
    <xf borderId="13" fillId="0" fontId="9" numFmtId="3" xfId="0" applyAlignment="1" applyBorder="1" applyFont="1" applyNumberFormat="1">
      <alignment horizontal="center" readingOrder="0"/>
    </xf>
    <xf borderId="4" fillId="4" fontId="3" numFmtId="3" xfId="0" applyAlignment="1" applyBorder="1" applyFont="1" applyNumberFormat="1">
      <alignment horizontal="center" vertical="bottom"/>
    </xf>
    <xf borderId="8" fillId="2" fontId="1" numFmtId="3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2" fillId="0" fontId="9" numFmtId="3" xfId="0" applyAlignment="1" applyBorder="1" applyFont="1" applyNumberFormat="1">
      <alignment horizontal="center" readingOrder="0" vertical="bottom"/>
    </xf>
    <xf borderId="14" fillId="0" fontId="9" numFmtId="0" xfId="0" applyAlignment="1" applyBorder="1" applyFont="1">
      <alignment horizontal="center" vertical="bottom"/>
    </xf>
    <xf borderId="4" fillId="0" fontId="9" numFmtId="3" xfId="0" applyAlignment="1" applyBorder="1" applyFont="1" applyNumberFormat="1">
      <alignment horizontal="center" vertical="bottom"/>
    </xf>
    <xf borderId="14" fillId="0" fontId="9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/>
    </xf>
    <xf borderId="0" fillId="4" fontId="10" numFmtId="3" xfId="0" applyAlignment="1" applyFont="1" applyNumberFormat="1">
      <alignment horizontal="center"/>
    </xf>
    <xf borderId="0" fillId="4" fontId="11" numFmtId="0" xfId="0" applyAlignment="1" applyFont="1">
      <alignment horizontal="center" readingOrder="0" vertical="bottom"/>
    </xf>
    <xf borderId="12" fillId="4" fontId="3" numFmtId="0" xfId="0" applyAlignment="1" applyBorder="1" applyFont="1">
      <alignment horizontal="center" readingOrder="0" shrinkToFit="0" vertical="bottom" wrapText="1"/>
    </xf>
    <xf borderId="12" fillId="4" fontId="3" numFmtId="0" xfId="0" applyAlignment="1" applyBorder="1" applyFont="1">
      <alignment horizontal="center" shrinkToFit="0" vertical="bottom" wrapText="1"/>
    </xf>
    <xf borderId="4" fillId="4" fontId="2" numFmtId="3" xfId="0" applyAlignment="1" applyBorder="1" applyFont="1" applyNumberFormat="1">
      <alignment horizontal="center" readingOrder="0" vertical="bottom"/>
    </xf>
    <xf borderId="0" fillId="4" fontId="2" numFmtId="0" xfId="0" applyAlignment="1" applyFont="1">
      <alignment horizontal="center" vertical="bottom"/>
    </xf>
    <xf borderId="0" fillId="0" fontId="12" numFmtId="0" xfId="0" applyAlignment="1" applyFont="1">
      <alignment horizontal="center"/>
    </xf>
    <xf borderId="4" fillId="6" fontId="3" numFmtId="3" xfId="0" applyAlignment="1" applyBorder="1" applyFill="1" applyFont="1" applyNumberFormat="1">
      <alignment horizontal="center" readingOrder="0" vertical="bottom"/>
    </xf>
    <xf borderId="4" fillId="0" fontId="3" numFmtId="3" xfId="0" applyAlignment="1" applyBorder="1" applyFont="1" applyNumberFormat="1">
      <alignment horizontal="center" readingOrder="0" vertical="bottom"/>
    </xf>
    <xf borderId="4" fillId="6" fontId="3" numFmtId="3" xfId="0" applyAlignment="1" applyBorder="1" applyFont="1" applyNumberFormat="1">
      <alignment horizontal="center" readingOrder="0" vertical="bottom"/>
    </xf>
    <xf borderId="4" fillId="6" fontId="3" numFmtId="3" xfId="0" applyAlignment="1" applyBorder="1" applyFont="1" applyNumberFormat="1">
      <alignment horizontal="center" vertical="bottom"/>
    </xf>
    <xf borderId="4" fillId="4" fontId="3" numFmtId="3" xfId="0" applyAlignment="1" applyBorder="1" applyFont="1" applyNumberFormat="1">
      <alignment horizontal="center" readingOrder="0" vertical="bottom"/>
    </xf>
    <xf borderId="12" fillId="2" fontId="3" numFmtId="0" xfId="0" applyAlignment="1" applyBorder="1" applyFont="1">
      <alignment horizontal="center" vertical="bottom"/>
    </xf>
    <xf borderId="4" fillId="2" fontId="3" numFmtId="3" xfId="0" applyAlignment="1" applyBorder="1" applyFont="1" applyNumberFormat="1">
      <alignment horizontal="center" vertical="bottom"/>
    </xf>
    <xf borderId="4" fillId="2" fontId="3" numFmtId="3" xfId="0" applyAlignment="1" applyBorder="1" applyFont="1" applyNumberFormat="1">
      <alignment horizontal="center" vertical="bottom"/>
    </xf>
    <xf borderId="7" fillId="5" fontId="2" numFmtId="3" xfId="0" applyAlignment="1" applyBorder="1" applyFont="1" applyNumberFormat="1">
      <alignment horizontal="center" vertical="bottom"/>
    </xf>
    <xf borderId="15" fillId="2" fontId="3" numFmtId="0" xfId="0" applyAlignment="1" applyBorder="1" applyFont="1">
      <alignment horizontal="center" readingOrder="0" shrinkToFit="0" vertical="bottom" wrapText="1"/>
    </xf>
    <xf borderId="10" fillId="2" fontId="1" numFmtId="3" xfId="0" applyAlignment="1" applyBorder="1" applyFont="1" applyNumberFormat="1">
      <alignment horizontal="center" readingOrder="0" vertical="bottom"/>
    </xf>
    <xf borderId="4" fillId="7" fontId="1" numFmtId="3" xfId="0" applyAlignment="1" applyBorder="1" applyFill="1" applyFont="1" applyNumberFormat="1">
      <alignment horizontal="center" readingOrder="0" vertical="bottom"/>
    </xf>
    <xf borderId="15" fillId="2" fontId="3" numFmtId="0" xfId="0" applyAlignment="1" applyBorder="1" applyFont="1">
      <alignment horizontal="center" vertical="bottom"/>
    </xf>
    <xf borderId="10" fillId="2" fontId="3" numFmtId="3" xfId="0" applyAlignment="1" applyBorder="1" applyFont="1" applyNumberFormat="1">
      <alignment horizontal="center" vertical="bottom"/>
    </xf>
    <xf borderId="10" fillId="2" fontId="3" numFmtId="3" xfId="0" applyAlignment="1" applyBorder="1" applyFont="1" applyNumberFormat="1">
      <alignment horizontal="center" vertical="bottom"/>
    </xf>
    <xf borderId="0" fillId="4" fontId="13" numFmtId="0" xfId="0" applyAlignment="1" applyFont="1">
      <alignment horizontal="center" vertical="bottom"/>
    </xf>
    <xf borderId="0" fillId="4" fontId="14" numFmtId="0" xfId="0" applyAlignment="1" applyFont="1">
      <alignment horizontal="center" readingOrder="0" vertical="bottom"/>
    </xf>
    <xf borderId="11" fillId="2" fontId="3" numFmtId="0" xfId="0" applyAlignment="1" applyBorder="1" applyFont="1">
      <alignment horizontal="center" vertical="bottom"/>
    </xf>
    <xf borderId="8" fillId="2" fontId="3" numFmtId="3" xfId="0" applyAlignment="1" applyBorder="1" applyFont="1" applyNumberFormat="1">
      <alignment horizontal="center" vertical="bottom"/>
    </xf>
    <xf borderId="8" fillId="2" fontId="3" numFmtId="3" xfId="0" applyAlignment="1" applyBorder="1" applyFont="1" applyNumberFormat="1">
      <alignment horizontal="center" vertical="bottom"/>
    </xf>
    <xf borderId="11" fillId="8" fontId="2" numFmtId="0" xfId="0" applyAlignment="1" applyBorder="1" applyFill="1" applyFont="1">
      <alignment horizontal="center" shrinkToFit="0" vertical="bottom" wrapText="1"/>
    </xf>
    <xf borderId="8" fillId="8" fontId="1" numFmtId="3" xfId="0" applyAlignment="1" applyBorder="1" applyFont="1" applyNumberFormat="1">
      <alignment horizontal="center" vertical="bottom"/>
    </xf>
    <xf borderId="8" fillId="8" fontId="1" numFmtId="3" xfId="0" applyAlignment="1" applyBorder="1" applyFont="1" applyNumberFormat="1">
      <alignment horizontal="center" readingOrder="0" vertical="bottom"/>
    </xf>
    <xf borderId="11" fillId="6" fontId="1" numFmtId="0" xfId="0" applyAlignment="1" applyBorder="1" applyFont="1">
      <alignment horizontal="center" shrinkToFit="0" vertical="bottom" wrapText="1"/>
    </xf>
    <xf borderId="8" fillId="6" fontId="1" numFmtId="3" xfId="0" applyAlignment="1" applyBorder="1" applyFont="1" applyNumberFormat="1">
      <alignment horizontal="center" vertical="bottom"/>
    </xf>
    <xf borderId="14" fillId="9" fontId="3" numFmtId="0" xfId="0" applyAlignment="1" applyBorder="1" applyFill="1" applyFont="1">
      <alignment horizontal="center" shrinkToFit="0" vertical="bottom" wrapText="1"/>
    </xf>
    <xf borderId="4" fillId="9" fontId="15" numFmtId="10" xfId="0" applyAlignment="1" applyBorder="1" applyFont="1" applyNumberFormat="1">
      <alignment horizontal="center" vertical="bottom"/>
    </xf>
    <xf borderId="14" fillId="4" fontId="1" numFmtId="0" xfId="0" applyAlignment="1" applyBorder="1" applyFont="1">
      <alignment horizontal="center" readingOrder="0" shrinkToFit="0" vertical="bottom" wrapText="1"/>
    </xf>
    <xf borderId="4" fillId="4" fontId="3" numFmtId="0" xfId="0" applyAlignment="1" applyBorder="1" applyFont="1">
      <alignment horizontal="center" vertical="bottom"/>
    </xf>
    <xf borderId="0" fillId="4" fontId="3" numFmtId="3" xfId="0" applyAlignment="1" applyFont="1" applyNumberFormat="1">
      <alignment horizontal="center" readingOrder="0" vertical="bottom"/>
    </xf>
    <xf borderId="14" fillId="4" fontId="1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vertical="bottom"/>
    </xf>
    <xf borderId="7" fillId="0" fontId="5" numFmtId="0" xfId="0" applyBorder="1" applyFont="1"/>
    <xf borderId="14" fillId="0" fontId="5" numFmtId="0" xfId="0" applyBorder="1" applyFont="1"/>
    <xf borderId="17" fillId="0" fontId="5" numFmtId="0" xfId="0" applyBorder="1" applyFont="1"/>
    <xf borderId="4" fillId="0" fontId="5" numFmtId="0" xfId="0" applyBorder="1" applyFont="1"/>
    <xf borderId="0" fillId="10" fontId="3" numFmtId="0" xfId="0" applyAlignment="1" applyFill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vertical="top"/>
    </xf>
    <xf borderId="0" fillId="0" fontId="3" numFmtId="3" xfId="0" applyAlignment="1" applyFont="1" applyNumberFormat="1">
      <alignment horizontal="center" vertical="bottom"/>
    </xf>
    <xf borderId="0" fillId="4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4" fillId="0" fontId="3" numFmtId="3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18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K1njEHBcFWNKAb58Unj5OYFoRk5i-QHcHsE4Po6cBM/edit?gid=2071355684" TargetMode="External"/><Relationship Id="rId2" Type="http://schemas.openxmlformats.org/officeDocument/2006/relationships/hyperlink" Target="https://docs.google.com/spreadsheets/d/1JJd44_6b1hsmD6e8liei_zzkkh-GYab6gE4K23IJPVI/edit?gid=0" TargetMode="External"/><Relationship Id="rId3" Type="http://schemas.openxmlformats.org/officeDocument/2006/relationships/hyperlink" Target="https://docs.google.com/spreadsheets/d/1oy6_TeFCrvZNUBTjP_AzSf4fSBEgSiLEDY2uYc9J7LE/edit?usp=sharin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4.0"/>
    <col customWidth="1" min="27" max="27" width="19.13"/>
    <col customWidth="1" min="35" max="35" width="15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12</v>
      </c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6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6"/>
    </row>
    <row r="3">
      <c r="A3" s="9" t="s">
        <v>13</v>
      </c>
      <c r="B3" s="10">
        <v>2.0E7</v>
      </c>
      <c r="C3" s="10">
        <v>4.0E7</v>
      </c>
      <c r="D3" s="10">
        <v>6.0E7</v>
      </c>
      <c r="E3" s="10">
        <v>6.0E7</v>
      </c>
      <c r="F3" s="11">
        <v>4.0E7</v>
      </c>
      <c r="G3" s="11">
        <v>4.0E7</v>
      </c>
      <c r="H3" s="11">
        <v>3.0E7</v>
      </c>
      <c r="I3" s="11">
        <v>3.0E7</v>
      </c>
      <c r="J3" s="11">
        <v>3.0E7</v>
      </c>
      <c r="K3" s="11">
        <v>3.0E7</v>
      </c>
      <c r="L3" s="11">
        <v>3.0E7</v>
      </c>
      <c r="M3" s="11">
        <v>3.0E7</v>
      </c>
      <c r="N3" s="11">
        <v>3.0E7</v>
      </c>
      <c r="O3" s="11">
        <v>3.0E7</v>
      </c>
      <c r="P3" s="11">
        <v>3.0E7</v>
      </c>
      <c r="Q3" s="11">
        <v>3.0E7</v>
      </c>
      <c r="R3" s="11">
        <v>3.0E7</v>
      </c>
      <c r="S3" s="11">
        <v>3.0E7</v>
      </c>
      <c r="T3" s="11">
        <v>3.0E7</v>
      </c>
      <c r="U3" s="11">
        <v>3.0E7</v>
      </c>
      <c r="V3" s="11">
        <v>3.0E7</v>
      </c>
      <c r="W3" s="11">
        <v>3.0E7</v>
      </c>
      <c r="X3" s="11">
        <v>3.0E7</v>
      </c>
      <c r="Y3" s="11">
        <v>3.0E7</v>
      </c>
      <c r="Z3" s="12"/>
      <c r="AA3" s="13" t="s">
        <v>14</v>
      </c>
      <c r="AB3" s="14"/>
      <c r="AC3" s="14"/>
      <c r="AD3" s="14"/>
      <c r="AE3" s="14"/>
      <c r="AF3" s="14"/>
      <c r="AG3" s="14"/>
      <c r="AH3" s="14"/>
      <c r="AI3" s="15" t="s">
        <v>15</v>
      </c>
      <c r="AJ3" s="14"/>
      <c r="AK3" s="14"/>
      <c r="AL3" s="14"/>
      <c r="AM3" s="14"/>
      <c r="AN3" s="14"/>
      <c r="AO3" s="6"/>
    </row>
    <row r="4">
      <c r="A4" s="16" t="s">
        <v>16</v>
      </c>
      <c r="B4" s="17">
        <f>IFERROR(__xludf.DUMMYFUNCTION("IMPORTRANGE(""https://docs.google.com/spreadsheets/d/1JJd44_6b1hsmD6e8liei_zzkkh-GYab6gE4K23IJPVI/edit?gid=0#gid=0&amp;range=H11"",""'Лист1'!H11"")"),9722385.0)</f>
        <v>9722385</v>
      </c>
      <c r="C4" s="17">
        <f>IFERROR(__xludf.DUMMYFUNCTION("IMPORTRANGE(""https://docs.google.com/spreadsheets/d/1JJd44_6b1hsmD6e8liei_zzkkh-GYab6gE4K23IJPVI/edit?gid=0#gid=0&amp;range=H38"",""'Лист1'!H38"")+B81"),1.481189575E7)</f>
        <v>14811895.75</v>
      </c>
      <c r="D4" s="17">
        <f>IFERROR(__xludf.DUMMYFUNCTION("IMPORTRANGE(""https://docs.google.com/spreadsheets/d/1JJd44_6b1hsmD6e8liei_zzkkh-GYab6gE4K23IJPVI/edit?gid=0#gid=0&amp;range=H69"",""'Лист1'!H65"")+C81"),1.40641420525E7)</f>
        <v>14064142.05</v>
      </c>
      <c r="E4" s="17">
        <f>IFERROR(__xludf.DUMMYFUNCTION("IMPORTRANGE(""https://docs.google.com/spreadsheets/d/1JJd44_6b1hsmD6e8liei_zzkkh-GYab6gE4K23IJPVI/edit?gid=0#gid=0&amp;range=H69"",""'Лист1'!H92"")+D81"),2.9388737887500003E7)</f>
        <v>29388737.89</v>
      </c>
      <c r="F4" s="17">
        <f>IFERROR(__xludf.DUMMYFUNCTION("IMPORTRANGE(""https://docs.google.com/spreadsheets/d/1JJd44_6b1hsmD6e8liei_zzkkh-GYab6gE4K23IJPVI/edit?gid=0#gid=0&amp;range=H69"",""'Лист1'!H119"")+E81"),4.05288006875E7)</f>
        <v>40528800.69</v>
      </c>
      <c r="G4" s="17">
        <f>IFERROR(__xludf.DUMMYFUNCTION("IMPORTRANGE(""https://docs.google.com/spreadsheets/d/1JJd44_6b1hsmD6e8liei_zzkkh-GYab6gE4K23IJPVI/edit?gid=0#gid=0&amp;range=H69"",""'Лист1'!H146"")+F81"),2.7106900155E7)</f>
        <v>27106900.16</v>
      </c>
      <c r="H4" s="17">
        <f>IFERROR(__xludf.DUMMYFUNCTION("IMPORTRANGE(""https://docs.google.com/spreadsheets/d/1JJd44_6b1hsmD6e8liei_zzkkh-GYab6gE4K23IJPVI/edit?gid=0#gid=0&amp;range=H69"",""'Лист1'!H173"")+G81"),1.345466434E7)</f>
        <v>13454664.34</v>
      </c>
      <c r="I4" s="17">
        <f>IFERROR(__xludf.DUMMYFUNCTION("IMPORTRANGE(""https://docs.google.com/spreadsheets/d/1JJd44_6b1hsmD6e8liei_zzkkh-GYab6gE4K23IJPVI/edit?gid=0#gid=0&amp;range=H69"",""'Лист1'!H200"")+H81"),-3727187.794999998)</f>
        <v>-3727187.795</v>
      </c>
      <c r="J4" s="17">
        <f>IFERROR(__xludf.DUMMYFUNCTION("IMPORTRANGE(""https://docs.google.com/spreadsheets/d/1JJd44_6b1hsmD6e8liei_zzkkh-GYab6gE4K23IJPVI/edit?gid=0#gid=0&amp;range=H69"",""'Лист1'!H227"")+I81"),-2588853.4049999975)</f>
        <v>-2588853.405</v>
      </c>
      <c r="K4" s="17">
        <f>IFERROR(__xludf.DUMMYFUNCTION("IMPORTRANGE(""https://docs.google.com/spreadsheets/d/1JJd44_6b1hsmD6e8liei_zzkkh-GYab6gE4K23IJPVI/edit?gid=0#gid=0&amp;range=H69"",""'Лист1'!H254"")+J81"),-6223925.497999996)</f>
        <v>-6223925.498</v>
      </c>
      <c r="L4" s="17">
        <f>IFERROR(__xludf.DUMMYFUNCTION("IMPORTRANGE(""https://docs.google.com/spreadsheets/d/1JJd44_6b1hsmD6e8liei_zzkkh-GYab6gE4K23IJPVI/edit?gid=0#gid=0&amp;range=H69"",""'Лист1'!H281"")+K81"),-9520469.274999999)</f>
        <v>-9520469.275</v>
      </c>
      <c r="M4" s="17">
        <f>IFERROR(__xludf.DUMMYFUNCTION("IMPORTRANGE(""https://docs.google.com/spreadsheets/d/1JJd44_6b1hsmD6e8liei_zzkkh-GYab6gE4K23IJPVI/edit?gid=0#gid=0&amp;range=H69"",""'Лист1'!H308"")+L81"),-1.3206207075E7)</f>
        <v>-13206207.08</v>
      </c>
      <c r="N4" s="17">
        <f>IFERROR(__xludf.DUMMYFUNCTION("IMPORTRANGE(""https://docs.google.com/spreadsheets/d/1JJd44_6b1hsmD6e8liei_zzkkh-GYab6gE4K23IJPVI/edit?gid=0#gid=0&amp;range=H69"",""'Лист1'!H335"")+M81"),-1.8136548075E7)</f>
        <v>-18136548.08</v>
      </c>
      <c r="O4" s="17">
        <f>IFERROR(__xludf.DUMMYFUNCTION("IMPORTRANGE(""https://docs.google.com/spreadsheets/d/1JJd44_6b1hsmD6e8liei_zzkkh-GYab6gE4K23IJPVI/edit?gid=0#gid=0&amp;range=H69"",""'Лист1'!H362"")+N81"),-1.75882513375E7)</f>
        <v>-17588251.34</v>
      </c>
      <c r="P4" s="17">
        <f>IFERROR(__xludf.DUMMYFUNCTION("IMPORTRANGE(""https://docs.google.com/spreadsheets/d/1JJd44_6b1hsmD6e8liei_zzkkh-GYab6gE4K23IJPVI/edit?gid=0#gid=0&amp;range=H69"",""'Лист1'!H389"")+O81"),-1.3226079237499997E7)</f>
        <v>-13226079.24</v>
      </c>
      <c r="Q4" s="17">
        <f>IFERROR(__xludf.DUMMYFUNCTION("IMPORTRANGE(""https://docs.google.com/spreadsheets/d/1JJd44_6b1hsmD6e8liei_zzkkh-GYab6gE4K23IJPVI/edit?gid=0#gid=0&amp;range=H69"",""'Лист1'!H416"")+P81"),-8490441.035499997)</f>
        <v>-8490441.036</v>
      </c>
      <c r="R4" s="17">
        <f>IFERROR(__xludf.DUMMYFUNCTION("IMPORTRANGE(""https://docs.google.com/spreadsheets/d/1JJd44_6b1hsmD6e8liei_zzkkh-GYab6gE4K23IJPVI/edit?gid=0#gid=0&amp;range=H69"",""'Лист1'!H443"")+Q81"),-4878125.823999997)</f>
        <v>-4878125.824</v>
      </c>
      <c r="S4" s="17">
        <f>IFERROR(__xludf.DUMMYFUNCTION("IMPORTRANGE(""https://docs.google.com/spreadsheets/d/1JJd44_6b1hsmD6e8liei_zzkkh-GYab6gE4K23IJPVI/edit?gid=0#gid=0&amp;range=H69"",""'Лист1'!H470"")+R81"),-7165054.8939999975)</f>
        <v>-7165054.894</v>
      </c>
      <c r="T4" s="17">
        <f>IFERROR(__xludf.DUMMYFUNCTION("IMPORTRANGE(""https://docs.google.com/spreadsheets/d/1JJd44_6b1hsmD6e8liei_zzkkh-GYab6gE4K23IJPVI/edit?gid=0#gid=0&amp;range=H69"",""'Лист1'!H497"")+S81"),-9931842.9225)</f>
        <v>-9931842.923</v>
      </c>
      <c r="U4" s="17">
        <f>IFERROR(__xludf.DUMMYFUNCTION("IMPORTRANGE(""https://docs.google.com/spreadsheets/d/1JJd44_6b1hsmD6e8liei_zzkkh-GYab6gE4K23IJPVI/edit?gid=0#gid=0&amp;range=H69"",""'Лист1'!H335"")+T81"),-1.4675321980499998E7)</f>
        <v>-14675321.98</v>
      </c>
      <c r="V4" s="17">
        <f>IFERROR(__xludf.DUMMYFUNCTION("IMPORTRANGE(""https://docs.google.com/spreadsheets/d/1JJd44_6b1hsmD6e8liei_zzkkh-GYab6gE4K23IJPVI/edit?gid=0#gid=0&amp;range=H69"",""'Лист1'!H335"")+U81"),-1.95230905285E7)</f>
        <v>-19523090.53</v>
      </c>
      <c r="W4" s="17">
        <f>IFERROR(__xludf.DUMMYFUNCTION("IMPORTRANGE(""https://docs.google.com/spreadsheets/d/1JJd44_6b1hsmD6e8liei_zzkkh-GYab6gE4K23IJPVI/edit?gid=0#gid=0&amp;range=H69"",""'Лист1'!H335"")+V81"),-2.43708590765E7)</f>
        <v>-24370859.08</v>
      </c>
      <c r="X4" s="17">
        <f>IFERROR(__xludf.DUMMYFUNCTION("IMPORTRANGE(""https://docs.google.com/spreadsheets/d/1JJd44_6b1hsmD6e8liei_zzkkh-GYab6gE4K23IJPVI/edit?gid=0#gid=0&amp;range=H69"",""'Лист1'!H335"")+W81"),-2.92186276245E7)</f>
        <v>-29218627.62</v>
      </c>
      <c r="Y4" s="17">
        <f>IFERROR(__xludf.DUMMYFUNCTION("IMPORTRANGE(""https://docs.google.com/spreadsheets/d/1JJd44_6b1hsmD6e8liei_zzkkh-GYab6gE4K23IJPVI/edit?gid=0#gid=0&amp;range=H69"",""'Лист1'!H335"")+X81"),-3.40663961725E7)</f>
        <v>-34066396.17</v>
      </c>
      <c r="Z4" s="12"/>
      <c r="AA4" s="13" t="s">
        <v>17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6"/>
    </row>
    <row r="5">
      <c r="A5" s="18"/>
      <c r="B5" s="19">
        <v>1.182E7</v>
      </c>
      <c r="C5" s="20">
        <f>IFERROR(__xludf.DUMMYFUNCTION("IMPORTRANGE(""https://docs.google.com/spreadsheets/d/1JJd44_6b1hsmD6e8liei_zzkkh-GYab6gE4K23IJPVI/edit?gid=0#gid=0&amp;range=H42"",""'Лист1'!H42"")"),1.62E7)</f>
        <v>16200000</v>
      </c>
      <c r="D5" s="20">
        <f>IFERROR(__xludf.DUMMYFUNCTION("IMPORTRANGE(""https://docs.google.com/spreadsheets/d/1JJd44_6b1hsmD6e8liei_zzkkh-GYab6gE4K23IJPVI/edit?gid=0#gid=0&amp;range=H69"",""'Лист1'!H69"")"),1.446E7)</f>
        <v>14460000</v>
      </c>
      <c r="E5" s="20">
        <f>IFERROR(__xludf.DUMMYFUNCTION("IMPORTRANGE(""https://docs.google.com/spreadsheets/d/1JJd44_6b1hsmD6e8liei_zzkkh-GYab6gE4K23IJPVI/edit?gid=0#gid=0&amp;range=H65"",""'Лист1'!H96"")"),3.43E7)</f>
        <v>34300000</v>
      </c>
      <c r="F5" s="20">
        <f>IFERROR(__xludf.DUMMYFUNCTION("IMPORTRANGE(""https://docs.google.com/spreadsheets/d/1JJd44_6b1hsmD6e8liei_zzkkh-GYab6gE4K23IJPVI/edit?gid=0#gid=0&amp;range=H123"",""'Лист1'!H123"")"),3.282E7)</f>
        <v>32820000</v>
      </c>
      <c r="G5" s="20">
        <f>IFERROR(__xludf.DUMMYFUNCTION("IMPORTRANGE(""https://docs.google.com/spreadsheets/d/1JJd44_6b1hsmD6e8liei_zzkkh-GYab6gE4K23IJPVI/edit?gid=0#gid=0&amp;range=H123"",""'Лист1'!H150"")"),1.887E7)</f>
        <v>18870000</v>
      </c>
      <c r="H5" s="20">
        <f>IFERROR(__xludf.DUMMYFUNCTION("IMPORTRANGE(""https://docs.google.com/spreadsheets/d/1JJd44_6b1hsmD6e8liei_zzkkh-GYab6gE4K23IJPVI/edit?gid=0#gid=0&amp;range=H123"",""'Лист1'!H177"")"),8945000.0)</f>
        <v>8945000</v>
      </c>
      <c r="I5" s="20">
        <f>IFERROR(__xludf.DUMMYFUNCTION("IMPORTRANGE(""https://docs.google.com/spreadsheets/d/1JJd44_6b1hsmD6e8liei_zzkkh-GYab6gE4K23IJPVI/edit?gid=0#gid=0&amp;range=H123"",""'Лист1'!H204"")"),7470000.0)</f>
        <v>7470000</v>
      </c>
      <c r="J5" s="20">
        <f>IFERROR(__xludf.DUMMYFUNCTION("IMPORTRANGE(""https://docs.google.com/spreadsheets/d/1JJd44_6b1hsmD6e8liei_zzkkh-GYab6gE4K23IJPVI/edit?gid=0#gid=0&amp;range=H123"",""'Лист1'!H231"")"),1.7271E7)</f>
        <v>17271000</v>
      </c>
      <c r="K5" s="20">
        <f>IFERROR(__xludf.DUMMYFUNCTION("IMPORTRANGE(""https://docs.google.com/spreadsheets/d/1JJd44_6b1hsmD6e8liei_zzkkh-GYab6gE4K23IJPVI/edit?gid=0#gid=0&amp;range=H123"",""'Лист1'!H258"")"),1.0081E7)</f>
        <v>10081000</v>
      </c>
      <c r="L5" s="20">
        <f>IFERROR(__xludf.DUMMYFUNCTION("IMPORTRANGE(""https://docs.google.com/spreadsheets/d/1JJd44_6b1hsmD6e8liei_zzkkh-GYab6gE4K23IJPVI/edit?gid=0#gid=0&amp;range=H123"",""'Лист1'!H285"")"),8285000.0)</f>
        <v>8285000</v>
      </c>
      <c r="M5" s="20">
        <f>IFERROR(__xludf.DUMMYFUNCTION("IMPORTRANGE(""https://docs.google.com/spreadsheets/d/1JJd44_6b1hsmD6e8liei_zzkkh-GYab6gE4K23IJPVI/edit?gid=0#gid=0&amp;range=H123"",""'Лист1'!H312"")"),6415000.0)</f>
        <v>6415000</v>
      </c>
      <c r="N5" s="20">
        <f>IFERROR(__xludf.DUMMYFUNCTION("IMPORTRANGE(""https://docs.google.com/spreadsheets/d/1JJd44_6b1hsmD6e8liei_zzkkh-GYab6gE4K23IJPVI/edit?gid=0#gid=0&amp;range=H123"",""'Лист1'!H339"")"),3525000.0)</f>
        <v>3525000</v>
      </c>
      <c r="O5" s="20">
        <f>IFERROR(__xludf.DUMMYFUNCTION("IMPORTRANGE(""https://docs.google.com/spreadsheets/d/1JJd44_6b1hsmD6e8liei_zzkkh-GYab6gE4K23IJPVI/edit?gid=0#gid=0&amp;range=H123"",""'Лист1'!H366"")"),9405000.0)</f>
        <v>9405000</v>
      </c>
      <c r="P5" s="20">
        <f>IFERROR(__xludf.DUMMYFUNCTION("IMPORTRANGE(""https://docs.google.com/spreadsheets/d/1JJd44_6b1hsmD6e8liei_zzkkh-GYab6gE4K23IJPVI/edit?gid=0#gid=0&amp;range=H123"",""'Лист1'!H393"")"),1.1445E7)</f>
        <v>11445000</v>
      </c>
      <c r="Q5" s="20">
        <f>IFERROR(__xludf.DUMMYFUNCTION("IMPORTRANGE(""https://docs.google.com/spreadsheets/d/1JJd44_6b1hsmD6e8liei_zzkkh-GYab6gE4K23IJPVI/edit?gid=0#gid=0&amp;range=H123"",""'Лист1'!H420"")"),1.57755E7)</f>
        <v>15775500</v>
      </c>
      <c r="R5" s="20">
        <f>IFERROR(__xludf.DUMMYFUNCTION("IMPORTRANGE(""https://docs.google.com/spreadsheets/d/1JJd44_6b1hsmD6e8liei_zzkkh-GYab6gE4K23IJPVI/edit?gid=0#gid=0&amp;range=H123"",""'Лист1'!H447"")"),1.533E7)</f>
        <v>15330000</v>
      </c>
      <c r="S5" s="20">
        <f>IFERROR(__xludf.DUMMYFUNCTION("IMPORTRANGE(""https://docs.google.com/spreadsheets/d/1JJd44_6b1hsmD6e8liei_zzkkh-GYab6gE4K23IJPVI/edit?gid=0#gid=0&amp;range=H123"",""'Лист1'!H474"")"),9624000.0)</f>
        <v>9624000</v>
      </c>
      <c r="T5" s="20">
        <f>IFERROR(__xludf.DUMMYFUNCTION("IMPORTRANGE(""https://docs.google.com/spreadsheets/d/1JJd44_6b1hsmD6e8liei_zzkkh-GYab6gE4K23IJPVI/edit?gid=0#gid=0&amp;range=H123"",""'Лист1'!H501"")"),8551000.0)</f>
        <v>8551000</v>
      </c>
      <c r="U5" s="20">
        <f>IFERROR(__xludf.DUMMYFUNCTION("IMPORTRANGE(""https://docs.google.com/spreadsheets/d/1JJd44_6b1hsmD6e8liei_zzkkh-GYab6gE4K23IJPVI/edit?gid=0#gid=0&amp;range=H123"",""'Лист1'!H339"")"),3525000.0)</f>
        <v>3525000</v>
      </c>
      <c r="V5" s="20">
        <f>IFERROR(__xludf.DUMMYFUNCTION("IMPORTRANGE(""https://docs.google.com/spreadsheets/d/1JJd44_6b1hsmD6e8liei_zzkkh-GYab6gE4K23IJPVI/edit?gid=0#gid=0&amp;range=H123"",""'Лист1'!H339"")"),3525000.0)</f>
        <v>3525000</v>
      </c>
      <c r="W5" s="20">
        <f>IFERROR(__xludf.DUMMYFUNCTION("IMPORTRANGE(""https://docs.google.com/spreadsheets/d/1JJd44_6b1hsmD6e8liei_zzkkh-GYab6gE4K23IJPVI/edit?gid=0#gid=0&amp;range=H123"",""'Лист1'!H339"")"),3525000.0)</f>
        <v>3525000</v>
      </c>
      <c r="X5" s="20">
        <f>IFERROR(__xludf.DUMMYFUNCTION("IMPORTRANGE(""https://docs.google.com/spreadsheets/d/1JJd44_6b1hsmD6e8liei_zzkkh-GYab6gE4K23IJPVI/edit?gid=0#gid=0&amp;range=H123"",""'Лист1'!H339"")"),3525000.0)</f>
        <v>3525000</v>
      </c>
      <c r="Y5" s="20">
        <f>IFERROR(__xludf.DUMMYFUNCTION("IMPORTRANGE(""https://docs.google.com/spreadsheets/d/1JJd44_6b1hsmD6e8liei_zzkkh-GYab6gE4K23IJPVI/edit?gid=0#gid=0&amp;range=H123"",""'Лист1'!H339"")"),3525000.0)</f>
        <v>3525000</v>
      </c>
      <c r="Z5" s="12"/>
      <c r="AA5" s="21"/>
      <c r="AB5" s="14"/>
      <c r="AC5" s="14"/>
      <c r="AD5" s="14"/>
      <c r="AE5" s="14"/>
      <c r="AF5" s="14"/>
      <c r="AG5" s="14">
        <f>B5+C5+D5+E5+F5</f>
        <v>109600000</v>
      </c>
      <c r="AH5" s="14"/>
      <c r="AI5" s="15">
        <f>150000</f>
        <v>150000</v>
      </c>
      <c r="AJ5" s="14"/>
      <c r="AK5" s="15">
        <f>18000000</f>
        <v>18000000</v>
      </c>
      <c r="AL5" s="14"/>
      <c r="AM5" s="14"/>
      <c r="AN5" s="14"/>
      <c r="AO5" s="6"/>
    </row>
    <row r="6">
      <c r="A6" s="22" t="s">
        <v>18</v>
      </c>
      <c r="B6" s="23">
        <f t="shared" ref="B6:Y6" si="1">B7+B66+B76</f>
        <v>9441983.75</v>
      </c>
      <c r="C6" s="23">
        <f t="shared" si="1"/>
        <v>13157033.7</v>
      </c>
      <c r="D6" s="23">
        <f t="shared" si="1"/>
        <v>14395973.17</v>
      </c>
      <c r="E6" s="23">
        <f t="shared" si="1"/>
        <v>18715992.7</v>
      </c>
      <c r="F6" s="23">
        <f t="shared" si="1"/>
        <v>30340087.53</v>
      </c>
      <c r="G6" s="23">
        <f t="shared" si="1"/>
        <v>21919258.32</v>
      </c>
      <c r="H6" s="23">
        <f t="shared" si="1"/>
        <v>23886205.14</v>
      </c>
      <c r="I6" s="23">
        <f t="shared" si="1"/>
        <v>14019199.11</v>
      </c>
      <c r="J6" s="23">
        <f t="shared" si="1"/>
        <v>13281302.59</v>
      </c>
      <c r="K6" s="23">
        <f t="shared" si="1"/>
        <v>11128493.78</v>
      </c>
      <c r="L6" s="23">
        <f t="shared" si="1"/>
        <v>9404962.8</v>
      </c>
      <c r="M6" s="23">
        <f t="shared" si="1"/>
        <v>8341066</v>
      </c>
      <c r="N6" s="23">
        <f t="shared" si="1"/>
        <v>8126970.763</v>
      </c>
      <c r="O6" s="23">
        <f t="shared" si="1"/>
        <v>5809558.4</v>
      </c>
      <c r="P6" s="23">
        <f t="shared" si="1"/>
        <v>9348529.548</v>
      </c>
      <c r="Q6" s="23">
        <f t="shared" si="1"/>
        <v>10662139.79</v>
      </c>
      <c r="R6" s="23">
        <f t="shared" si="1"/>
        <v>11022823.57</v>
      </c>
      <c r="S6" s="23">
        <f t="shared" si="1"/>
        <v>10605853.53</v>
      </c>
      <c r="T6" s="23">
        <f t="shared" si="1"/>
        <v>8154204.058</v>
      </c>
      <c r="U6" s="23">
        <f t="shared" si="1"/>
        <v>8258493.548</v>
      </c>
      <c r="V6" s="23">
        <f t="shared" si="1"/>
        <v>8258493.548</v>
      </c>
      <c r="W6" s="23">
        <f t="shared" si="1"/>
        <v>8258493.548</v>
      </c>
      <c r="X6" s="23">
        <f t="shared" si="1"/>
        <v>8258493.548</v>
      </c>
      <c r="Y6" s="23">
        <f t="shared" si="1"/>
        <v>8258493.548</v>
      </c>
      <c r="Z6" s="12"/>
      <c r="AA6" s="14"/>
      <c r="AB6" s="14"/>
      <c r="AC6" s="14"/>
      <c r="AD6" s="14"/>
      <c r="AE6" s="14"/>
      <c r="AF6" s="14"/>
      <c r="AG6" s="14"/>
      <c r="AH6" s="14"/>
      <c r="AI6" s="15">
        <v>7500.0</v>
      </c>
      <c r="AJ6" s="14"/>
      <c r="AK6" s="15">
        <v>75000.0</v>
      </c>
      <c r="AL6" s="14"/>
      <c r="AM6" s="14"/>
      <c r="AN6" s="14"/>
      <c r="AO6" s="6"/>
    </row>
    <row r="7">
      <c r="A7" s="24" t="s">
        <v>19</v>
      </c>
      <c r="B7" s="25">
        <f>B8+B50+B53+B55+B61+B59+B56</f>
        <v>6625100</v>
      </c>
      <c r="C7" s="25">
        <f>C8+C53+C55+C61+C59+C58+C54+C50+C56</f>
        <v>10347572</v>
      </c>
      <c r="D7" s="25">
        <f t="shared" ref="D7:G7" si="2">D8+D53+D55+D61+D59+D58+D54+D50+D56+D56+D57</f>
        <v>11943016</v>
      </c>
      <c r="E7" s="25">
        <f t="shared" si="2"/>
        <v>13331300</v>
      </c>
      <c r="F7" s="25">
        <f t="shared" si="2"/>
        <v>15588206</v>
      </c>
      <c r="G7" s="25">
        <f t="shared" si="2"/>
        <v>14896776</v>
      </c>
      <c r="H7" s="25">
        <f t="shared" ref="H7:Y7" si="3">H8+H53+H55+H61+H59+H58+H54+H50+H56+H56+H57+H62</f>
        <v>14641958</v>
      </c>
      <c r="I7" s="25">
        <f t="shared" si="3"/>
        <v>10885500</v>
      </c>
      <c r="J7" s="25">
        <f t="shared" si="3"/>
        <v>10537500</v>
      </c>
      <c r="K7" s="25">
        <f t="shared" si="3"/>
        <v>9959925</v>
      </c>
      <c r="L7" s="25">
        <f t="shared" si="3"/>
        <v>8911410</v>
      </c>
      <c r="M7" s="25">
        <f t="shared" si="3"/>
        <v>7978531</v>
      </c>
      <c r="N7" s="25">
        <f t="shared" si="3"/>
        <v>7504613.763</v>
      </c>
      <c r="O7" s="25">
        <f t="shared" si="3"/>
        <v>5185488.4</v>
      </c>
      <c r="P7" s="25">
        <f t="shared" si="3"/>
        <v>7589330.548</v>
      </c>
      <c r="Q7" s="25">
        <f t="shared" si="3"/>
        <v>9991828.789</v>
      </c>
      <c r="R7" s="25">
        <f t="shared" si="3"/>
        <v>10398753.57</v>
      </c>
      <c r="S7" s="25">
        <f t="shared" si="3"/>
        <v>9981783.529</v>
      </c>
      <c r="T7" s="25">
        <f t="shared" si="3"/>
        <v>7530134.058</v>
      </c>
      <c r="U7" s="25">
        <f t="shared" si="3"/>
        <v>7634423.548</v>
      </c>
      <c r="V7" s="25">
        <f t="shared" si="3"/>
        <v>7634423.548</v>
      </c>
      <c r="W7" s="25">
        <f t="shared" si="3"/>
        <v>7634423.548</v>
      </c>
      <c r="X7" s="25">
        <f t="shared" si="3"/>
        <v>7634423.548</v>
      </c>
      <c r="Y7" s="25">
        <f t="shared" si="3"/>
        <v>7634423.548</v>
      </c>
      <c r="Z7" s="12"/>
      <c r="AA7" s="14"/>
      <c r="AB7" s="14"/>
      <c r="AC7" s="14"/>
      <c r="AD7" s="26">
        <f>C4-C76</f>
        <v>12711434.75</v>
      </c>
      <c r="AE7" s="14"/>
      <c r="AF7" s="14"/>
      <c r="AG7" s="14"/>
      <c r="AH7" s="14"/>
      <c r="AI7" s="15">
        <v>180000.0</v>
      </c>
      <c r="AJ7" s="14"/>
      <c r="AK7" s="15">
        <v>180000.0</v>
      </c>
      <c r="AL7" s="14"/>
      <c r="AM7" s="14"/>
      <c r="AN7" s="14"/>
      <c r="AO7" s="6"/>
    </row>
    <row r="8" collapsed="1">
      <c r="A8" s="27" t="s">
        <v>20</v>
      </c>
      <c r="B8" s="28">
        <f>SUM(B9:B24)</f>
        <v>3148100</v>
      </c>
      <c r="C8" s="28">
        <f>SUM(C9:C26)</f>
        <v>5544582</v>
      </c>
      <c r="D8" s="28">
        <f>SUM(D9:D33)</f>
        <v>6936516</v>
      </c>
      <c r="E8" s="28">
        <f>SUM(E9:E35)</f>
        <v>7534800</v>
      </c>
      <c r="F8" s="28">
        <f>SUM(F9:F39)</f>
        <v>9222190</v>
      </c>
      <c r="G8" s="28">
        <f>SUM(G9:G40)</f>
        <v>9095276</v>
      </c>
      <c r="H8" s="28">
        <f>SUM(H9:H43)</f>
        <v>6415458</v>
      </c>
      <c r="I8" s="29">
        <v>5772000.0</v>
      </c>
      <c r="J8" s="29">
        <f>IFERROR(__xludf.DUMMYFUNCTION("IMPORTRANGE(""https://docs.google.com/spreadsheets/d/1WK1njEHBcFWNKAb58Unj5OYFoRk5i-QHcHsE4Po6cBM/edit?gid=1241561823#gid=1241561823&amp;range=B29"",""'Февраль'!B34"")"),6315000.0)</f>
        <v>6315000</v>
      </c>
      <c r="K8" s="29">
        <f>IFERROR(__xludf.DUMMYFUNCTION("IMPORTRANGE(""https://docs.google.com/spreadsheets/d/1WK1njEHBcFWNKAb58Unj5OYFoRk5i-QHcHsE4Po6cBM/edit?gid=1241561823#gid=1241561823&amp;range=B29"",""'Март'!B38"")"),5741500.0)</f>
        <v>5741500</v>
      </c>
      <c r="L8" s="29">
        <f>IFERROR(__xludf.DUMMYFUNCTION("IMPORTRANGE(""https://docs.google.com/spreadsheets/d/1WK1njEHBcFWNKAb58Unj5OYFoRk5i-QHcHsE4Po6cBM/edit?gid=1241561823#gid=1241561823&amp;range=B29"",""'апрель'!B35"")"),5116750.0)</f>
        <v>5116750</v>
      </c>
      <c r="M8" s="29">
        <f>IFERROR(__xludf.DUMMYFUNCTION("IMPORTRANGE(""https://docs.google.com/spreadsheets/d/1WK1njEHBcFWNKAb58Unj5OYFoRk5i-QHcHsE4Po6cBM/edit?gid=1241561823#gid=1241561823&amp;range=B29"",""'Май'!B33"")"),4265500.0)</f>
        <v>4265500</v>
      </c>
      <c r="N8" s="29">
        <f>IFERROR(__xludf.DUMMYFUNCTION("IMPORTRANGE(""https://docs.google.com/spreadsheets/d/1WK1njEHBcFWNKAb58Unj5OYFoRk5i-QHcHsE4Po6cBM/edit?gid=1241561823#gid=1241561823&amp;range=B29"",""'Июнь 2025'!C29"")"),4125073.7625)</f>
        <v>4125073.763</v>
      </c>
      <c r="O8" s="29">
        <f>IFERROR(__xludf.DUMMYFUNCTION("IMPORTRANGE(""https://docs.google.com/spreadsheets/d/1WK1njEHBcFWNKAb58Unj5OYFoRk5i-QHcHsE4Po6cBM/edit?gid=1241561823#gid=1241561823&amp;range=B29"",""'Июль 2025'!C31"")"),3160434.4000000004)</f>
        <v>3160434.4</v>
      </c>
      <c r="P8" s="29">
        <f>IFERROR(__xludf.DUMMYFUNCTION("IMPORTRANGE(""https://docs.google.com/spreadsheets/d/1WK1njEHBcFWNKAb58Unj5OYFoRk5i-QHcHsE4Po6cBM/edit?gid=1241561823#gid=1241561823&amp;range=B29"",""'Август 2025'!C31"")"),4288423.548)</f>
        <v>4288423.548</v>
      </c>
      <c r="Q8" s="29">
        <f>IFERROR(__xludf.DUMMYFUNCTION("IMPORTRANGE(""https://docs.google.com/spreadsheets/d/1WK1njEHBcFWNKAb58Unj5OYFoRk5i-QHcHsE4Po6cBM/edit?gid=1241561823#gid=1241561823&amp;range=B29"",""'Сентябрь 2025'!C31"")"),5673023.7885)</f>
        <v>5673023.789</v>
      </c>
      <c r="R8" s="29">
        <f>IFERROR(__xludf.DUMMYFUNCTION("IMPORTRANGE(""https://docs.google.com/spreadsheets/d/1WK1njEHBcFWNKAb58Unj5OYFoRk5i-QHcHsE4Po6cBM/edit?gid=1241561823#gid=1241561823&amp;range=B29"",""'Октябрь 2025'!C36"")"),5508100.57)</f>
        <v>5508100.57</v>
      </c>
      <c r="S8" s="29">
        <f>IFERROR(__xludf.DUMMYFUNCTION("IMPORTRANGE(""https://docs.google.com/spreadsheets/d/1WK1njEHBcFWNKAb58Unj5OYFoRk5i-QHcHsE4Po6cBM/edit?gid=1241561823#gid=1241561823&amp;range=B29"",""'Ноябрь 2025'!C37"")"),5556355.5285)</f>
        <v>5556355.529</v>
      </c>
      <c r="T8" s="29">
        <f>IFERROR(__xludf.DUMMYFUNCTION("IMPORTRANGE(""https://docs.google.com/spreadsheets/d/1WK1njEHBcFWNKAb58Unj5OYFoRk5i-QHcHsE4Po6cBM/edit?gid=1241561823#gid=1241561823&amp;range=B29"",""'Декабрь 2025 '!C37"")"),4719292.058)</f>
        <v>4719292.058</v>
      </c>
      <c r="U8" s="29">
        <f>IFERROR(__xludf.DUMMYFUNCTION("IMPORTRANGE(""https://docs.google.com/spreadsheets/d/1WK1njEHBcFWNKAb58Unj5OYFoRk5i-QHcHsE4Po6cBM/edit?gid=1241561823#gid=1241561823&amp;range=B29"",""'Август 2025'!C31"")"),4288423.548)</f>
        <v>4288423.548</v>
      </c>
      <c r="V8" s="29">
        <f>IFERROR(__xludf.DUMMYFUNCTION("IMPORTRANGE(""https://docs.google.com/spreadsheets/d/1WK1njEHBcFWNKAb58Unj5OYFoRk5i-QHcHsE4Po6cBM/edit?gid=1241561823#gid=1241561823&amp;range=B29"",""'Август 2025'!C31"")"),4288423.548)</f>
        <v>4288423.548</v>
      </c>
      <c r="W8" s="29">
        <f>IFERROR(__xludf.DUMMYFUNCTION("IMPORTRANGE(""https://docs.google.com/spreadsheets/d/1WK1njEHBcFWNKAb58Unj5OYFoRk5i-QHcHsE4Po6cBM/edit?gid=1241561823#gid=1241561823&amp;range=B29"",""'Август 2025'!C31"")"),4288423.548)</f>
        <v>4288423.548</v>
      </c>
      <c r="X8" s="29">
        <f>IFERROR(__xludf.DUMMYFUNCTION("IMPORTRANGE(""https://docs.google.com/spreadsheets/d/1WK1njEHBcFWNKAb58Unj5OYFoRk5i-QHcHsE4Po6cBM/edit?gid=1241561823#gid=1241561823&amp;range=B29"",""'Август 2025'!C31"")"),4288423.548)</f>
        <v>4288423.548</v>
      </c>
      <c r="Y8" s="29">
        <f>IFERROR(__xludf.DUMMYFUNCTION("IMPORTRANGE(""https://docs.google.com/spreadsheets/d/1WK1njEHBcFWNKAb58Unj5OYFoRk5i-QHcHsE4Po6cBM/edit?gid=1241561823#gid=1241561823&amp;range=B29"",""'Август 2025'!C31"")"),4288423.548)</f>
        <v>4288423.548</v>
      </c>
      <c r="Z8" s="12"/>
      <c r="AA8" s="14"/>
      <c r="AB8" s="14"/>
      <c r="AC8" s="14"/>
      <c r="AD8" s="14"/>
      <c r="AE8" s="14"/>
      <c r="AF8" s="14"/>
      <c r="AG8" s="14"/>
      <c r="AH8" s="14"/>
      <c r="AI8" s="15">
        <v>60000.0</v>
      </c>
      <c r="AJ8" s="14"/>
      <c r="AK8" s="15">
        <v>100000.0</v>
      </c>
      <c r="AL8" s="14"/>
      <c r="AM8" s="14"/>
      <c r="AN8" s="14"/>
      <c r="AO8" s="6"/>
    </row>
    <row r="9" hidden="1" outlineLevel="1">
      <c r="A9" s="30" t="s">
        <v>21</v>
      </c>
      <c r="B9" s="31">
        <v>600000.0</v>
      </c>
      <c r="C9" s="32">
        <v>1027138.0</v>
      </c>
      <c r="D9" s="32">
        <v>1000000.0</v>
      </c>
      <c r="E9" s="32">
        <v>1000000.0</v>
      </c>
      <c r="F9" s="33">
        <v>1250000.0</v>
      </c>
      <c r="G9" s="32">
        <v>1250000.0</v>
      </c>
      <c r="H9" s="32">
        <v>550000.0</v>
      </c>
      <c r="I9" s="32">
        <v>1000000.0</v>
      </c>
      <c r="J9" s="32">
        <v>500000.0</v>
      </c>
      <c r="K9" s="32">
        <v>500000.0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12"/>
      <c r="AA9" s="14"/>
      <c r="AB9" s="14"/>
      <c r="AC9" s="14"/>
      <c r="AD9" s="14"/>
      <c r="AE9" s="14"/>
      <c r="AF9" s="14"/>
      <c r="AG9" s="14"/>
      <c r="AH9" s="14"/>
      <c r="AI9" s="15">
        <v>20000.0</v>
      </c>
      <c r="AJ9" s="14"/>
      <c r="AK9" s="14"/>
      <c r="AL9" s="14"/>
      <c r="AM9" s="14"/>
      <c r="AN9" s="14"/>
      <c r="AO9" s="6"/>
    </row>
    <row r="10" hidden="1" outlineLevel="1">
      <c r="A10" s="30" t="s">
        <v>22</v>
      </c>
      <c r="B10" s="31">
        <v>600000.0</v>
      </c>
      <c r="C10" s="32">
        <v>1027138.0</v>
      </c>
      <c r="D10" s="32">
        <v>1000000.0</v>
      </c>
      <c r="E10" s="32">
        <v>1000000.0</v>
      </c>
      <c r="F10" s="32">
        <v>1250000.0</v>
      </c>
      <c r="G10" s="32">
        <v>1250000.0</v>
      </c>
      <c r="H10" s="32">
        <v>550000.0</v>
      </c>
      <c r="I10" s="32">
        <v>1000000.0</v>
      </c>
      <c r="J10" s="32">
        <v>500000.0</v>
      </c>
      <c r="K10" s="32">
        <v>500000.0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12"/>
      <c r="AA10" s="14"/>
      <c r="AB10" s="14"/>
      <c r="AC10" s="14"/>
      <c r="AD10" s="14"/>
      <c r="AE10" s="35" t="str">
        <f>IFERROR(__xludf.DUMMYFUNCTION("IMPORTRANGE(""https://docs.google.com/spreadsheets/d/1nPjHDQ5qp8zpyVu48Grb853ylGTJDP_2/edit?gid=84623980#gid=84623980&amp;range=K2"",""'Сентябрь'!K3"")"),"#REF!")</f>
        <v>#REF!</v>
      </c>
      <c r="AF10" s="14"/>
      <c r="AG10" s="14"/>
      <c r="AH10" s="14"/>
      <c r="AI10" s="15">
        <v>50000.0</v>
      </c>
      <c r="AJ10" s="14"/>
      <c r="AK10" s="14"/>
      <c r="AL10" s="14"/>
      <c r="AM10" s="14"/>
      <c r="AN10" s="14"/>
      <c r="AO10" s="6"/>
    </row>
    <row r="11" hidden="1" outlineLevel="1">
      <c r="A11" s="36" t="s">
        <v>23</v>
      </c>
      <c r="B11" s="37">
        <v>500000.0</v>
      </c>
      <c r="C11" s="37">
        <v>700000.0</v>
      </c>
      <c r="D11" s="37">
        <v>700000.0</v>
      </c>
      <c r="E11" s="37">
        <v>700000.0</v>
      </c>
      <c r="F11" s="37">
        <v>908695.0</v>
      </c>
      <c r="G11" s="37">
        <v>1000000.0</v>
      </c>
      <c r="H11" s="37">
        <v>679992.0</v>
      </c>
      <c r="I11" s="37">
        <v>850000.0</v>
      </c>
      <c r="J11" s="37">
        <v>1000000.0</v>
      </c>
      <c r="K11" s="37">
        <v>1000000.0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12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6"/>
    </row>
    <row r="12" hidden="1" outlineLevel="1">
      <c r="A12" s="38" t="s">
        <v>24</v>
      </c>
      <c r="B12" s="39">
        <v>700000.0</v>
      </c>
      <c r="C12" s="39">
        <v>700000.0</v>
      </c>
      <c r="D12" s="39">
        <v>700000.0</v>
      </c>
      <c r="E12" s="39">
        <v>700000.0</v>
      </c>
      <c r="F12" s="31">
        <v>908695.0</v>
      </c>
      <c r="G12" s="31">
        <v>1000000.0</v>
      </c>
      <c r="H12" s="31">
        <v>450000.0</v>
      </c>
      <c r="I12" s="31">
        <v>200000.0</v>
      </c>
      <c r="J12" s="31" t="s">
        <v>25</v>
      </c>
      <c r="K12" s="31" t="s">
        <v>25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12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6"/>
    </row>
    <row r="13" hidden="1" outlineLevel="1">
      <c r="A13" s="40" t="s">
        <v>26</v>
      </c>
      <c r="B13" s="39"/>
      <c r="C13" s="39"/>
      <c r="D13" s="31">
        <v>500000.0</v>
      </c>
      <c r="E13" s="31">
        <v>600000.0</v>
      </c>
      <c r="F13" s="31">
        <v>700000.0</v>
      </c>
      <c r="G13" s="41" t="s">
        <v>25</v>
      </c>
      <c r="H13" s="41" t="s">
        <v>25</v>
      </c>
      <c r="I13" s="41" t="s">
        <v>25</v>
      </c>
      <c r="J13" s="41" t="s">
        <v>25</v>
      </c>
      <c r="K13" s="41" t="s">
        <v>25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12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6"/>
    </row>
    <row r="14" hidden="1" outlineLevel="1">
      <c r="A14" s="38" t="s">
        <v>27</v>
      </c>
      <c r="B14" s="39">
        <v>120000.0</v>
      </c>
      <c r="C14" s="39">
        <v>120000.0</v>
      </c>
      <c r="D14" s="39">
        <v>120000.0</v>
      </c>
      <c r="E14" s="39">
        <v>120000.0</v>
      </c>
      <c r="F14" s="39">
        <v>120000.0</v>
      </c>
      <c r="G14" s="31">
        <v>240000.0</v>
      </c>
      <c r="H14" s="31">
        <v>120000.0</v>
      </c>
      <c r="I14" s="31">
        <v>120000.0</v>
      </c>
      <c r="J14" s="31">
        <v>120000.0</v>
      </c>
      <c r="K14" s="31">
        <v>120000.0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12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6"/>
    </row>
    <row r="15" hidden="1" outlineLevel="1">
      <c r="A15" s="40" t="s">
        <v>28</v>
      </c>
      <c r="B15" s="31">
        <v>50000.0</v>
      </c>
      <c r="C15" s="31">
        <v>80000.0</v>
      </c>
      <c r="D15" s="31">
        <v>80000.0</v>
      </c>
      <c r="E15" s="31">
        <v>50000.0</v>
      </c>
      <c r="F15" s="31">
        <v>70000.0</v>
      </c>
      <c r="G15" s="31">
        <v>70000.0</v>
      </c>
      <c r="H15" s="31">
        <v>70000.0</v>
      </c>
      <c r="I15" s="31">
        <v>70000.0</v>
      </c>
      <c r="J15" s="31">
        <v>70000.0</v>
      </c>
      <c r="K15" s="31">
        <v>70000.0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12"/>
      <c r="AA15" s="14"/>
      <c r="AB15" s="14"/>
      <c r="AC15" s="14"/>
      <c r="AD15" s="26">
        <f>B4-B76</f>
        <v>7481042</v>
      </c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6"/>
    </row>
    <row r="16" hidden="1" outlineLevel="1">
      <c r="A16" s="40" t="s">
        <v>29</v>
      </c>
      <c r="B16" s="39">
        <v>120000.0</v>
      </c>
      <c r="C16" s="31">
        <v>233000.0</v>
      </c>
      <c r="D16" s="31">
        <v>250000.0</v>
      </c>
      <c r="E16" s="31">
        <v>300000.0</v>
      </c>
      <c r="F16" s="31">
        <v>300000.0</v>
      </c>
      <c r="G16" s="31">
        <v>300000.0</v>
      </c>
      <c r="H16" s="31">
        <v>300000.0</v>
      </c>
      <c r="I16" s="31">
        <v>350000.0</v>
      </c>
      <c r="J16" s="31">
        <v>350000.0</v>
      </c>
      <c r="K16" s="31">
        <v>350000.0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12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26">
        <f>D5-D76-D61-D50-D53-D54-D55-D56-D57-D58-D59</f>
        <v>7208577</v>
      </c>
      <c r="AL16" s="14"/>
      <c r="AM16" s="14"/>
      <c r="AN16" s="14"/>
      <c r="AO16" s="6"/>
    </row>
    <row r="17" hidden="1" outlineLevel="1">
      <c r="A17" s="38" t="s">
        <v>30</v>
      </c>
      <c r="B17" s="39">
        <v>150000.0</v>
      </c>
      <c r="C17" s="31">
        <v>400000.0</v>
      </c>
      <c r="D17" s="31">
        <v>400000.0</v>
      </c>
      <c r="E17" s="31">
        <v>400000.0</v>
      </c>
      <c r="F17" s="31">
        <v>250000.0</v>
      </c>
      <c r="G17" s="31">
        <v>250000.0</v>
      </c>
      <c r="H17" s="31">
        <v>250000.0</v>
      </c>
      <c r="I17" s="31">
        <v>250000.0</v>
      </c>
      <c r="J17" s="31">
        <v>250000.0</v>
      </c>
      <c r="K17" s="31">
        <v>250000.0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12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6"/>
    </row>
    <row r="18" hidden="1" outlineLevel="1">
      <c r="A18" s="38" t="s">
        <v>31</v>
      </c>
      <c r="B18" s="39">
        <v>85000.0</v>
      </c>
      <c r="C18" s="31">
        <v>42240.0</v>
      </c>
      <c r="D18" s="31">
        <v>81600.0</v>
      </c>
      <c r="E18" s="31">
        <v>81600.0</v>
      </c>
      <c r="F18" s="31">
        <v>81600.0</v>
      </c>
      <c r="G18" s="31">
        <v>81600.0</v>
      </c>
      <c r="H18" s="31">
        <v>200000.0</v>
      </c>
      <c r="I18" s="31">
        <v>200000.0</v>
      </c>
      <c r="J18" s="31">
        <v>200000.0</v>
      </c>
      <c r="K18" s="31">
        <v>200000.0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12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6"/>
    </row>
    <row r="19" hidden="1" outlineLevel="1">
      <c r="A19" s="40" t="s">
        <v>32</v>
      </c>
      <c r="B19" s="31">
        <v>100000.0</v>
      </c>
      <c r="C19" s="31">
        <v>180000.0</v>
      </c>
      <c r="D19" s="31">
        <v>200000.0</v>
      </c>
      <c r="E19" s="31">
        <v>200000.0</v>
      </c>
      <c r="F19" s="31">
        <v>200000.0</v>
      </c>
      <c r="G19" s="31">
        <v>200000.0</v>
      </c>
      <c r="H19" s="31">
        <v>200000.0</v>
      </c>
      <c r="I19" s="31">
        <v>200000.0</v>
      </c>
      <c r="J19" s="31">
        <v>200000.0</v>
      </c>
      <c r="K19" s="31">
        <v>200000.0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12"/>
      <c r="AA19" s="14"/>
      <c r="AB19" s="14"/>
      <c r="AC19" s="14"/>
      <c r="AD19" s="42">
        <f>B4-B76-B61-150000</f>
        <v>4431042</v>
      </c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6"/>
    </row>
    <row r="20" hidden="1" outlineLevel="1">
      <c r="A20" s="40" t="s">
        <v>33</v>
      </c>
      <c r="B20" s="39">
        <v>40800.0</v>
      </c>
      <c r="C20" s="39">
        <v>63466.0</v>
      </c>
      <c r="D20" s="31">
        <v>81600.0</v>
      </c>
      <c r="E20" s="31">
        <v>81600.0</v>
      </c>
      <c r="F20" s="31">
        <v>81600.0</v>
      </c>
      <c r="G20" s="31" t="s">
        <v>25</v>
      </c>
      <c r="H20" s="31" t="s">
        <v>25</v>
      </c>
      <c r="I20" s="31">
        <v>45833.0</v>
      </c>
      <c r="J20" s="31">
        <v>100000.0</v>
      </c>
      <c r="K20" s="31">
        <v>100000.0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12"/>
      <c r="AA20" s="14"/>
      <c r="AB20" s="15">
        <v>412000.0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6"/>
    </row>
    <row r="21" hidden="1" outlineLevel="1">
      <c r="A21" s="38" t="s">
        <v>34</v>
      </c>
      <c r="B21" s="39">
        <v>40800.0</v>
      </c>
      <c r="C21" s="39">
        <v>81600.0</v>
      </c>
      <c r="D21" s="31">
        <v>81600.0</v>
      </c>
      <c r="E21" s="31">
        <v>81600.0</v>
      </c>
      <c r="F21" s="31">
        <v>81600.0</v>
      </c>
      <c r="G21" s="31">
        <v>81600.0</v>
      </c>
      <c r="H21" s="31" t="s">
        <v>25</v>
      </c>
      <c r="I21" s="31" t="s">
        <v>25</v>
      </c>
      <c r="J21" s="31" t="s">
        <v>25</v>
      </c>
      <c r="K21" s="31" t="s">
        <v>25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12"/>
      <c r="AA21" s="14"/>
      <c r="AB21" s="15">
        <v>715288.0</v>
      </c>
      <c r="AC21" s="14"/>
      <c r="AD21" s="15">
        <v>2562000.0</v>
      </c>
      <c r="AE21" s="15">
        <v>1066000.0</v>
      </c>
      <c r="AF21" s="14"/>
      <c r="AG21" s="14"/>
      <c r="AH21" s="14"/>
      <c r="AI21" s="14"/>
      <c r="AJ21" s="14"/>
      <c r="AK21" s="14"/>
      <c r="AL21" s="14"/>
      <c r="AM21" s="14"/>
      <c r="AN21" s="14"/>
      <c r="AO21" s="6"/>
    </row>
    <row r="22" hidden="1" outlineLevel="1">
      <c r="A22" s="40" t="s">
        <v>35</v>
      </c>
      <c r="B22" s="31">
        <v>4000.0</v>
      </c>
      <c r="C22" s="31">
        <f t="shared" ref="C22:C23" si="4">170000</f>
        <v>170000</v>
      </c>
      <c r="D22" s="31">
        <f t="shared" ref="D22:D23" si="5">120000</f>
        <v>120000</v>
      </c>
      <c r="E22" s="31" t="s">
        <v>25</v>
      </c>
      <c r="F22" s="31">
        <v>100000.0</v>
      </c>
      <c r="G22" s="31"/>
      <c r="H22" s="31">
        <v>125000.0</v>
      </c>
      <c r="I22" s="31">
        <v>200000.0</v>
      </c>
      <c r="J22" s="31">
        <v>200000.0</v>
      </c>
      <c r="K22" s="31">
        <v>200000.0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12"/>
      <c r="AA22" s="14"/>
      <c r="AB22" s="14"/>
      <c r="AC22" s="14"/>
      <c r="AD22" s="43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6"/>
    </row>
    <row r="23" hidden="1" outlineLevel="1">
      <c r="A23" s="40" t="s">
        <v>36</v>
      </c>
      <c r="B23" s="31"/>
      <c r="C23" s="31">
        <f t="shared" si="4"/>
        <v>170000</v>
      </c>
      <c r="D23" s="31">
        <f t="shared" si="5"/>
        <v>120000</v>
      </c>
      <c r="E23" s="31" t="s">
        <v>25</v>
      </c>
      <c r="F23" s="31">
        <v>200000.0</v>
      </c>
      <c r="G23" s="31">
        <v>200000.0</v>
      </c>
      <c r="H23" s="31" t="s">
        <v>25</v>
      </c>
      <c r="I23" s="31" t="s">
        <v>25</v>
      </c>
      <c r="J23" s="31" t="s">
        <v>25</v>
      </c>
      <c r="K23" s="31" t="s">
        <v>25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12"/>
      <c r="AA23" s="14"/>
      <c r="AB23" s="14"/>
      <c r="AC23" s="14"/>
      <c r="AD23" s="43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6"/>
    </row>
    <row r="24" hidden="1" outlineLevel="1">
      <c r="A24" s="40" t="s">
        <v>37</v>
      </c>
      <c r="B24" s="31">
        <v>37500.0</v>
      </c>
      <c r="C24" s="31">
        <v>200000.0</v>
      </c>
      <c r="D24" s="31">
        <v>250000.0</v>
      </c>
      <c r="E24" s="31">
        <v>250000.0</v>
      </c>
      <c r="F24" s="31">
        <v>250000.0</v>
      </c>
      <c r="G24" s="31">
        <v>250000.0</v>
      </c>
      <c r="H24" s="31">
        <v>250000.0</v>
      </c>
      <c r="I24" s="31">
        <v>250000.0</v>
      </c>
      <c r="J24" s="31">
        <v>250000.0</v>
      </c>
      <c r="K24" s="31">
        <v>250000.0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12"/>
      <c r="AA24" s="14"/>
      <c r="AB24" s="14"/>
      <c r="AC24" s="14"/>
      <c r="AD24" s="14">
        <f>AB20+AB21+AD21+AE21+30000-2900000-150000-156366-13214</f>
        <v>1565708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6"/>
    </row>
    <row r="25" hidden="1" outlineLevel="1">
      <c r="A25" s="30" t="s">
        <v>38</v>
      </c>
      <c r="B25" s="31"/>
      <c r="C25" s="31">
        <v>150000.0</v>
      </c>
      <c r="D25" s="31">
        <v>150000.0</v>
      </c>
      <c r="E25" s="31">
        <v>150000.0</v>
      </c>
      <c r="F25" s="31">
        <v>150000.0</v>
      </c>
      <c r="G25" s="31">
        <v>150000.0</v>
      </c>
      <c r="H25" s="31">
        <v>150000.0</v>
      </c>
      <c r="I25" s="31">
        <v>150000.0</v>
      </c>
      <c r="J25" s="31">
        <v>150000.0</v>
      </c>
      <c r="K25" s="31">
        <v>150000.0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12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6"/>
    </row>
    <row r="26" hidden="1" outlineLevel="1">
      <c r="A26" s="30" t="s">
        <v>39</v>
      </c>
      <c r="B26" s="31"/>
      <c r="C26" s="31">
        <v>200000.0</v>
      </c>
      <c r="D26" s="31">
        <v>200000.0</v>
      </c>
      <c r="E26" s="31">
        <v>200000.0</v>
      </c>
      <c r="F26" s="31">
        <v>200000.0</v>
      </c>
      <c r="G26" s="31">
        <v>200000.0</v>
      </c>
      <c r="H26" s="31">
        <v>200000.0</v>
      </c>
      <c r="I26" s="31">
        <v>200000.0</v>
      </c>
      <c r="J26" s="31">
        <v>200000.0</v>
      </c>
      <c r="K26" s="31">
        <v>200000.0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12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6"/>
    </row>
    <row r="27" hidden="1" outlineLevel="1">
      <c r="A27" s="30" t="s">
        <v>40</v>
      </c>
      <c r="B27" s="31"/>
      <c r="C27" s="31"/>
      <c r="D27" s="31">
        <v>200909.0</v>
      </c>
      <c r="E27" s="31">
        <v>170000.0</v>
      </c>
      <c r="F27" s="31">
        <v>170000.0</v>
      </c>
      <c r="G27" s="31">
        <v>170000.0</v>
      </c>
      <c r="H27" s="31" t="s">
        <v>25</v>
      </c>
      <c r="I27" s="31" t="s">
        <v>25</v>
      </c>
      <c r="J27" s="31" t="s">
        <v>25</v>
      </c>
      <c r="K27" s="31" t="s">
        <v>25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12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6"/>
    </row>
    <row r="28" hidden="1" outlineLevel="1">
      <c r="A28" s="30" t="s">
        <v>41</v>
      </c>
      <c r="B28" s="31"/>
      <c r="C28" s="31"/>
      <c r="D28" s="31">
        <v>213819.0</v>
      </c>
      <c r="E28" s="31">
        <v>250000.0</v>
      </c>
      <c r="F28" s="31">
        <v>250000.0</v>
      </c>
      <c r="G28" s="31">
        <v>332000.0</v>
      </c>
      <c r="H28" s="31">
        <v>85000.0</v>
      </c>
      <c r="I28" s="31">
        <v>63000.0</v>
      </c>
      <c r="J28" s="31">
        <v>63000.0</v>
      </c>
      <c r="K28" s="31">
        <v>63000.0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12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6"/>
    </row>
    <row r="29" hidden="1" outlineLevel="1">
      <c r="A29" s="30" t="s">
        <v>42</v>
      </c>
      <c r="B29" s="31"/>
      <c r="C29" s="31"/>
      <c r="D29" s="31">
        <v>259091.0</v>
      </c>
      <c r="E29" s="31">
        <v>250000.0</v>
      </c>
      <c r="F29" s="31">
        <v>250000.0</v>
      </c>
      <c r="G29" s="31">
        <v>300000.0</v>
      </c>
      <c r="H29" s="31">
        <v>100000.0</v>
      </c>
      <c r="I29" s="31" t="s">
        <v>25</v>
      </c>
      <c r="J29" s="31" t="s">
        <v>25</v>
      </c>
      <c r="K29" s="31" t="s">
        <v>25</v>
      </c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12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6"/>
    </row>
    <row r="30" hidden="1" outlineLevel="1">
      <c r="A30" s="30" t="s">
        <v>43</v>
      </c>
      <c r="B30" s="31"/>
      <c r="C30" s="31"/>
      <c r="D30" s="31"/>
      <c r="E30" s="31" t="s">
        <v>25</v>
      </c>
      <c r="F30" s="31" t="s">
        <v>25</v>
      </c>
      <c r="G30" s="31" t="s">
        <v>25</v>
      </c>
      <c r="H30" s="31" t="s">
        <v>25</v>
      </c>
      <c r="I30" s="31">
        <v>156250.0</v>
      </c>
      <c r="J30" s="31" t="s">
        <v>25</v>
      </c>
      <c r="K30" s="31" t="s">
        <v>25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12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6"/>
    </row>
    <row r="31" hidden="1" outlineLevel="1">
      <c r="A31" s="30" t="s">
        <v>44</v>
      </c>
      <c r="B31" s="31"/>
      <c r="C31" s="31"/>
      <c r="D31" s="31">
        <v>135364.0</v>
      </c>
      <c r="E31" s="31">
        <v>250000.0</v>
      </c>
      <c r="F31" s="31">
        <v>250000.0</v>
      </c>
      <c r="G31" s="31">
        <v>250000.0</v>
      </c>
      <c r="H31" s="31">
        <v>165706.0</v>
      </c>
      <c r="I31" s="31" t="s">
        <v>25</v>
      </c>
      <c r="J31" s="31" t="s">
        <v>25</v>
      </c>
      <c r="K31" s="31" t="s">
        <v>25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12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6"/>
    </row>
    <row r="32" hidden="1" outlineLevel="1">
      <c r="A32" s="30" t="s">
        <v>45</v>
      </c>
      <c r="B32" s="31"/>
      <c r="C32" s="31"/>
      <c r="D32" s="31">
        <v>35714.0</v>
      </c>
      <c r="E32" s="31">
        <v>150000.0</v>
      </c>
      <c r="F32" s="31">
        <v>200000.0</v>
      </c>
      <c r="G32" s="31">
        <v>200000.0</v>
      </c>
      <c r="H32" s="31"/>
      <c r="I32" s="31" t="s">
        <v>25</v>
      </c>
      <c r="J32" s="31" t="s">
        <v>25</v>
      </c>
      <c r="K32" s="31" t="s">
        <v>25</v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12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6"/>
    </row>
    <row r="33" hidden="1" outlineLevel="1">
      <c r="A33" s="30" t="s">
        <v>46</v>
      </c>
      <c r="B33" s="31"/>
      <c r="C33" s="31"/>
      <c r="D33" s="31">
        <v>56819.0</v>
      </c>
      <c r="E33" s="31">
        <v>250000.0</v>
      </c>
      <c r="F33" s="31">
        <v>250000.0</v>
      </c>
      <c r="G33" s="31">
        <v>605000.0</v>
      </c>
      <c r="H33" s="31">
        <v>500000.0</v>
      </c>
      <c r="I33" s="31" t="s">
        <v>25</v>
      </c>
      <c r="J33" s="31" t="s">
        <v>25</v>
      </c>
      <c r="K33" s="31" t="s">
        <v>25</v>
      </c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12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6"/>
    </row>
    <row r="34" hidden="1" outlineLevel="1">
      <c r="A34" s="30" t="s">
        <v>47</v>
      </c>
      <c r="B34" s="31"/>
      <c r="C34" s="31"/>
      <c r="D34" s="31"/>
      <c r="E34" s="31">
        <v>150000.0</v>
      </c>
      <c r="F34" s="31">
        <v>250000.0</v>
      </c>
      <c r="G34" s="31">
        <v>150000.0</v>
      </c>
      <c r="H34" s="31" t="s">
        <v>25</v>
      </c>
      <c r="I34" s="31" t="s">
        <v>25</v>
      </c>
      <c r="J34" s="31" t="s">
        <v>25</v>
      </c>
      <c r="K34" s="31" t="s">
        <v>25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12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6"/>
    </row>
    <row r="35" hidden="1" outlineLevel="1">
      <c r="A35" s="30" t="s">
        <v>48</v>
      </c>
      <c r="B35" s="31"/>
      <c r="C35" s="31"/>
      <c r="D35" s="31"/>
      <c r="E35" s="31">
        <v>150000.0</v>
      </c>
      <c r="F35" s="31">
        <v>150000.0</v>
      </c>
      <c r="G35" s="31">
        <v>150000.0</v>
      </c>
      <c r="H35" s="31">
        <v>150000.0</v>
      </c>
      <c r="I35" s="31">
        <v>150000.0</v>
      </c>
      <c r="J35" s="31">
        <v>150000.0</v>
      </c>
      <c r="K35" s="31">
        <v>150000.0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12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6"/>
    </row>
    <row r="36" hidden="1" outlineLevel="1">
      <c r="A36" s="44" t="s">
        <v>49</v>
      </c>
      <c r="B36" s="29"/>
      <c r="C36" s="29"/>
      <c r="D36" s="29"/>
      <c r="E36" s="29"/>
      <c r="F36" s="29">
        <v>100000.0</v>
      </c>
      <c r="G36" s="29">
        <v>100000.0</v>
      </c>
      <c r="H36" s="29">
        <v>100000.0</v>
      </c>
      <c r="I36" s="29">
        <v>100000.0</v>
      </c>
      <c r="J36" s="29">
        <v>100000.0</v>
      </c>
      <c r="K36" s="29">
        <v>100000.0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12"/>
      <c r="AA36" s="14"/>
      <c r="AB36" s="14"/>
      <c r="AC36" s="14"/>
      <c r="AD36" s="14"/>
      <c r="AE36" s="14"/>
      <c r="AF36" s="14"/>
      <c r="AG36" s="14"/>
      <c r="AH36" s="14"/>
      <c r="AI36" s="14"/>
      <c r="AJ36" s="15"/>
      <c r="AK36" s="14"/>
      <c r="AL36" s="14"/>
      <c r="AM36" s="14"/>
      <c r="AN36" s="14"/>
      <c r="AO36" s="6"/>
    </row>
    <row r="37" hidden="1" outlineLevel="1">
      <c r="A37" s="44" t="s">
        <v>50</v>
      </c>
      <c r="B37" s="29"/>
      <c r="C37" s="29"/>
      <c r="D37" s="29"/>
      <c r="E37" s="29"/>
      <c r="F37" s="29" t="s">
        <v>25</v>
      </c>
      <c r="G37" s="29">
        <v>43076.0</v>
      </c>
      <c r="H37" s="29" t="s">
        <v>25</v>
      </c>
      <c r="I37" s="29" t="s">
        <v>25</v>
      </c>
      <c r="J37" s="29" t="s">
        <v>25</v>
      </c>
      <c r="K37" s="29" t="s">
        <v>25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12"/>
      <c r="AA37" s="14"/>
      <c r="AB37" s="14"/>
      <c r="AC37" s="14"/>
      <c r="AD37" s="14"/>
      <c r="AE37" s="14"/>
      <c r="AF37" s="14"/>
      <c r="AG37" s="14"/>
      <c r="AH37" s="14"/>
      <c r="AI37" s="14"/>
      <c r="AJ37" s="15"/>
      <c r="AK37" s="14"/>
      <c r="AL37" s="14"/>
      <c r="AM37" s="14"/>
      <c r="AN37" s="14"/>
      <c r="AO37" s="6"/>
    </row>
    <row r="38" hidden="1" outlineLevel="1">
      <c r="A38" s="44" t="s">
        <v>51</v>
      </c>
      <c r="B38" s="29"/>
      <c r="C38" s="29"/>
      <c r="D38" s="29"/>
      <c r="E38" s="29"/>
      <c r="F38" s="29" t="s">
        <v>25</v>
      </c>
      <c r="G38" s="29" t="s">
        <v>25</v>
      </c>
      <c r="H38" s="29">
        <v>262373.0</v>
      </c>
      <c r="I38" s="29">
        <v>230000.0</v>
      </c>
      <c r="J38" s="29">
        <v>230000.0</v>
      </c>
      <c r="K38" s="29">
        <v>230000.0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12"/>
      <c r="AA38" s="14"/>
      <c r="AB38" s="14"/>
      <c r="AC38" s="14"/>
      <c r="AD38" s="14"/>
      <c r="AE38" s="14"/>
      <c r="AF38" s="14"/>
      <c r="AG38" s="14"/>
      <c r="AH38" s="14"/>
      <c r="AI38" s="14"/>
      <c r="AJ38" s="15"/>
      <c r="AK38" s="14"/>
      <c r="AL38" s="14"/>
      <c r="AM38" s="14"/>
      <c r="AN38" s="14"/>
      <c r="AO38" s="6"/>
    </row>
    <row r="39" hidden="1" outlineLevel="1">
      <c r="A39" s="44" t="s">
        <v>52</v>
      </c>
      <c r="B39" s="29"/>
      <c r="C39" s="29"/>
      <c r="D39" s="29"/>
      <c r="E39" s="29"/>
      <c r="F39" s="29">
        <v>250000.0</v>
      </c>
      <c r="G39" s="29">
        <v>215000.0</v>
      </c>
      <c r="H39" s="29">
        <v>159230.0</v>
      </c>
      <c r="I39" s="29">
        <v>125000.0</v>
      </c>
      <c r="J39" s="29">
        <v>125000.0</v>
      </c>
      <c r="K39" s="29">
        <v>125000.0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12"/>
      <c r="AA39" s="14"/>
      <c r="AB39" s="14"/>
      <c r="AC39" s="14"/>
      <c r="AD39" s="14"/>
      <c r="AE39" s="14"/>
      <c r="AF39" s="14"/>
      <c r="AG39" s="14"/>
      <c r="AH39" s="14"/>
      <c r="AI39" s="14"/>
      <c r="AJ39" s="15"/>
      <c r="AK39" s="14"/>
      <c r="AL39" s="14"/>
      <c r="AM39" s="14"/>
      <c r="AN39" s="14"/>
      <c r="AO39" s="6"/>
    </row>
    <row r="40" hidden="1" outlineLevel="1">
      <c r="A40" s="44" t="s">
        <v>53</v>
      </c>
      <c r="B40" s="29"/>
      <c r="C40" s="29"/>
      <c r="D40" s="29"/>
      <c r="E40" s="29"/>
      <c r="F40" s="29"/>
      <c r="G40" s="29">
        <v>57000.0</v>
      </c>
      <c r="H40" s="29">
        <v>121657.0</v>
      </c>
      <c r="I40" s="29" t="s">
        <v>25</v>
      </c>
      <c r="J40" s="29" t="s">
        <v>25</v>
      </c>
      <c r="K40" s="29" t="s">
        <v>25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12"/>
      <c r="AA40" s="14"/>
      <c r="AB40" s="14"/>
      <c r="AC40" s="14"/>
      <c r="AD40" s="14"/>
      <c r="AE40" s="14"/>
      <c r="AF40" s="14"/>
      <c r="AG40" s="14"/>
      <c r="AH40" s="14"/>
      <c r="AI40" s="14"/>
      <c r="AJ40" s="15"/>
      <c r="AK40" s="14"/>
      <c r="AL40" s="14"/>
      <c r="AM40" s="14"/>
      <c r="AN40" s="14"/>
      <c r="AO40" s="6"/>
    </row>
    <row r="41" hidden="1" outlineLevel="1">
      <c r="A41" s="44" t="s">
        <v>54</v>
      </c>
      <c r="B41" s="29"/>
      <c r="C41" s="29"/>
      <c r="D41" s="29"/>
      <c r="E41" s="29"/>
      <c r="F41" s="29"/>
      <c r="G41" s="29"/>
      <c r="H41" s="29">
        <v>400000.0</v>
      </c>
      <c r="I41" s="29">
        <v>350000.0</v>
      </c>
      <c r="J41" s="29">
        <v>350000.0</v>
      </c>
      <c r="K41" s="29">
        <v>350000.0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12"/>
      <c r="AA41" s="14"/>
      <c r="AB41" s="14"/>
      <c r="AC41" s="14"/>
      <c r="AD41" s="14"/>
      <c r="AE41" s="14"/>
      <c r="AF41" s="14"/>
      <c r="AG41" s="14"/>
      <c r="AH41" s="14"/>
      <c r="AI41" s="14"/>
      <c r="AJ41" s="15"/>
      <c r="AK41" s="14"/>
      <c r="AL41" s="14"/>
      <c r="AM41" s="14"/>
      <c r="AN41" s="14"/>
      <c r="AO41" s="6"/>
    </row>
    <row r="42" hidden="1" outlineLevel="1">
      <c r="A42" s="44" t="s">
        <v>55</v>
      </c>
      <c r="B42" s="29"/>
      <c r="C42" s="29"/>
      <c r="D42" s="29"/>
      <c r="E42" s="29"/>
      <c r="F42" s="29"/>
      <c r="G42" s="29"/>
      <c r="H42" s="29">
        <v>200000.0</v>
      </c>
      <c r="I42" s="29">
        <v>120000.0</v>
      </c>
      <c r="J42" s="29" t="s">
        <v>25</v>
      </c>
      <c r="K42" s="29" t="s">
        <v>25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12"/>
      <c r="AA42" s="14"/>
      <c r="AB42" s="14"/>
      <c r="AC42" s="14"/>
      <c r="AD42" s="14"/>
      <c r="AE42" s="14"/>
      <c r="AF42" s="14"/>
      <c r="AG42" s="14"/>
      <c r="AH42" s="14"/>
      <c r="AI42" s="14"/>
      <c r="AJ42" s="15"/>
      <c r="AK42" s="14"/>
      <c r="AL42" s="14"/>
      <c r="AM42" s="14"/>
      <c r="AN42" s="14"/>
      <c r="AO42" s="6"/>
    </row>
    <row r="43" hidden="1" outlineLevel="1">
      <c r="A43" s="44" t="s">
        <v>56</v>
      </c>
      <c r="B43" s="29"/>
      <c r="C43" s="29"/>
      <c r="D43" s="29"/>
      <c r="E43" s="29"/>
      <c r="F43" s="29"/>
      <c r="G43" s="29"/>
      <c r="H43" s="29">
        <v>76500.0</v>
      </c>
      <c r="I43" s="29">
        <v>63000.0</v>
      </c>
      <c r="J43" s="29" t="s">
        <v>25</v>
      </c>
      <c r="K43" s="29" t="s">
        <v>25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12"/>
      <c r="AA43" s="14"/>
      <c r="AB43" s="14"/>
      <c r="AC43" s="14"/>
      <c r="AD43" s="14"/>
      <c r="AE43" s="14"/>
      <c r="AF43" s="14"/>
      <c r="AG43" s="14"/>
      <c r="AH43" s="14"/>
      <c r="AI43" s="14"/>
      <c r="AJ43" s="15"/>
      <c r="AK43" s="14"/>
      <c r="AL43" s="14"/>
      <c r="AM43" s="14"/>
      <c r="AN43" s="14"/>
      <c r="AO43" s="6"/>
    </row>
    <row r="44" hidden="1" outlineLevel="1">
      <c r="A44" s="44" t="s">
        <v>57</v>
      </c>
      <c r="B44" s="29"/>
      <c r="C44" s="29"/>
      <c r="D44" s="29"/>
      <c r="E44" s="29"/>
      <c r="F44" s="29"/>
      <c r="G44" s="29"/>
      <c r="H44" s="29"/>
      <c r="I44" s="29">
        <v>264000.0</v>
      </c>
      <c r="J44" s="29">
        <v>264000.0</v>
      </c>
      <c r="K44" s="29">
        <v>264000.0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12"/>
      <c r="AA44" s="14"/>
      <c r="AB44" s="14"/>
      <c r="AC44" s="14"/>
      <c r="AD44" s="14"/>
      <c r="AE44" s="14"/>
      <c r="AF44" s="14"/>
      <c r="AG44" s="14"/>
      <c r="AH44" s="14"/>
      <c r="AI44" s="14"/>
      <c r="AJ44" s="15"/>
      <c r="AK44" s="14"/>
      <c r="AL44" s="14"/>
      <c r="AM44" s="14"/>
      <c r="AN44" s="14"/>
      <c r="AO44" s="6"/>
    </row>
    <row r="45" hidden="1" outlineLevel="1">
      <c r="A45" s="44" t="s">
        <v>58</v>
      </c>
      <c r="B45" s="29"/>
      <c r="C45" s="29"/>
      <c r="D45" s="29"/>
      <c r="E45" s="29"/>
      <c r="F45" s="29"/>
      <c r="G45" s="29"/>
      <c r="H45" s="29"/>
      <c r="I45" s="29">
        <v>218182.0</v>
      </c>
      <c r="J45" s="29">
        <v>218182.0</v>
      </c>
      <c r="K45" s="29">
        <v>218182.0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12"/>
      <c r="AA45" s="14"/>
      <c r="AB45" s="14"/>
      <c r="AC45" s="14"/>
      <c r="AD45" s="14"/>
      <c r="AE45" s="14"/>
      <c r="AF45" s="14"/>
      <c r="AG45" s="14"/>
      <c r="AH45" s="14"/>
      <c r="AI45" s="14"/>
      <c r="AJ45" s="15"/>
      <c r="AK45" s="14"/>
      <c r="AL45" s="14"/>
      <c r="AM45" s="14"/>
      <c r="AN45" s="14"/>
      <c r="AO45" s="6"/>
    </row>
    <row r="46" hidden="1" outlineLevel="1">
      <c r="A46" s="44" t="s">
        <v>59</v>
      </c>
      <c r="B46" s="29"/>
      <c r="C46" s="29"/>
      <c r="D46" s="29"/>
      <c r="E46" s="29"/>
      <c r="F46" s="29"/>
      <c r="G46" s="29"/>
      <c r="H46" s="29"/>
      <c r="I46" s="29" t="s">
        <v>60</v>
      </c>
      <c r="J46" s="29">
        <v>200000.0</v>
      </c>
      <c r="K46" s="29">
        <v>200000.0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12"/>
      <c r="AA46" s="14"/>
      <c r="AB46" s="14"/>
      <c r="AC46" s="14"/>
      <c r="AD46" s="14"/>
      <c r="AE46" s="14"/>
      <c r="AF46" s="14"/>
      <c r="AG46" s="14"/>
      <c r="AH46" s="14"/>
      <c r="AI46" s="14"/>
      <c r="AJ46" s="15"/>
      <c r="AK46" s="14"/>
      <c r="AL46" s="14"/>
      <c r="AM46" s="14"/>
      <c r="AN46" s="14"/>
      <c r="AO46" s="6"/>
    </row>
    <row r="47" hidden="1" outlineLevel="1">
      <c r="A47" s="44" t="s">
        <v>61</v>
      </c>
      <c r="B47" s="29"/>
      <c r="C47" s="29"/>
      <c r="D47" s="29"/>
      <c r="E47" s="29"/>
      <c r="F47" s="29"/>
      <c r="G47" s="29"/>
      <c r="H47" s="29"/>
      <c r="I47" s="29" t="s">
        <v>25</v>
      </c>
      <c r="J47" s="29">
        <v>200000.0</v>
      </c>
      <c r="K47" s="29">
        <v>200000.0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12"/>
      <c r="AA47" s="14"/>
      <c r="AB47" s="14"/>
      <c r="AC47" s="14"/>
      <c r="AD47" s="14"/>
      <c r="AE47" s="14"/>
      <c r="AF47" s="14"/>
      <c r="AG47" s="14"/>
      <c r="AH47" s="14"/>
      <c r="AI47" s="14"/>
      <c r="AJ47" s="15"/>
      <c r="AK47" s="14"/>
      <c r="AL47" s="14"/>
      <c r="AM47" s="14"/>
      <c r="AN47" s="14"/>
      <c r="AO47" s="6"/>
    </row>
    <row r="48" hidden="1" outlineLevel="1">
      <c r="A48" s="44" t="s">
        <v>62</v>
      </c>
      <c r="B48" s="29"/>
      <c r="C48" s="29"/>
      <c r="D48" s="29"/>
      <c r="E48" s="29"/>
      <c r="F48" s="29"/>
      <c r="G48" s="29"/>
      <c r="H48" s="29"/>
      <c r="I48" s="29"/>
      <c r="J48" s="29">
        <v>300000.0</v>
      </c>
      <c r="K48" s="29">
        <v>300000.0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12"/>
      <c r="AA48" s="14"/>
      <c r="AB48" s="14"/>
      <c r="AC48" s="14"/>
      <c r="AD48" s="14"/>
      <c r="AE48" s="14"/>
      <c r="AF48" s="14"/>
      <c r="AG48" s="14"/>
      <c r="AH48" s="14"/>
      <c r="AI48" s="14"/>
      <c r="AJ48" s="15"/>
      <c r="AK48" s="14"/>
      <c r="AL48" s="14"/>
      <c r="AM48" s="14"/>
      <c r="AN48" s="14"/>
      <c r="AO48" s="6"/>
    </row>
    <row r="49">
      <c r="A49" s="45"/>
      <c r="B49" s="29"/>
      <c r="C49" s="29"/>
      <c r="D49" s="29"/>
      <c r="E49" s="29"/>
      <c r="F49" s="29"/>
      <c r="G49" s="29"/>
      <c r="H49" s="29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12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6"/>
    </row>
    <row r="50" collapsed="1">
      <c r="A50" s="27" t="s">
        <v>63</v>
      </c>
      <c r="B50" s="46">
        <v>500000.0</v>
      </c>
      <c r="C50" s="46">
        <v>1727000.0</v>
      </c>
      <c r="D50" s="46">
        <v>2000000.0</v>
      </c>
      <c r="E50" s="46">
        <v>2800000.0</v>
      </c>
      <c r="F50" s="46">
        <v>3000000.0</v>
      </c>
      <c r="G50" s="46">
        <v>3085000.0</v>
      </c>
      <c r="H50" s="46">
        <v>2920000.0</v>
      </c>
      <c r="I50" s="46">
        <v>2167000.0</v>
      </c>
      <c r="J50" s="46">
        <v>1526000.0</v>
      </c>
      <c r="K50" s="46">
        <v>1528425.0</v>
      </c>
      <c r="L50" s="46">
        <v>1104660.0</v>
      </c>
      <c r="M50" s="46">
        <v>1023031.0</v>
      </c>
      <c r="N50" s="46">
        <v>689540.0</v>
      </c>
      <c r="O50" s="46">
        <v>869054.0</v>
      </c>
      <c r="P50" s="46">
        <f>749003+644904</f>
        <v>1393907</v>
      </c>
      <c r="Q50" s="46">
        <f>Q51+Q52</f>
        <v>2478805</v>
      </c>
      <c r="R50" s="46">
        <f>1348096+1602557</f>
        <v>2950653</v>
      </c>
      <c r="S50" s="46">
        <f>1612692+918736</f>
        <v>2531428</v>
      </c>
      <c r="T50" s="46">
        <v>990842.0</v>
      </c>
      <c r="U50" s="46">
        <v>1526000.0</v>
      </c>
      <c r="V50" s="46">
        <v>1526000.0</v>
      </c>
      <c r="W50" s="46">
        <v>1526000.0</v>
      </c>
      <c r="X50" s="46">
        <v>1526000.0</v>
      </c>
      <c r="Y50" s="46">
        <v>1526000.0</v>
      </c>
      <c r="Z50" s="12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8"/>
    </row>
    <row r="51" ht="17.25" hidden="1" customHeight="1" outlineLevel="1">
      <c r="A51" s="44" t="s">
        <v>64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>
        <v>1214917.0</v>
      </c>
      <c r="R51" s="29"/>
      <c r="S51" s="29"/>
      <c r="T51" s="29"/>
      <c r="U51" s="29"/>
      <c r="V51" s="29"/>
      <c r="W51" s="29"/>
      <c r="X51" s="29"/>
      <c r="Y51" s="29"/>
      <c r="Z51" s="12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6"/>
    </row>
    <row r="52" hidden="1" outlineLevel="1">
      <c r="A52" s="44" t="s">
        <v>65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>
        <f>1065248+198640</f>
        <v>1263888</v>
      </c>
      <c r="R52" s="29"/>
      <c r="S52" s="29"/>
      <c r="T52" s="29"/>
      <c r="U52" s="29"/>
      <c r="V52" s="29"/>
      <c r="W52" s="29"/>
      <c r="X52" s="29"/>
      <c r="Y52" s="29"/>
      <c r="Z52" s="12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6"/>
    </row>
    <row r="53">
      <c r="A53" s="44" t="s">
        <v>66</v>
      </c>
      <c r="B53" s="29">
        <v>36000.0</v>
      </c>
      <c r="C53" s="49">
        <v>36000.0</v>
      </c>
      <c r="D53" s="49">
        <v>36000.0</v>
      </c>
      <c r="E53" s="49">
        <v>36000.0</v>
      </c>
      <c r="F53" s="49">
        <v>36000.0</v>
      </c>
      <c r="G53" s="49">
        <v>36000.0</v>
      </c>
      <c r="H53" s="49">
        <v>36000.0</v>
      </c>
      <c r="I53" s="49">
        <v>36000.0</v>
      </c>
      <c r="J53" s="49">
        <v>36000.0</v>
      </c>
      <c r="K53" s="49">
        <v>36000.0</v>
      </c>
      <c r="L53" s="49">
        <v>36000.0</v>
      </c>
      <c r="M53" s="49">
        <v>36000.0</v>
      </c>
      <c r="N53" s="49">
        <v>36000.0</v>
      </c>
      <c r="O53" s="49">
        <v>36000.0</v>
      </c>
      <c r="P53" s="49">
        <v>36000.0</v>
      </c>
      <c r="Q53" s="49">
        <v>36000.0</v>
      </c>
      <c r="R53" s="49">
        <v>36000.0</v>
      </c>
      <c r="S53" s="49">
        <v>36000.0</v>
      </c>
      <c r="T53" s="49">
        <v>36000.0</v>
      </c>
      <c r="U53" s="49">
        <v>36000.0</v>
      </c>
      <c r="V53" s="49">
        <v>36000.0</v>
      </c>
      <c r="W53" s="49">
        <v>36000.0</v>
      </c>
      <c r="X53" s="49">
        <v>36000.0</v>
      </c>
      <c r="Y53" s="49">
        <v>36000.0</v>
      </c>
      <c r="Z53" s="12"/>
      <c r="AA53" s="14"/>
      <c r="AB53" s="14"/>
      <c r="AC53" s="14"/>
      <c r="AD53" s="14"/>
      <c r="AE53" s="26">
        <f>AD19-AD24-35000</f>
        <v>2830334</v>
      </c>
      <c r="AF53" s="14"/>
      <c r="AG53" s="14"/>
      <c r="AH53" s="14"/>
      <c r="AI53" s="14"/>
      <c r="AJ53" s="14"/>
      <c r="AK53" s="14"/>
      <c r="AL53" s="14"/>
      <c r="AM53" s="14"/>
      <c r="AN53" s="14"/>
      <c r="AO53" s="6"/>
    </row>
    <row r="54">
      <c r="A54" s="44" t="s">
        <v>66</v>
      </c>
      <c r="B54" s="29">
        <v>20000.0</v>
      </c>
      <c r="C54" s="49">
        <f t="shared" ref="C54:D54" si="6">20000</f>
        <v>20000</v>
      </c>
      <c r="D54" s="49">
        <f t="shared" si="6"/>
        <v>20000</v>
      </c>
      <c r="E54" s="49">
        <f t="shared" ref="E54:F54" si="7">80000</f>
        <v>80000</v>
      </c>
      <c r="F54" s="49">
        <f t="shared" si="7"/>
        <v>80000</v>
      </c>
      <c r="G54" s="49">
        <v>60000.0</v>
      </c>
      <c r="H54" s="49">
        <v>40000.0</v>
      </c>
      <c r="I54" s="49">
        <v>40000.0</v>
      </c>
      <c r="J54" s="49">
        <v>40000.0</v>
      </c>
      <c r="K54" s="49">
        <v>40000.0</v>
      </c>
      <c r="L54" s="49">
        <v>40000.0</v>
      </c>
      <c r="M54" s="49">
        <v>40000.0</v>
      </c>
      <c r="N54" s="49">
        <v>40000.0</v>
      </c>
      <c r="O54" s="49">
        <v>40000.0</v>
      </c>
      <c r="P54" s="49">
        <v>40000.0</v>
      </c>
      <c r="Q54" s="49">
        <v>110000.0</v>
      </c>
      <c r="R54" s="49">
        <v>160000.0</v>
      </c>
      <c r="S54" s="50">
        <v>114000.0</v>
      </c>
      <c r="T54" s="50">
        <v>40000.0</v>
      </c>
      <c r="U54" s="50">
        <v>40000.0</v>
      </c>
      <c r="V54" s="50">
        <v>40000.0</v>
      </c>
      <c r="W54" s="50">
        <v>40000.0</v>
      </c>
      <c r="X54" s="50">
        <v>40000.0</v>
      </c>
      <c r="Y54" s="50">
        <v>40000.0</v>
      </c>
      <c r="Z54" s="12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6"/>
    </row>
    <row r="55">
      <c r="A55" s="44" t="s">
        <v>67</v>
      </c>
      <c r="B55" s="29">
        <v>36000.0</v>
      </c>
      <c r="C55" s="49">
        <f t="shared" ref="C55:D55" si="8">34000</f>
        <v>34000</v>
      </c>
      <c r="D55" s="49">
        <f t="shared" si="8"/>
        <v>34000</v>
      </c>
      <c r="E55" s="49">
        <f t="shared" ref="E55:F55" si="9">64000</f>
        <v>64000</v>
      </c>
      <c r="F55" s="49">
        <f t="shared" si="9"/>
        <v>64000</v>
      </c>
      <c r="G55" s="49">
        <f t="shared" ref="G55:N55" si="10">68000</f>
        <v>68000</v>
      </c>
      <c r="H55" s="49">
        <f t="shared" si="10"/>
        <v>68000</v>
      </c>
      <c r="I55" s="49">
        <f t="shared" si="10"/>
        <v>68000</v>
      </c>
      <c r="J55" s="49">
        <f t="shared" si="10"/>
        <v>68000</v>
      </c>
      <c r="K55" s="49">
        <f t="shared" si="10"/>
        <v>68000</v>
      </c>
      <c r="L55" s="49">
        <f t="shared" si="10"/>
        <v>68000</v>
      </c>
      <c r="M55" s="49">
        <f t="shared" si="10"/>
        <v>68000</v>
      </c>
      <c r="N55" s="49">
        <f t="shared" si="10"/>
        <v>68000</v>
      </c>
      <c r="O55" s="49">
        <f>34000</f>
        <v>34000</v>
      </c>
      <c r="P55" s="49">
        <v>34000.0</v>
      </c>
      <c r="Q55" s="49">
        <v>34000.0</v>
      </c>
      <c r="R55" s="49">
        <v>34000.0</v>
      </c>
      <c r="S55" s="50">
        <v>34000.0</v>
      </c>
      <c r="T55" s="50">
        <v>34000.0</v>
      </c>
      <c r="U55" s="50">
        <v>34000.0</v>
      </c>
      <c r="V55" s="50">
        <v>34000.0</v>
      </c>
      <c r="W55" s="50">
        <v>34000.0</v>
      </c>
      <c r="X55" s="50">
        <v>34000.0</v>
      </c>
      <c r="Y55" s="50">
        <v>34000.0</v>
      </c>
      <c r="Z55" s="12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6"/>
    </row>
    <row r="56">
      <c r="A56" s="44" t="s">
        <v>68</v>
      </c>
      <c r="B56" s="29">
        <v>5000.0</v>
      </c>
      <c r="C56" s="49">
        <f t="shared" ref="C56:Y56" si="11">5000</f>
        <v>5000</v>
      </c>
      <c r="D56" s="49">
        <f t="shared" si="11"/>
        <v>5000</v>
      </c>
      <c r="E56" s="49">
        <f t="shared" si="11"/>
        <v>5000</v>
      </c>
      <c r="F56" s="49">
        <f t="shared" si="11"/>
        <v>5000</v>
      </c>
      <c r="G56" s="49">
        <f t="shared" si="11"/>
        <v>5000</v>
      </c>
      <c r="H56" s="49">
        <f t="shared" si="11"/>
        <v>5000</v>
      </c>
      <c r="I56" s="49">
        <f t="shared" si="11"/>
        <v>5000</v>
      </c>
      <c r="J56" s="49">
        <f t="shared" si="11"/>
        <v>5000</v>
      </c>
      <c r="K56" s="49">
        <f t="shared" si="11"/>
        <v>5000</v>
      </c>
      <c r="L56" s="49">
        <f t="shared" si="11"/>
        <v>5000</v>
      </c>
      <c r="M56" s="49">
        <f t="shared" si="11"/>
        <v>5000</v>
      </c>
      <c r="N56" s="49">
        <f t="shared" si="11"/>
        <v>5000</v>
      </c>
      <c r="O56" s="49">
        <f t="shared" si="11"/>
        <v>5000</v>
      </c>
      <c r="P56" s="49">
        <f t="shared" si="11"/>
        <v>5000</v>
      </c>
      <c r="Q56" s="49">
        <f t="shared" si="11"/>
        <v>5000</v>
      </c>
      <c r="R56" s="49">
        <f t="shared" si="11"/>
        <v>5000</v>
      </c>
      <c r="S56" s="50">
        <f t="shared" si="11"/>
        <v>5000</v>
      </c>
      <c r="T56" s="50">
        <f t="shared" si="11"/>
        <v>5000</v>
      </c>
      <c r="U56" s="50">
        <f t="shared" si="11"/>
        <v>5000</v>
      </c>
      <c r="V56" s="50">
        <f t="shared" si="11"/>
        <v>5000</v>
      </c>
      <c r="W56" s="50">
        <f t="shared" si="11"/>
        <v>5000</v>
      </c>
      <c r="X56" s="50">
        <f t="shared" si="11"/>
        <v>5000</v>
      </c>
      <c r="Y56" s="50">
        <f t="shared" si="11"/>
        <v>5000</v>
      </c>
      <c r="Z56" s="12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6"/>
    </row>
    <row r="57">
      <c r="A57" s="44" t="s">
        <v>69</v>
      </c>
      <c r="B57" s="29"/>
      <c r="C57" s="49">
        <v>18700.0</v>
      </c>
      <c r="D57" s="49"/>
      <c r="E57" s="50"/>
      <c r="F57" s="50"/>
      <c r="G57" s="49"/>
      <c r="H57" s="50"/>
      <c r="I57" s="50"/>
      <c r="J57" s="50"/>
      <c r="K57" s="50"/>
      <c r="L57" s="50"/>
      <c r="M57" s="50"/>
      <c r="N57" s="50"/>
      <c r="O57" s="50"/>
      <c r="P57" s="49">
        <v>51000.0</v>
      </c>
      <c r="Q57" s="50"/>
      <c r="R57" s="50"/>
      <c r="S57" s="50"/>
      <c r="T57" s="50"/>
      <c r="U57" s="50"/>
      <c r="V57" s="50"/>
      <c r="W57" s="50"/>
      <c r="X57" s="50"/>
      <c r="Y57" s="50"/>
      <c r="Z57" s="12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6"/>
    </row>
    <row r="58">
      <c r="A58" s="44" t="s">
        <v>70</v>
      </c>
      <c r="B58" s="29"/>
      <c r="C58" s="49">
        <f t="shared" ref="C58:J58" si="12">6500</f>
        <v>6500</v>
      </c>
      <c r="D58" s="49">
        <f t="shared" si="12"/>
        <v>6500</v>
      </c>
      <c r="E58" s="49">
        <f t="shared" si="12"/>
        <v>6500</v>
      </c>
      <c r="F58" s="49">
        <f t="shared" si="12"/>
        <v>6500</v>
      </c>
      <c r="G58" s="49">
        <f t="shared" si="12"/>
        <v>6500</v>
      </c>
      <c r="H58" s="49">
        <f t="shared" si="12"/>
        <v>6500</v>
      </c>
      <c r="I58" s="49">
        <f t="shared" si="12"/>
        <v>6500</v>
      </c>
      <c r="J58" s="49">
        <f t="shared" si="12"/>
        <v>6500</v>
      </c>
      <c r="K58" s="49"/>
      <c r="L58" s="49"/>
      <c r="M58" s="49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12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6"/>
    </row>
    <row r="59">
      <c r="A59" s="44" t="s">
        <v>71</v>
      </c>
      <c r="B59" s="29"/>
      <c r="C59" s="49">
        <v>74490.0</v>
      </c>
      <c r="D59" s="50"/>
      <c r="E59" s="50"/>
      <c r="F59" s="49">
        <v>105000.0</v>
      </c>
      <c r="G59" s="49">
        <v>36000.0</v>
      </c>
      <c r="H59" s="49">
        <v>36000.0</v>
      </c>
      <c r="I59" s="49">
        <v>36000.0</v>
      </c>
      <c r="J59" s="50">
        <v>36000.0</v>
      </c>
      <c r="K59" s="49">
        <v>36000.0</v>
      </c>
      <c r="L59" s="49">
        <v>36000.0</v>
      </c>
      <c r="M59" s="49">
        <v>36000.0</v>
      </c>
      <c r="N59" s="49">
        <v>36000.0</v>
      </c>
      <c r="O59" s="49">
        <v>36000.0</v>
      </c>
      <c r="P59" s="49">
        <v>36000.0</v>
      </c>
      <c r="Q59" s="49"/>
      <c r="R59" s="50"/>
      <c r="S59" s="50"/>
      <c r="T59" s="50"/>
      <c r="U59" s="50"/>
      <c r="V59" s="50"/>
      <c r="W59" s="50"/>
      <c r="X59" s="50"/>
      <c r="Y59" s="50"/>
      <c r="Z59" s="12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6"/>
    </row>
    <row r="60">
      <c r="A60" s="44" t="s">
        <v>72</v>
      </c>
      <c r="B60" s="29"/>
      <c r="C60" s="49"/>
      <c r="D60" s="50"/>
      <c r="E60" s="50"/>
      <c r="F60" s="49">
        <v>8200.0</v>
      </c>
      <c r="G60" s="49">
        <v>8200.0</v>
      </c>
      <c r="H60" s="49">
        <v>8200.0</v>
      </c>
      <c r="I60" s="49">
        <v>8200.0</v>
      </c>
      <c r="J60" s="49">
        <v>8200.0</v>
      </c>
      <c r="K60" s="49"/>
      <c r="L60" s="49"/>
      <c r="M60" s="49"/>
      <c r="N60" s="49"/>
      <c r="O60" s="49"/>
      <c r="P60" s="49"/>
      <c r="Q60" s="49"/>
      <c r="R60" s="49"/>
      <c r="S60" s="50"/>
      <c r="T60" s="50"/>
      <c r="U60" s="50">
        <v>8200.0</v>
      </c>
      <c r="V60" s="50">
        <v>8200.0</v>
      </c>
      <c r="W60" s="50">
        <v>8200.0</v>
      </c>
      <c r="X60" s="50">
        <v>8200.0</v>
      </c>
      <c r="Y60" s="50">
        <v>8200.0</v>
      </c>
      <c r="Z60" s="12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6"/>
    </row>
    <row r="61">
      <c r="A61" s="44" t="s">
        <v>73</v>
      </c>
      <c r="B61" s="29">
        <v>2900000.0</v>
      </c>
      <c r="C61" s="49">
        <v>2900000.0</v>
      </c>
      <c r="D61" s="49">
        <v>2900000.0</v>
      </c>
      <c r="E61" s="49">
        <v>2800000.0</v>
      </c>
      <c r="F61" s="49">
        <v>3064516.0</v>
      </c>
      <c r="G61" s="49">
        <v>2500000.0</v>
      </c>
      <c r="H61" s="49">
        <v>4860000.0</v>
      </c>
      <c r="I61" s="49">
        <v>2500000.0</v>
      </c>
      <c r="J61" s="49">
        <v>2500000.0</v>
      </c>
      <c r="K61" s="49">
        <v>2500000.0</v>
      </c>
      <c r="L61" s="49">
        <v>2500000.0</v>
      </c>
      <c r="M61" s="49">
        <v>2500000.0</v>
      </c>
      <c r="N61" s="49">
        <v>2500000.0</v>
      </c>
      <c r="O61" s="49">
        <v>1000000.0</v>
      </c>
      <c r="P61" s="49">
        <v>1700000.0</v>
      </c>
      <c r="Q61" s="49">
        <v>1650000.0</v>
      </c>
      <c r="R61" s="49">
        <v>1700000.0</v>
      </c>
      <c r="S61" s="50">
        <v>1700000.0</v>
      </c>
      <c r="T61" s="50">
        <v>1700000.0</v>
      </c>
      <c r="U61" s="50">
        <v>1700000.0</v>
      </c>
      <c r="V61" s="50">
        <v>1700000.0</v>
      </c>
      <c r="W61" s="50">
        <v>1700000.0</v>
      </c>
      <c r="X61" s="50">
        <v>1700000.0</v>
      </c>
      <c r="Y61" s="50">
        <v>1700000.0</v>
      </c>
      <c r="Z61" s="12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6"/>
    </row>
    <row r="62">
      <c r="A62" s="44" t="s">
        <v>74</v>
      </c>
      <c r="B62" s="29"/>
      <c r="C62" s="49"/>
      <c r="D62" s="49"/>
      <c r="E62" s="49"/>
      <c r="F62" s="49"/>
      <c r="G62" s="49"/>
      <c r="H62" s="49">
        <v>250000.0</v>
      </c>
      <c r="I62" s="49">
        <v>250000.0</v>
      </c>
      <c r="J62" s="49"/>
      <c r="K62" s="49"/>
      <c r="L62" s="49"/>
      <c r="M62" s="49"/>
      <c r="N62" s="49"/>
      <c r="O62" s="49"/>
      <c r="P62" s="49"/>
      <c r="Q62" s="49"/>
      <c r="R62" s="49"/>
      <c r="S62" s="50"/>
      <c r="T62" s="50"/>
      <c r="U62" s="50"/>
      <c r="V62" s="50"/>
      <c r="W62" s="50"/>
      <c r="X62" s="50"/>
      <c r="Y62" s="50"/>
      <c r="Z62" s="12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6"/>
    </row>
    <row r="63">
      <c r="A63" s="44" t="s">
        <v>75</v>
      </c>
      <c r="B63" s="29"/>
      <c r="C63" s="49"/>
      <c r="D63" s="49"/>
      <c r="E63" s="49"/>
      <c r="F63" s="49"/>
      <c r="G63" s="49"/>
      <c r="H63" s="49"/>
      <c r="I63" s="49">
        <v>16500.0</v>
      </c>
      <c r="J63" s="49">
        <v>18000.0</v>
      </c>
      <c r="K63" s="49">
        <v>18000.0</v>
      </c>
      <c r="L63" s="49">
        <v>18000.0</v>
      </c>
      <c r="M63" s="49">
        <v>18000.0</v>
      </c>
      <c r="N63" s="49">
        <v>18000.0</v>
      </c>
      <c r="O63" s="49">
        <v>18000.0</v>
      </c>
      <c r="P63" s="49">
        <v>18000.0</v>
      </c>
      <c r="Q63" s="49">
        <v>20000.0</v>
      </c>
      <c r="R63" s="49">
        <v>18000.0</v>
      </c>
      <c r="S63" s="50">
        <v>18000.0</v>
      </c>
      <c r="T63" s="50">
        <v>18000.0</v>
      </c>
      <c r="U63" s="50">
        <v>18000.0</v>
      </c>
      <c r="V63" s="50">
        <v>18000.0</v>
      </c>
      <c r="W63" s="50">
        <v>18000.0</v>
      </c>
      <c r="X63" s="50">
        <v>18000.0</v>
      </c>
      <c r="Y63" s="50">
        <v>18000.0</v>
      </c>
      <c r="Z63" s="12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6"/>
    </row>
    <row r="64">
      <c r="A64" s="44" t="s">
        <v>76</v>
      </c>
      <c r="B64" s="29"/>
      <c r="C64" s="49"/>
      <c r="D64" s="49"/>
      <c r="E64" s="49"/>
      <c r="F64" s="49"/>
      <c r="G64" s="49"/>
      <c r="H64" s="50"/>
      <c r="I64" s="49">
        <v>208000.0</v>
      </c>
      <c r="J64" s="49">
        <v>202928.0</v>
      </c>
      <c r="K64" s="49">
        <v>237889.0</v>
      </c>
      <c r="L64" s="51">
        <v>184456.0</v>
      </c>
      <c r="M64" s="51">
        <v>163889.0</v>
      </c>
      <c r="N64" s="51">
        <v>150346.0</v>
      </c>
      <c r="O64" s="52"/>
      <c r="P64" s="52"/>
      <c r="Q64" s="34"/>
      <c r="R64" s="34"/>
      <c r="S64" s="53">
        <v>43335.0</v>
      </c>
      <c r="T64" s="34">
        <f>37806+22725</f>
        <v>60531</v>
      </c>
      <c r="U64" s="34"/>
      <c r="V64" s="34"/>
      <c r="W64" s="34"/>
      <c r="X64" s="34"/>
      <c r="Y64" s="34"/>
      <c r="Z64" s="12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6"/>
    </row>
    <row r="65">
      <c r="A65" s="54"/>
      <c r="B65" s="55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12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6"/>
    </row>
    <row r="66">
      <c r="A66" s="24" t="s">
        <v>77</v>
      </c>
      <c r="B66" s="57">
        <f t="shared" ref="B66:D66" si="13">SUM(B67:B69)</f>
        <v>575540.75</v>
      </c>
      <c r="C66" s="57">
        <f t="shared" si="13"/>
        <v>709000.6975</v>
      </c>
      <c r="D66" s="57">
        <f t="shared" si="13"/>
        <v>203034.165</v>
      </c>
      <c r="E66" s="57">
        <f t="shared" ref="E66:M66" si="14">SUM(E67:E73)</f>
        <v>1801664.7</v>
      </c>
      <c r="F66" s="57">
        <f t="shared" si="14"/>
        <v>2370948.533</v>
      </c>
      <c r="G66" s="57">
        <f t="shared" si="14"/>
        <v>1033133.315</v>
      </c>
      <c r="H66" s="57">
        <f t="shared" si="14"/>
        <v>396169.135</v>
      </c>
      <c r="I66" s="57">
        <f t="shared" si="14"/>
        <v>324060.11</v>
      </c>
      <c r="J66" s="57">
        <f t="shared" si="14"/>
        <v>952834.593</v>
      </c>
      <c r="K66" s="57">
        <f t="shared" si="14"/>
        <v>457881.777</v>
      </c>
      <c r="L66" s="57">
        <f t="shared" si="14"/>
        <v>138914.8</v>
      </c>
      <c r="M66" s="57">
        <f t="shared" si="14"/>
        <v>10901</v>
      </c>
      <c r="N66" s="57"/>
      <c r="O66" s="57"/>
      <c r="P66" s="57"/>
      <c r="Q66" s="57"/>
      <c r="R66" s="57">
        <f t="shared" ref="R66:Y66" si="15">SUM(R67:R73)</f>
        <v>0</v>
      </c>
      <c r="S66" s="57">
        <f t="shared" si="15"/>
        <v>0</v>
      </c>
      <c r="T66" s="57">
        <f t="shared" si="15"/>
        <v>0</v>
      </c>
      <c r="U66" s="57">
        <f t="shared" si="15"/>
        <v>0</v>
      </c>
      <c r="V66" s="57">
        <f t="shared" si="15"/>
        <v>0</v>
      </c>
      <c r="W66" s="57">
        <f t="shared" si="15"/>
        <v>0</v>
      </c>
      <c r="X66" s="57">
        <f t="shared" si="15"/>
        <v>0</v>
      </c>
      <c r="Y66" s="57">
        <f t="shared" si="15"/>
        <v>0</v>
      </c>
      <c r="Z66" s="12"/>
      <c r="AA66" s="14"/>
      <c r="AB66" s="14"/>
      <c r="AC66" s="14"/>
      <c r="AD66" s="14"/>
      <c r="AE66" s="15" t="s">
        <v>78</v>
      </c>
      <c r="AF66" s="15" t="s">
        <v>79</v>
      </c>
      <c r="AG66" s="15" t="s">
        <v>80</v>
      </c>
      <c r="AH66" s="14"/>
      <c r="AI66" s="14"/>
      <c r="AJ66" s="14"/>
      <c r="AK66" s="14"/>
      <c r="AL66" s="14"/>
      <c r="AM66" s="14"/>
      <c r="AN66" s="14"/>
      <c r="AO66" s="6"/>
    </row>
    <row r="67" outlineLevel="1">
      <c r="A67" s="58" t="s">
        <v>81</v>
      </c>
      <c r="B67" s="59">
        <f>IFERROR(__xludf.DUMMYFUNCTION("IMPORTRANGE(""https://docs.google.com/spreadsheets/d/1JJd44_6b1hsmD6e8liei_zzkkh-GYab6gE4K23IJPVI/edit?gid=0#gid=0&amp;range=L4"",""'Лист1'!L4"")"),312975.25)</f>
        <v>312975.25</v>
      </c>
      <c r="C67" s="59">
        <f>IFERROR(__xludf.DUMMYFUNCTION("IMPORTRANGE(""https://docs.google.com/spreadsheets/d/1JJd44_6b1hsmD6e8liei_zzkkh-GYab6gE4K23IJPVI/edit?gid=0#gid=0&amp;range=L33"",""'Лист1'!L33"")"),222339.28499999992)</f>
        <v>222339.285</v>
      </c>
      <c r="D67" s="59">
        <f>IFERROR(__xludf.DUMMYFUNCTION("IMPORTRANGE(""https://docs.google.com/spreadsheets/d/1JJd44_6b1hsmD6e8liei_zzkkh-GYab6gE4K23IJPVI/edit?gid=0#gid=0&amp;range=L58"",""'Лист1'!J60"")"),34766.55)</f>
        <v>34766.55</v>
      </c>
      <c r="E67" s="59">
        <f>IFERROR(__xludf.DUMMYFUNCTION("IMPORTRANGE(""https://docs.google.com/spreadsheets/d/1JJd44_6b1hsmD6e8liei_zzkkh-GYab6gE4K23IJPVI/edit?gid=0#gid=0&amp;range=L58"",""'Лист1'!K87"")"),451912.5)</f>
        <v>451912.5</v>
      </c>
      <c r="F67" s="59">
        <f>IFERROR(__xludf.DUMMYFUNCTION("IMPORTRANGE(""https://docs.google.com/spreadsheets/d/1JJd44_6b1hsmD6e8liei_zzkkh-GYab6gE4K23IJPVI/edit?gid=0#gid=0&amp;range=L58"",""'Лист1'!L114"")"),855647.1)</f>
        <v>855647.1</v>
      </c>
      <c r="G67" s="59">
        <f>IFERROR(__xludf.DUMMYFUNCTION("IMPORTRANGE(""https://docs.google.com/spreadsheets/d/1JJd44_6b1hsmD6e8liei_zzkkh-GYab6gE4K23IJPVI/edit?gid=0#gid=0&amp;range=L58"",""'Лист1'!K141"")"),307962.9)</f>
        <v>307962.9</v>
      </c>
      <c r="H67" s="59">
        <f>IFERROR(__xludf.DUMMYFUNCTION("IMPORTRANGE(""https://docs.google.com/spreadsheets/d/1JJd44_6b1hsmD6e8liei_zzkkh-GYab6gE4K23IJPVI/edit?gid=0#gid=0&amp;range=J95"",""'Лист1'!K178"")"),183950.4824999998)</f>
        <v>183950.4825</v>
      </c>
      <c r="I67" s="59">
        <f>IFERROR(__xludf.DUMMYFUNCTION("IMPORTRANGE(""https://docs.google.com/spreadsheets/d/1JJd44_6b1hsmD6e8liei_zzkkh-GYab6gE4K23IJPVI/edit?gid=0#gid=0&amp;range=J95"",""'Лист1'!K205"")"),119018.60999999971)</f>
        <v>119018.61</v>
      </c>
      <c r="J67" s="59">
        <f>IFERROR(__xludf.DUMMYFUNCTION("IMPORTRANGE(""https://docs.google.com/spreadsheets/d/1JJd44_6b1hsmD6e8liei_zzkkh-GYab6gE4K23IJPVI/edit?gid=0#gid=0&amp;range=J95"",""'Лист1'!K232"")"),213330.68549999935)</f>
        <v>213330.6855</v>
      </c>
      <c r="K67" s="60">
        <f>IFERROR(__xludf.DUMMYFUNCTION("IMPORTRANGE(""https://docs.google.com/spreadsheets/d/1WK1njEHBcFWNKAb58Unj5OYFoRk5i-QHcHsE4Po6cBM/edit?gid=1241561823#gid=1241561823&amp;range=B29"",""'Март'!J19"")"),164505.9419999999)</f>
        <v>164505.942</v>
      </c>
      <c r="L67" s="59">
        <f>IFERROR(__xludf.DUMMYFUNCTION("IMPORTRANGE(""https://docs.google.com/spreadsheets/d/1WK1njEHBcFWNKAb58Unj5OYFoRk5i-QHcHsE4Po6cBM/edit?gid=1241561823#gid=1241561823&amp;range=B29"",""'апрель'!J16"")"),78634.8)</f>
        <v>78634.8</v>
      </c>
      <c r="M67" s="59">
        <f>IFERROR(__xludf.DUMMYFUNCTION("IMPORTRANGE(""https://docs.google.com/spreadsheets/d/1WK1njEHBcFWNKAb58Unj5OYFoRk5i-QHcHsE4Po6cBM/edit?gid=1241561823#gid=1241561823&amp;range=B29"",""'Май'!J15"")"),10901.0)</f>
        <v>10901</v>
      </c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12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6"/>
    </row>
    <row r="68" outlineLevel="1">
      <c r="A68" s="58" t="s">
        <v>82</v>
      </c>
      <c r="B68" s="59">
        <f>IFERROR(__xludf.DUMMYFUNCTION("IMPORTRANGE(""https://docs.google.com/spreadsheets/d/1JJd44_6b1hsmD6e8liei_zzkkh-GYab6gE4K23IJPVI/edit?gid=0#gid=0&amp;range=W4"",""'Лист1'!W4"")"),126590.5)</f>
        <v>126590.5</v>
      </c>
      <c r="C68" s="59">
        <f>IFERROR(__xludf.DUMMYFUNCTION("IMPORTRANGE(""https://docs.google.com/spreadsheets/d/1JJd44_6b1hsmD6e8liei_zzkkh-GYab6gE4K23IJPVI/edit?gid=0#gid=0&amp;range=AJ33"",""'Лист1'!AJ33"")-200000"),203383.01499999966)</f>
        <v>203383.015</v>
      </c>
      <c r="D68" s="59">
        <f>464012-303500</f>
        <v>160512</v>
      </c>
      <c r="E68" s="59">
        <f>IFERROR(__xludf.DUMMYFUNCTION("IMPORTRANGE(""https://docs.google.com/spreadsheets/d/1JJd44_6b1hsmD6e8liei_zzkkh-GYab6gE4K23IJPVI/edit?gid=0#gid=0&amp;range=L58"",""'Лист1'!AI87"")"),521093.25)</f>
        <v>521093.25</v>
      </c>
      <c r="F68" s="59">
        <f>IFERROR(__xludf.DUMMYFUNCTION("IMPORTRANGE(""https://docs.google.com/spreadsheets/d/1JJd44_6b1hsmD6e8liei_zzkkh-GYab6gE4K23IJPVI/edit?gid=0#gid=0&amp;range=L58"",""'Лист1'!AI114"") "),511784.2125)</f>
        <v>511784.2125</v>
      </c>
      <c r="G68" s="59">
        <f>IFERROR(__xludf.DUMMYFUNCTION("IMPORTRANGE(""https://docs.google.com/spreadsheets/d/1JJd44_6b1hsmD6e8liei_zzkkh-GYab6gE4K23IJPVI/edit?gid=0#gid=0&amp;range=L58"",""'Лист1'!AI141"") "),227892.375)</f>
        <v>227892.375</v>
      </c>
      <c r="H68" s="59" t="s">
        <v>25</v>
      </c>
      <c r="I68" s="59" t="s">
        <v>25</v>
      </c>
      <c r="J68" s="59" t="s">
        <v>25</v>
      </c>
      <c r="K68" s="60">
        <f>IFERROR(__xludf.DUMMYFUNCTION("IMPORTRANGE(""https://docs.google.com/spreadsheets/d/1WK1njEHBcFWNKAb58Unj5OYFoRk5i-QHcHsE4Po6cBM/edit?gid=1241561823#gid=1241561823&amp;range=B29"",""'Март'!J22"")"),39045.510000000126)</f>
        <v>39045.51</v>
      </c>
      <c r="L68" s="59" t="s">
        <v>25</v>
      </c>
      <c r="M68" s="59">
        <f>IFERROR(__xludf.DUMMYFUNCTION("IMPORTRANGE(""https://docs.google.com/spreadsheets/d/1WK1njEHBcFWNKAb58Unj5OYFoRk5i-QHcHsE4Po6cBM/edit?gid=1241561823#gid=1241561823&amp;range=B29"",""'Май'!J18"")"),0.0)</f>
        <v>0</v>
      </c>
      <c r="N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O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P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Q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R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S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T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U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V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W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X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Y68" s="59" t="str">
        <f>IFERROR(__xludf.DUMMYFUNCTION("IMPORTRANGE(""https://docs.google.com/spreadsheets/d/1WK1njEHBcFWNKAb58Unj5OYFoRk5i-QHcHsE4Po6cBM/edit?gid=1241561823#gid=1241561823&amp;range=B29"",""'Июнь 2025'!J18"")"),"")</f>
        <v/>
      </c>
      <c r="Z68" s="12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6"/>
    </row>
    <row r="69" outlineLevel="1">
      <c r="A69" s="58" t="s">
        <v>83</v>
      </c>
      <c r="B69" s="59">
        <f>IFERROR(__xludf.DUMMYFUNCTION("IMPORTRANGE(""https://docs.google.com/spreadsheets/d/1JJd44_6b1hsmD6e8liei_zzkkh-GYab6gE4K23IJPVI/edit?gid=0#gid=0&amp;range=AI4"",""'Лист1'!AI4"")"),135975.0)</f>
        <v>135975</v>
      </c>
      <c r="C69" s="59">
        <f>IFERROR(__xludf.DUMMYFUNCTION("IMPORTRANGE(""https://docs.google.com/spreadsheets/d/1JJd44_6b1hsmD6e8liei_zzkkh-GYab6gE4K23IJPVI/edit?gid=0#gid=0&amp;range=X33"",""'Лист1'!X33"")"),283278.3974999999)</f>
        <v>283278.3975</v>
      </c>
      <c r="D69" s="59">
        <f>IFERROR(__xludf.DUMMYFUNCTION("IMPORTRANGE(""https://docs.google.com/spreadsheets/d/1JJd44_6b1hsmD6e8liei_zzkkh-GYab6gE4K23IJPVI/edit?gid=0#gid=0&amp;range=V60"",""'Лист1'!V60"")"),7755.615000000032)</f>
        <v>7755.615</v>
      </c>
      <c r="E69" s="59">
        <f>IFERROR(__xludf.DUMMYFUNCTION("IMPORTRANGE(""https://docs.google.com/spreadsheets/d/1JJd44_6b1hsmD6e8liei_zzkkh-GYab6gE4K23IJPVI/edit?gid=0#gid=0&amp;range=L58"",""'Лист1'!W87"")"),378242.775)</f>
        <v>378242.775</v>
      </c>
      <c r="F69" s="59"/>
      <c r="G69" s="59">
        <f>IFERROR(__xludf.DUMMYFUNCTION("IMPORTRANGE(""https://docs.google.com/spreadsheets/d/1JJd44_6b1hsmD6e8liei_zzkkh-GYab6gE4K23IJPVI/edit?gid=0#gid=0&amp;range=L58"",""'Лист1'!W141"") "),65025.0)</f>
        <v>65025</v>
      </c>
      <c r="H69" s="59" t="s">
        <v>25</v>
      </c>
      <c r="I69" s="59" t="s">
        <v>25</v>
      </c>
      <c r="J69" s="59">
        <f>IFERROR(__xludf.DUMMYFUNCTION("IMPORTRANGE(""https://docs.google.com/spreadsheets/d/1JJd44_6b1hsmD6e8liei_zzkkh-GYab6gE4K23IJPVI/edit?gid=0#gid=0&amp;range=L58"",""'Лист1'!AH222"") "),138487.18500000035)</f>
        <v>138487.185</v>
      </c>
      <c r="K69" s="59" t="s">
        <v>25</v>
      </c>
      <c r="L69" s="59" t="s">
        <v>25</v>
      </c>
      <c r="M69" s="59" t="s">
        <v>25</v>
      </c>
      <c r="N69" s="59" t="s">
        <v>25</v>
      </c>
      <c r="O69" s="59" t="s">
        <v>25</v>
      </c>
      <c r="P69" s="59" t="s">
        <v>25</v>
      </c>
      <c r="Q69" s="59" t="s">
        <v>25</v>
      </c>
      <c r="R69" s="59" t="s">
        <v>25</v>
      </c>
      <c r="S69" s="59" t="s">
        <v>25</v>
      </c>
      <c r="T69" s="59" t="s">
        <v>25</v>
      </c>
      <c r="U69" s="59" t="s">
        <v>25</v>
      </c>
      <c r="V69" s="59" t="s">
        <v>25</v>
      </c>
      <c r="W69" s="59" t="s">
        <v>25</v>
      </c>
      <c r="X69" s="59" t="s">
        <v>25</v>
      </c>
      <c r="Y69" s="59" t="s">
        <v>25</v>
      </c>
      <c r="Z69" s="12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6"/>
    </row>
    <row r="70" outlineLevel="1">
      <c r="A70" s="58" t="s">
        <v>84</v>
      </c>
      <c r="B70" s="59"/>
      <c r="C70" s="59"/>
      <c r="D70" s="59"/>
      <c r="E70" s="59"/>
      <c r="F70" s="59">
        <f>IFERROR(__xludf.DUMMYFUNCTION("IMPORTRANGE(""https://docs.google.com/spreadsheets/d/1JJd44_6b1hsmD6e8liei_zzkkh-GYab6gE4K23IJPVI/edit?gid=0#gid=0&amp;range=L58"",""'Лист1'!BG114"") "),96258.375)</f>
        <v>96258.375</v>
      </c>
      <c r="G70" s="59">
        <f>IFERROR(__xludf.DUMMYFUNCTION("IMPORTRANGE(""https://docs.google.com/spreadsheets/d/1JJd44_6b1hsmD6e8liei_zzkkh-GYab6gE4K23IJPVI/edit?gid=0#gid=0&amp;range=L58"",""'Лист1'!BG141"") "),139071.24000000008)</f>
        <v>139071.24</v>
      </c>
      <c r="H70" s="59">
        <f>IFERROR(__xludf.DUMMYFUNCTION("IMPORTRANGE(""https://docs.google.com/spreadsheets/d/1JJd44_6b1hsmD6e8liei_zzkkh-GYab6gE4K23IJPVI/edit?gid=0#gid=0&amp;range=L58"",""'Лист1'!V168"") "),126094.9275000005)</f>
        <v>126094.9275</v>
      </c>
      <c r="I70" s="59">
        <f>IFERROR(__xludf.DUMMYFUNCTION("IMPORTRANGE(""https://docs.google.com/spreadsheets/d/1JJd44_6b1hsmD6e8liei_zzkkh-GYab6gE4K23IJPVI/edit?gid=0#gid=0&amp;range=L58"",""'Лист1'!V195"") "),134593.65)</f>
        <v>134593.65</v>
      </c>
      <c r="J70" s="59">
        <f>IFERROR(__xludf.DUMMYFUNCTION("IMPORTRANGE(""https://docs.google.com/spreadsheets/d/1JJd44_6b1hsmD6e8liei_zzkkh-GYab6gE4K23IJPVI/edit?gid=0#gid=0&amp;range=L58"",""'Лист1'!X222"") "),479036.7224999995)</f>
        <v>479036.7225</v>
      </c>
      <c r="K70" s="60">
        <f>IFERROR(__xludf.DUMMYFUNCTION("IMPORTRANGE(""https://docs.google.com/spreadsheets/d/1WK1njEHBcFWNKAb58Unj5OYFoRk5i-QHcHsE4Po6cBM/edit?gid=1241561823#gid=1241561823&amp;range=B29"",""'Март'!J20"")"),157868.3250000002)</f>
        <v>157868.325</v>
      </c>
      <c r="L70" s="59">
        <v>60280.0</v>
      </c>
      <c r="M70" s="59">
        <f>IFERROR(__xludf.DUMMYFUNCTION("IMPORTRANGE(""https://docs.google.com/spreadsheets/d/1WK1njEHBcFWNKAb58Unj5OYFoRk5i-QHcHsE4Po6cBM/edit?gid=1241561823#gid=1241561823&amp;range=B29"",""'Май'!J16"")"),0.0)</f>
        <v>0</v>
      </c>
      <c r="N70" s="59" t="s">
        <v>25</v>
      </c>
      <c r="O70" s="59" t="s">
        <v>25</v>
      </c>
      <c r="P70" s="59" t="s">
        <v>25</v>
      </c>
      <c r="Q70" s="59" t="s">
        <v>25</v>
      </c>
      <c r="R70" s="59" t="s">
        <v>25</v>
      </c>
      <c r="S70" s="59" t="s">
        <v>25</v>
      </c>
      <c r="T70" s="59" t="s">
        <v>25</v>
      </c>
      <c r="U70" s="59" t="s">
        <v>25</v>
      </c>
      <c r="V70" s="59" t="s">
        <v>25</v>
      </c>
      <c r="W70" s="59" t="s">
        <v>25</v>
      </c>
      <c r="X70" s="59" t="s">
        <v>25</v>
      </c>
      <c r="Y70" s="59" t="s">
        <v>25</v>
      </c>
      <c r="Z70" s="12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6"/>
    </row>
    <row r="71" outlineLevel="1">
      <c r="A71" s="58" t="s">
        <v>85</v>
      </c>
      <c r="B71" s="59"/>
      <c r="C71" s="59"/>
      <c r="D71" s="59"/>
      <c r="E71" s="59"/>
      <c r="F71" s="59"/>
      <c r="G71" s="59">
        <f>IFERROR(__xludf.DUMMYFUNCTION("IMPORTRANGE(""https://docs.google.com/spreadsheets/d/1JJd44_6b1hsmD6e8liei_zzkkh-GYab6gE4K23IJPVI/edit?gid=0#gid=0&amp;range=L58"",""'Лист1'!BS141"") "),0.0)</f>
        <v>0</v>
      </c>
      <c r="H71" s="59" t="s">
        <v>25</v>
      </c>
      <c r="I71" s="59" t="s">
        <v>25</v>
      </c>
      <c r="J71" s="59" t="s">
        <v>25</v>
      </c>
      <c r="K71" s="59" t="s">
        <v>25</v>
      </c>
      <c r="L71" s="59" t="s">
        <v>25</v>
      </c>
      <c r="M71" s="59" t="str">
        <f>IFERROR(__xludf.DUMMYFUNCTION("IMPORTRANGE(""https://docs.google.com/spreadsheets/d/1WK1njEHBcFWNKAb58Unj5OYFoRk5i-QHcHsE4Po6cBM/edit?gid=1241561823#gid=1241561823&amp;range=B29"",""'Май'!J20"")"),"")</f>
        <v/>
      </c>
      <c r="N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O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P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Q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R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S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T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U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V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W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X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Y71" s="59" t="str">
        <f>IFERROR(__xludf.DUMMYFUNCTION("IMPORTRANGE(""https://docs.google.com/spreadsheets/d/1WK1njEHBcFWNKAb58Unj5OYFoRk5i-QHcHsE4Po6cBM/edit?gid=1241561823#gid=1241561823&amp;range=B29"",""'Июнь 2025'!J20"")"),"")</f>
        <v/>
      </c>
      <c r="Z71" s="12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6"/>
    </row>
    <row r="72" outlineLevel="1">
      <c r="A72" s="58" t="s">
        <v>86</v>
      </c>
      <c r="B72" s="59"/>
      <c r="C72" s="59"/>
      <c r="D72" s="59"/>
      <c r="E72" s="59">
        <f>IFERROR(__xludf.DUMMYFUNCTION("IMPORTRANGE(""https://docs.google.com/spreadsheets/d/1JJd44_6b1hsmD6e8liei_zzkkh-GYab6gE4K23IJPVI/edit?gid=0#gid=0&amp;range=J95"",""'Лист1'!J93"")"),450416.17500000075)</f>
        <v>450416.175</v>
      </c>
      <c r="F72" s="59">
        <f>IFERROR(__xludf.DUMMYFUNCTION("IMPORTRANGE(""https://docs.google.com/spreadsheets/d/1JJd44_6b1hsmD6e8liei_zzkkh-GYab6gE4K23IJPVI/edit?gid=0#gid=0&amp;range=J95"",""'Лист1'!J120"")"),453629.4224999994)</f>
        <v>453629.4225</v>
      </c>
      <c r="G72" s="59">
        <f>IFERROR(__xludf.DUMMYFUNCTION("IMPORTRANGE(""https://docs.google.com/spreadsheets/d/1JJd44_6b1hsmD6e8liei_zzkkh-GYab6gE4K23IJPVI/edit?gid=0#gid=0&amp;range=J95"",""'Лист1'!K147"")"),121021.94999999925)</f>
        <v>121021.95</v>
      </c>
      <c r="H72" s="59" t="s">
        <v>25</v>
      </c>
      <c r="I72" s="59" t="s">
        <v>25</v>
      </c>
      <c r="J72" s="59" t="s">
        <v>25</v>
      </c>
      <c r="K72" s="59" t="s">
        <v>25</v>
      </c>
      <c r="L72" s="59" t="s">
        <v>25</v>
      </c>
      <c r="M72" s="59" t="s">
        <v>25</v>
      </c>
      <c r="N72" s="59" t="s">
        <v>25</v>
      </c>
      <c r="O72" s="59" t="s">
        <v>25</v>
      </c>
      <c r="P72" s="59" t="s">
        <v>25</v>
      </c>
      <c r="Q72" s="59" t="s">
        <v>25</v>
      </c>
      <c r="R72" s="59" t="s">
        <v>25</v>
      </c>
      <c r="S72" s="59" t="s">
        <v>25</v>
      </c>
      <c r="T72" s="59" t="s">
        <v>25</v>
      </c>
      <c r="U72" s="59" t="s">
        <v>25</v>
      </c>
      <c r="V72" s="59" t="s">
        <v>25</v>
      </c>
      <c r="W72" s="59" t="s">
        <v>25</v>
      </c>
      <c r="X72" s="59" t="s">
        <v>25</v>
      </c>
      <c r="Y72" s="59" t="s">
        <v>25</v>
      </c>
      <c r="Z72" s="12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6"/>
    </row>
    <row r="73" outlineLevel="1">
      <c r="A73" s="58" t="s">
        <v>87</v>
      </c>
      <c r="B73" s="59"/>
      <c r="C73" s="59"/>
      <c r="D73" s="59"/>
      <c r="E73" s="59"/>
      <c r="F73" s="59">
        <f>IFERROR(__xludf.DUMMYFUNCTION("IMPORTRANGE(""https://docs.google.com/spreadsheets/d/1JJd44_6b1hsmD6e8liei_zzkkh-GYab6gE4K23IJPVI/edit?gid=0#gid=0&amp;range=J95"",""'Лист1'!J120"")"),453629.4224999994)</f>
        <v>453629.4225</v>
      </c>
      <c r="G73" s="59">
        <f>IFERROR(__xludf.DUMMYFUNCTION("IMPORTRANGE(""https://docs.google.com/spreadsheets/d/1JJd44_6b1hsmD6e8liei_zzkkh-GYab6gE4K23IJPVI/edit?gid=0#gid=0&amp;range=J95"",""'Лист1'!I147"")"),172159.8500000015)</f>
        <v>172159.85</v>
      </c>
      <c r="H73" s="59">
        <f>IFERROR(__xludf.DUMMYFUNCTION("IMPORTRANGE(""https://docs.google.com/spreadsheets/d/1JJd44_6b1hsmD6e8liei_zzkkh-GYab6gE4K23IJPVI/edit?gid=0#gid=0&amp;range=J95"",""'Лист1'!I174"")"),86123.72499999963)</f>
        <v>86123.725</v>
      </c>
      <c r="I73" s="59">
        <f>IFERROR(__xludf.DUMMYFUNCTION("IMPORTRANGE(""https://docs.google.com/spreadsheets/d/1JJd44_6b1hsmD6e8liei_zzkkh-GYab6gE4K23IJPVI/edit?gid=0#gid=0&amp;range=J95"",""'Лист1'!I201"")"),70447.84999999963)</f>
        <v>70447.85</v>
      </c>
      <c r="J73" s="59">
        <v>121980.0</v>
      </c>
      <c r="K73" s="59">
        <v>96462.0</v>
      </c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12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6"/>
    </row>
    <row r="74" outlineLevel="1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12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6"/>
    </row>
    <row r="75">
      <c r="A75" s="61"/>
      <c r="B75" s="62"/>
      <c r="C75" s="63"/>
      <c r="D75" s="63"/>
      <c r="E75" s="59"/>
      <c r="F75" s="59"/>
      <c r="G75" s="59"/>
      <c r="H75" s="59"/>
      <c r="I75" s="59"/>
      <c r="J75" s="59"/>
      <c r="K75" s="59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12"/>
      <c r="AA75" s="64" t="s">
        <v>88</v>
      </c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6"/>
    </row>
    <row r="76">
      <c r="A76" s="24" t="s">
        <v>89</v>
      </c>
      <c r="B76" s="25">
        <f>IFERROR(__xludf.DUMMYFUNCTION("IMPORTRANGE(""https://docs.google.com/spreadsheets/d/1oy6_TeFCrvZNUBTjP_AzSf4fSBEgSiLEDY2uYc9J7LE/edit?gid=0#gid=0&amp;range=D4"",""'Лист1'!D4"")"),2241343.0)</f>
        <v>2241343</v>
      </c>
      <c r="C76" s="25">
        <f>IFERROR(__xludf.DUMMYFUNCTION("IMPORTRANGE(""https://docs.google.com/spreadsheets/d/1oy6_TeFCrvZNUBTjP_AzSf4fSBEgSiLEDY2uYc9J7LE/edit?gid=0#gid=0&amp;range=I4"",""'Лист1'!I4"")"),2100461.0)</f>
        <v>2100461</v>
      </c>
      <c r="D76" s="25">
        <f>IFERROR(__xludf.DUMMYFUNCTION("IMPORTRANGE(""https://docs.google.com/spreadsheets/d/1oy6_TeFCrvZNUBTjP_AzSf4fSBEgSiLEDY2uYc9J7LE/edit?gid=0#gid=0&amp;range=N4"",""'Лист1'!N4"")"),2249923.0)</f>
        <v>2249923</v>
      </c>
      <c r="E76" s="25">
        <f>IFERROR(__xludf.DUMMYFUNCTION("IMPORTRANGE(""https://docs.google.com/spreadsheets/d/1oy6_TeFCrvZNUBTjP_AzSf4fSBEgSiLEDY2uYc9J7LE/edit?gid=0#gid=0&amp;range=N4"",""'Лист1'!S4"")"),3583028.0)</f>
        <v>3583028</v>
      </c>
      <c r="F76" s="25">
        <f>IFERROR(__xludf.DUMMYFUNCTION("IMPORTRANGE(""https://docs.google.com/spreadsheets/d/1oy6_TeFCrvZNUBTjP_AzSf4fSBEgSiLEDY2uYc9J7LE/edit?gid=0#gid=0&amp;range=N4"",""'Лист1'!X4"")"),1.2380933E7)</f>
        <v>12380933</v>
      </c>
      <c r="G76" s="25">
        <f>IFERROR(__xludf.DUMMYFUNCTION("IMPORTRANGE(""https://docs.google.com/spreadsheets/d/1oy6_TeFCrvZNUBTjP_AzSf4fSBEgSiLEDY2uYc9J7LE/edit?gid=0#gid=0&amp;range=N4"",""'Лист1'!AC4"")"),5989349.0)</f>
        <v>5989349</v>
      </c>
      <c r="H76" s="25">
        <f>IFERROR(__xludf.DUMMYFUNCTION("IMPORTRANGE(""https://docs.google.com/spreadsheets/d/1oy6_TeFCrvZNUBTjP_AzSf4fSBEgSiLEDY2uYc9J7LE/edit?gid=0#gid=0&amp;range=N4"",""'Лист1'!AH4"")"),8848078.0)</f>
        <v>8848078</v>
      </c>
      <c r="I76" s="25">
        <f>IFERROR(__xludf.DUMMYFUNCTION("IMPORTRANGE(""https://docs.google.com/spreadsheets/d/1oy6_TeFCrvZNUBTjP_AzSf4fSBEgSiLEDY2uYc9J7LE/edit?gid=0#gid=0&amp;range=N4"",""'Лист1'!AM4"")"),2809639.0)</f>
        <v>2809639</v>
      </c>
      <c r="J76" s="25">
        <f>IFERROR(__xludf.DUMMYFUNCTION("IMPORTRANGE(""https://docs.google.com/spreadsheets/d/1oy6_TeFCrvZNUBTjP_AzSf4fSBEgSiLEDY2uYc9J7LE/edit?gid=0#gid=0&amp;range=N4"",""'Лист1'!AR4"")"),1790968.0)</f>
        <v>1790968</v>
      </c>
      <c r="K76" s="25">
        <f>IFERROR(__xludf.DUMMYFUNCTION("IMPORTRANGE(""https://docs.google.com/spreadsheets/d/1oy6_TeFCrvZNUBTjP_AzSf4fSBEgSiLEDY2uYc9J7LE/edit?gid=0#gid=0&amp;range=N4"",""'Лист1'!AW4"")"),710687.0)</f>
        <v>710687</v>
      </c>
      <c r="L76" s="25">
        <f>IFERROR(__xludf.DUMMYFUNCTION("IMPORTRANGE(""https://docs.google.com/spreadsheets/d/1oy6_TeFCrvZNUBTjP_AzSf4fSBEgSiLEDY2uYc9J7LE/edit?gid=0#gid=0&amp;range=N4"",""'Лист1'!BB4"")"),354638.0)</f>
        <v>354638</v>
      </c>
      <c r="M76" s="25">
        <f>IFERROR(__xludf.DUMMYFUNCTION("IMPORTRANGE(""https://docs.google.com/spreadsheets/d/1oy6_TeFCrvZNUBTjP_AzSf4fSBEgSiLEDY2uYc9J7LE/edit?gid=0#gid=0&amp;range=N4"",""'Лист1'!BG4"")"),351634.0)</f>
        <v>351634</v>
      </c>
      <c r="N76" s="25">
        <f>IFERROR(__xludf.DUMMYFUNCTION("IMPORTRANGE(""https://docs.google.com/spreadsheets/d/1oy6_TeFCrvZNUBTjP_AzSf4fSBEgSiLEDY2uYc9J7LE/edit?gid=0#gid=0&amp;range=N4"",""'Лист1'!BL4"")"),622357.0)</f>
        <v>622357</v>
      </c>
      <c r="O76" s="25">
        <f>IFERROR(__xludf.DUMMYFUNCTION("IMPORTRANGE(""https://docs.google.com/spreadsheets/d/1oy6_TeFCrvZNUBTjP_AzSf4fSBEgSiLEDY2uYc9J7LE/edit?gid=0#gid=0&amp;range=N4"",""'Лист1'!BQ4"")"),624070.0)</f>
        <v>624070</v>
      </c>
      <c r="P76" s="25">
        <f>IFERROR(__xludf.DUMMYFUNCTION("IMPORTRANGE(""https://docs.google.com/spreadsheets/d/1oy6_TeFCrvZNUBTjP_AzSf4fSBEgSiLEDY2uYc9J7LE/edit?gid=0#gid=0&amp;range=N4"",""'Лист1'!BV4"")"),1759199.0)</f>
        <v>1759199</v>
      </c>
      <c r="Q76" s="25">
        <f>IFERROR(__xludf.DUMMYFUNCTION("IMPORTRANGE(""https://docs.google.com/spreadsheets/d/1oy6_TeFCrvZNUBTjP_AzSf4fSBEgSiLEDY2uYc9J7LE/edit?gid=0#gid=0&amp;range=N4"",""'Лист1'!CA4"")"),670311.0)</f>
        <v>670311</v>
      </c>
      <c r="R76" s="25">
        <f>IFERROR(__xludf.DUMMYFUNCTION("IMPORTRANGE(""https://docs.google.com/spreadsheets/d/1oy6_TeFCrvZNUBTjP_AzSf4fSBEgSiLEDY2uYc9J7LE/edit?gid=0#gid=0&amp;range=N4"",""'Лист1'!BQ4"")"),624070.0)</f>
        <v>624070</v>
      </c>
      <c r="S76" s="25">
        <f>IFERROR(__xludf.DUMMYFUNCTION("IMPORTRANGE(""https://docs.google.com/spreadsheets/d/1oy6_TeFCrvZNUBTjP_AzSf4fSBEgSiLEDY2uYc9J7LE/edit?gid=0#gid=0&amp;range=N4"",""'Лист1'!BQ4"")"),624070.0)</f>
        <v>624070</v>
      </c>
      <c r="T76" s="25">
        <f>IFERROR(__xludf.DUMMYFUNCTION("IMPORTRANGE(""https://docs.google.com/spreadsheets/d/1oy6_TeFCrvZNUBTjP_AzSf4fSBEgSiLEDY2uYc9J7LE/edit?gid=0#gid=0&amp;range=N4"",""'Лист1'!BQ4"")"),624070.0)</f>
        <v>624070</v>
      </c>
      <c r="U76" s="25">
        <f>IFERROR(__xludf.DUMMYFUNCTION("IMPORTRANGE(""https://docs.google.com/spreadsheets/d/1oy6_TeFCrvZNUBTjP_AzSf4fSBEgSiLEDY2uYc9J7LE/edit?gid=0#gid=0&amp;range=N4"",""'Лист1'!BQ4"")"),624070.0)</f>
        <v>624070</v>
      </c>
      <c r="V76" s="25">
        <f>IFERROR(__xludf.DUMMYFUNCTION("IMPORTRANGE(""https://docs.google.com/spreadsheets/d/1oy6_TeFCrvZNUBTjP_AzSf4fSBEgSiLEDY2uYc9J7LE/edit?gid=0#gid=0&amp;range=N4"",""'Лист1'!BQ4"")"),624070.0)</f>
        <v>624070</v>
      </c>
      <c r="W76" s="25">
        <f>IFERROR(__xludf.DUMMYFUNCTION("IMPORTRANGE(""https://docs.google.com/spreadsheets/d/1oy6_TeFCrvZNUBTjP_AzSf4fSBEgSiLEDY2uYc9J7LE/edit?gid=0#gid=0&amp;range=N4"",""'Лист1'!BQ4"")"),624070.0)</f>
        <v>624070</v>
      </c>
      <c r="X76" s="25">
        <f>IFERROR(__xludf.DUMMYFUNCTION("IMPORTRANGE(""https://docs.google.com/spreadsheets/d/1oy6_TeFCrvZNUBTjP_AzSf4fSBEgSiLEDY2uYc9J7LE/edit?gid=0#gid=0&amp;range=N4"",""'Лист1'!BQ4"")"),624070.0)</f>
        <v>624070</v>
      </c>
      <c r="Y76" s="25">
        <f>IFERROR(__xludf.DUMMYFUNCTION("IMPORTRANGE(""https://docs.google.com/spreadsheets/d/1oy6_TeFCrvZNUBTjP_AzSf4fSBEgSiLEDY2uYc9J7LE/edit?gid=0#gid=0&amp;range=N4"",""'Лист1'!BQ4"")"),624070.0)</f>
        <v>624070</v>
      </c>
      <c r="Z76" s="12"/>
      <c r="AA76" s="65" t="s">
        <v>90</v>
      </c>
      <c r="AB76" s="6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6"/>
    </row>
    <row r="77">
      <c r="A77" s="66"/>
      <c r="B77" s="67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12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6"/>
    </row>
    <row r="78">
      <c r="A78" s="69" t="s">
        <v>91</v>
      </c>
      <c r="B78" s="70">
        <f t="shared" ref="B78:C78" si="16">B4-B6</f>
        <v>280401.25</v>
      </c>
      <c r="C78" s="70">
        <f t="shared" si="16"/>
        <v>1654862.053</v>
      </c>
      <c r="D78" s="71" t="s">
        <v>92</v>
      </c>
      <c r="E78" s="70">
        <f t="shared" ref="E78:Y78" si="17">E4-E6</f>
        <v>10672745.19</v>
      </c>
      <c r="F78" s="70">
        <f t="shared" si="17"/>
        <v>10188713.16</v>
      </c>
      <c r="G78" s="70">
        <f t="shared" si="17"/>
        <v>5187641.84</v>
      </c>
      <c r="H78" s="70">
        <f t="shared" si="17"/>
        <v>-10431540.8</v>
      </c>
      <c r="I78" s="70">
        <f t="shared" si="17"/>
        <v>-17746386.91</v>
      </c>
      <c r="J78" s="70">
        <f t="shared" si="17"/>
        <v>-15870156</v>
      </c>
      <c r="K78" s="70">
        <f t="shared" si="17"/>
        <v>-17352419.28</v>
      </c>
      <c r="L78" s="70">
        <f t="shared" si="17"/>
        <v>-18925432.08</v>
      </c>
      <c r="M78" s="70">
        <f t="shared" si="17"/>
        <v>-21547273.08</v>
      </c>
      <c r="N78" s="70">
        <f t="shared" si="17"/>
        <v>-26263518.84</v>
      </c>
      <c r="O78" s="70">
        <f t="shared" si="17"/>
        <v>-23397809.74</v>
      </c>
      <c r="P78" s="70">
        <f t="shared" si="17"/>
        <v>-22574608.79</v>
      </c>
      <c r="Q78" s="70">
        <f t="shared" si="17"/>
        <v>-19152580.82</v>
      </c>
      <c r="R78" s="70">
        <f t="shared" si="17"/>
        <v>-15900949.39</v>
      </c>
      <c r="S78" s="70">
        <f t="shared" si="17"/>
        <v>-17770908.42</v>
      </c>
      <c r="T78" s="70">
        <f t="shared" si="17"/>
        <v>-18086046.98</v>
      </c>
      <c r="U78" s="70">
        <f t="shared" si="17"/>
        <v>-22933815.53</v>
      </c>
      <c r="V78" s="70">
        <f t="shared" si="17"/>
        <v>-27781584.08</v>
      </c>
      <c r="W78" s="70">
        <f t="shared" si="17"/>
        <v>-32629352.62</v>
      </c>
      <c r="X78" s="70">
        <f t="shared" si="17"/>
        <v>-37477121.17</v>
      </c>
      <c r="Y78" s="70">
        <f t="shared" si="17"/>
        <v>-42324889.72</v>
      </c>
      <c r="Z78" s="12"/>
      <c r="AA78" s="5"/>
      <c r="AB78" s="5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6"/>
    </row>
    <row r="79">
      <c r="A79" s="44" t="s">
        <v>93</v>
      </c>
      <c r="B79" s="28"/>
      <c r="C79" s="29">
        <v>106000.0</v>
      </c>
      <c r="D79" s="29">
        <v>307176.0</v>
      </c>
      <c r="E79" s="29">
        <f>45000+340906</f>
        <v>385906</v>
      </c>
      <c r="F79" s="29">
        <v>297798.0</v>
      </c>
      <c r="G79" s="29">
        <v>345350.0</v>
      </c>
      <c r="H79" s="29">
        <v>340432.0</v>
      </c>
      <c r="I79" s="29">
        <v>340432.0</v>
      </c>
      <c r="J79" s="29"/>
      <c r="K79" s="29"/>
      <c r="L79" s="29"/>
      <c r="M79" s="29"/>
      <c r="N79" s="29"/>
      <c r="O79" s="29"/>
      <c r="P79" s="29">
        <v>570000.0</v>
      </c>
      <c r="Q79" s="29">
        <v>70000.0</v>
      </c>
      <c r="R79" s="29"/>
      <c r="S79" s="29"/>
      <c r="T79" s="29"/>
      <c r="U79" s="29"/>
      <c r="V79" s="29"/>
      <c r="W79" s="29"/>
      <c r="X79" s="29"/>
      <c r="Y79" s="29"/>
      <c r="Z79" s="12"/>
      <c r="AA79" s="14"/>
      <c r="AB79" s="14"/>
      <c r="AC79" s="14"/>
      <c r="AD79" s="14"/>
      <c r="AE79" s="14"/>
      <c r="AF79" s="15">
        <v>29800.0</v>
      </c>
      <c r="AG79" s="14"/>
      <c r="AH79" s="14"/>
      <c r="AI79" s="14"/>
      <c r="AJ79" s="14"/>
      <c r="AK79" s="14"/>
      <c r="AL79" s="14"/>
      <c r="AM79" s="14"/>
      <c r="AN79" s="14"/>
      <c r="AO79" s="6"/>
    </row>
    <row r="80">
      <c r="A80" s="44" t="s">
        <v>94</v>
      </c>
      <c r="B80" s="28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12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6"/>
    </row>
    <row r="81">
      <c r="A81" s="72" t="s">
        <v>95</v>
      </c>
      <c r="B81" s="73">
        <f>B4-(B6+B80)+102912</f>
        <v>383313.25</v>
      </c>
      <c r="C81" s="73">
        <f t="shared" ref="C81:Y81" si="18">C4-(C6+C79)</f>
        <v>1548862.053</v>
      </c>
      <c r="D81" s="73">
        <f t="shared" si="18"/>
        <v>-639007.1125</v>
      </c>
      <c r="E81" s="73">
        <f t="shared" si="18"/>
        <v>10286839.19</v>
      </c>
      <c r="F81" s="73">
        <f t="shared" si="18"/>
        <v>9890915.155</v>
      </c>
      <c r="G81" s="73">
        <f t="shared" si="18"/>
        <v>4842291.84</v>
      </c>
      <c r="H81" s="73">
        <f t="shared" si="18"/>
        <v>-10771972.8</v>
      </c>
      <c r="I81" s="73">
        <f t="shared" si="18"/>
        <v>-18086818.91</v>
      </c>
      <c r="J81" s="73">
        <f t="shared" si="18"/>
        <v>-15870156</v>
      </c>
      <c r="K81" s="73">
        <f t="shared" si="18"/>
        <v>-17352419.28</v>
      </c>
      <c r="L81" s="73">
        <f t="shared" si="18"/>
        <v>-18925432.08</v>
      </c>
      <c r="M81" s="73">
        <f t="shared" si="18"/>
        <v>-21547273.08</v>
      </c>
      <c r="N81" s="73">
        <f t="shared" si="18"/>
        <v>-26263518.84</v>
      </c>
      <c r="O81" s="73">
        <f t="shared" si="18"/>
        <v>-23397809.74</v>
      </c>
      <c r="P81" s="73">
        <f t="shared" si="18"/>
        <v>-23144608.79</v>
      </c>
      <c r="Q81" s="73">
        <f t="shared" si="18"/>
        <v>-19222580.82</v>
      </c>
      <c r="R81" s="73">
        <f t="shared" si="18"/>
        <v>-15900949.39</v>
      </c>
      <c r="S81" s="73">
        <f t="shared" si="18"/>
        <v>-17770908.42</v>
      </c>
      <c r="T81" s="73">
        <f t="shared" si="18"/>
        <v>-18086046.98</v>
      </c>
      <c r="U81" s="73">
        <f t="shared" si="18"/>
        <v>-22933815.53</v>
      </c>
      <c r="V81" s="73">
        <f t="shared" si="18"/>
        <v>-27781584.08</v>
      </c>
      <c r="W81" s="73">
        <f t="shared" si="18"/>
        <v>-32629352.62</v>
      </c>
      <c r="X81" s="73">
        <f t="shared" si="18"/>
        <v>-37477121.17</v>
      </c>
      <c r="Y81" s="73">
        <f t="shared" si="18"/>
        <v>-42324889.72</v>
      </c>
      <c r="Z81" s="12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6"/>
    </row>
    <row r="82">
      <c r="A82" s="74" t="s">
        <v>96</v>
      </c>
      <c r="B82" s="75">
        <f t="shared" ref="B82:Y82" si="19">B81/B4*100%</f>
        <v>0.03942584561</v>
      </c>
      <c r="C82" s="75">
        <f t="shared" si="19"/>
        <v>0.1045687925</v>
      </c>
      <c r="D82" s="75">
        <f t="shared" si="19"/>
        <v>-0.04543520039</v>
      </c>
      <c r="E82" s="75">
        <f t="shared" si="19"/>
        <v>0.3500265723</v>
      </c>
      <c r="F82" s="75">
        <f t="shared" si="19"/>
        <v>0.2440465789</v>
      </c>
      <c r="G82" s="75">
        <f t="shared" si="19"/>
        <v>0.1786368715</v>
      </c>
      <c r="H82" s="75">
        <f t="shared" si="19"/>
        <v>-0.8006125254</v>
      </c>
      <c r="I82" s="75">
        <f t="shared" si="19"/>
        <v>4.852671746</v>
      </c>
      <c r="J82" s="75">
        <f t="shared" si="19"/>
        <v>6.130187197</v>
      </c>
      <c r="K82" s="75">
        <f t="shared" si="19"/>
        <v>2.788018475</v>
      </c>
      <c r="L82" s="75">
        <f t="shared" si="19"/>
        <v>1.987867565</v>
      </c>
      <c r="M82" s="75">
        <f t="shared" si="19"/>
        <v>1.631601939</v>
      </c>
      <c r="N82" s="75">
        <f t="shared" si="19"/>
        <v>1.448099094</v>
      </c>
      <c r="O82" s="75">
        <f t="shared" si="19"/>
        <v>1.330309039</v>
      </c>
      <c r="P82" s="75">
        <f t="shared" si="19"/>
        <v>1.749922133</v>
      </c>
      <c r="Q82" s="75">
        <f t="shared" si="19"/>
        <v>2.264026185</v>
      </c>
      <c r="R82" s="75">
        <f t="shared" si="19"/>
        <v>3.259643143</v>
      </c>
      <c r="S82" s="75">
        <f t="shared" si="19"/>
        <v>2.480219438</v>
      </c>
      <c r="T82" s="75">
        <f t="shared" si="19"/>
        <v>1.821016212</v>
      </c>
      <c r="U82" s="75">
        <f t="shared" si="19"/>
        <v>1.562747009</v>
      </c>
      <c r="V82" s="75">
        <f t="shared" si="19"/>
        <v>1.423011589</v>
      </c>
      <c r="W82" s="75">
        <f t="shared" si="19"/>
        <v>1.33886756</v>
      </c>
      <c r="X82" s="75">
        <f t="shared" si="19"/>
        <v>1.282644813</v>
      </c>
      <c r="Y82" s="75">
        <f t="shared" si="19"/>
        <v>1.242423458</v>
      </c>
      <c r="Z82" s="12"/>
      <c r="AA82" s="14"/>
      <c r="AB82" s="14"/>
      <c r="AC82" s="14"/>
      <c r="AD82" s="14"/>
      <c r="AE82" s="15">
        <f>258294-24690-30270+29800</f>
        <v>233134</v>
      </c>
      <c r="AF82" s="14"/>
      <c r="AG82" s="14"/>
      <c r="AH82" s="14"/>
      <c r="AI82" s="14"/>
      <c r="AJ82" s="14"/>
      <c r="AK82" s="14"/>
      <c r="AL82" s="14"/>
      <c r="AM82" s="14"/>
      <c r="AN82" s="14"/>
      <c r="AO82" s="6"/>
    </row>
    <row r="83">
      <c r="A83" s="76" t="s">
        <v>97</v>
      </c>
      <c r="B83" s="29" t="s">
        <v>92</v>
      </c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12"/>
      <c r="AA83" s="14"/>
      <c r="AB83" s="14"/>
      <c r="AC83" s="14"/>
      <c r="AD83" s="14"/>
      <c r="AE83" s="78">
        <f>1919062+D76</f>
        <v>4168985</v>
      </c>
      <c r="AF83" s="15">
        <v>433000.0</v>
      </c>
      <c r="AG83" s="14"/>
      <c r="AH83" s="14"/>
      <c r="AI83" s="14"/>
      <c r="AJ83" s="14"/>
      <c r="AK83" s="14"/>
      <c r="AL83" s="14"/>
      <c r="AM83" s="14"/>
      <c r="AN83" s="14"/>
      <c r="AO83" s="6"/>
    </row>
    <row r="84">
      <c r="A84" s="79" t="s">
        <v>98</v>
      </c>
      <c r="B84" s="28">
        <f>B81</f>
        <v>383313.25</v>
      </c>
      <c r="C84" s="28">
        <f t="shared" ref="C84:Y84" si="20">C81-C83</f>
        <v>1548862.053</v>
      </c>
      <c r="D84" s="28">
        <f t="shared" si="20"/>
        <v>-639007.1125</v>
      </c>
      <c r="E84" s="28">
        <f t="shared" si="20"/>
        <v>10286839.19</v>
      </c>
      <c r="F84" s="28">
        <f t="shared" si="20"/>
        <v>9890915.155</v>
      </c>
      <c r="G84" s="28">
        <f t="shared" si="20"/>
        <v>4842291.84</v>
      </c>
      <c r="H84" s="28">
        <f t="shared" si="20"/>
        <v>-10771972.8</v>
      </c>
      <c r="I84" s="28">
        <f t="shared" si="20"/>
        <v>-18086818.91</v>
      </c>
      <c r="J84" s="28">
        <f t="shared" si="20"/>
        <v>-15870156</v>
      </c>
      <c r="K84" s="28">
        <f t="shared" si="20"/>
        <v>-17352419.28</v>
      </c>
      <c r="L84" s="28">
        <f t="shared" si="20"/>
        <v>-18925432.08</v>
      </c>
      <c r="M84" s="28">
        <f t="shared" si="20"/>
        <v>-21547273.08</v>
      </c>
      <c r="N84" s="28">
        <f t="shared" si="20"/>
        <v>-26263518.84</v>
      </c>
      <c r="O84" s="28">
        <f t="shared" si="20"/>
        <v>-23397809.74</v>
      </c>
      <c r="P84" s="28">
        <f t="shared" si="20"/>
        <v>-23144608.79</v>
      </c>
      <c r="Q84" s="28">
        <f t="shared" si="20"/>
        <v>-19222580.82</v>
      </c>
      <c r="R84" s="28">
        <f t="shared" si="20"/>
        <v>-15900949.39</v>
      </c>
      <c r="S84" s="28">
        <f t="shared" si="20"/>
        <v>-17770908.42</v>
      </c>
      <c r="T84" s="28">
        <f t="shared" si="20"/>
        <v>-18086046.98</v>
      </c>
      <c r="U84" s="28">
        <f t="shared" si="20"/>
        <v>-22933815.53</v>
      </c>
      <c r="V84" s="28">
        <f t="shared" si="20"/>
        <v>-27781584.08</v>
      </c>
      <c r="W84" s="28">
        <f t="shared" si="20"/>
        <v>-32629352.62</v>
      </c>
      <c r="X84" s="28">
        <f t="shared" si="20"/>
        <v>-37477121.17</v>
      </c>
      <c r="Y84" s="28">
        <f t="shared" si="20"/>
        <v>-42324889.72</v>
      </c>
      <c r="Z84" s="12"/>
      <c r="AA84" s="14"/>
      <c r="AB84" s="14"/>
      <c r="AC84" s="14"/>
      <c r="AD84" s="15">
        <f>1615950</f>
        <v>1615950</v>
      </c>
      <c r="AE84" s="26">
        <f>AE83+AE82-AF83</f>
        <v>3969119</v>
      </c>
      <c r="AF84" s="14"/>
      <c r="AG84" s="14"/>
      <c r="AH84" s="14"/>
      <c r="AI84" s="14"/>
      <c r="AJ84" s="14"/>
      <c r="AK84" s="14"/>
      <c r="AL84" s="14"/>
      <c r="AM84" s="14"/>
      <c r="AN84" s="14"/>
      <c r="AO84" s="6"/>
    </row>
    <row r="85">
      <c r="A85" s="80"/>
      <c r="B85" s="14"/>
      <c r="Z85" s="81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6"/>
    </row>
    <row r="86">
      <c r="A86" s="82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4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6"/>
    </row>
    <row r="87">
      <c r="A87" s="5"/>
      <c r="B87" s="5"/>
      <c r="C87" s="5"/>
      <c r="D87" s="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14"/>
      <c r="AA87" s="5"/>
      <c r="AB87" s="5"/>
      <c r="AC87" s="5"/>
      <c r="AD87" s="78">
        <f>AE84-AD84</f>
        <v>2353169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6"/>
    </row>
    <row r="88">
      <c r="A88" s="5"/>
      <c r="B88" s="5"/>
      <c r="C88" s="5"/>
      <c r="D88" s="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14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6"/>
    </row>
    <row r="89">
      <c r="A89" s="86"/>
      <c r="B89" s="15"/>
      <c r="C89" s="15"/>
      <c r="D89" s="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14"/>
      <c r="AA89" s="5"/>
      <c r="AB89" s="5"/>
      <c r="AC89" s="5"/>
      <c r="AD89" s="86">
        <v>209196.0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6"/>
    </row>
    <row r="90">
      <c r="A90" s="86"/>
      <c r="B90" s="5"/>
      <c r="C90" s="5"/>
      <c r="D90" s="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14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6"/>
    </row>
    <row r="91">
      <c r="A91" s="5"/>
      <c r="B91" s="5"/>
      <c r="C91" s="5"/>
      <c r="D91" s="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14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6"/>
    </row>
    <row r="92">
      <c r="A92" s="5"/>
      <c r="B92" s="5"/>
      <c r="C92" s="5"/>
      <c r="D92" s="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14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6"/>
    </row>
    <row r="93">
      <c r="A93" s="5"/>
      <c r="B93" s="5"/>
      <c r="C93" s="5"/>
      <c r="D93" s="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7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6"/>
    </row>
    <row r="94">
      <c r="A94" s="5"/>
      <c r="B94" s="88"/>
      <c r="C94" s="5"/>
      <c r="D94" s="5"/>
      <c r="E94" s="5"/>
      <c r="F94" s="5"/>
      <c r="G94" s="5"/>
      <c r="H94" s="3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14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6"/>
    </row>
    <row r="95">
      <c r="A95" s="5"/>
      <c r="B95" s="88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6"/>
    </row>
    <row r="96">
      <c r="A96" s="5"/>
      <c r="B96" s="88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86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6"/>
    </row>
    <row r="97">
      <c r="A97" s="5"/>
      <c r="B97" s="88"/>
      <c r="C97" s="5"/>
      <c r="D97" s="5"/>
      <c r="E97" s="5"/>
      <c r="F97" s="89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6"/>
    </row>
    <row r="98">
      <c r="A98" s="5"/>
      <c r="B98" s="88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6"/>
    </row>
    <row r="99">
      <c r="A99" s="5"/>
      <c r="B99" s="88"/>
      <c r="C99" s="5"/>
      <c r="D99" s="5"/>
      <c r="E99" s="5"/>
      <c r="F99" s="5"/>
      <c r="G99" s="5"/>
      <c r="H99" s="8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6"/>
    </row>
    <row r="100">
      <c r="A100" s="5"/>
      <c r="B100" s="88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6"/>
    </row>
    <row r="101">
      <c r="A101" s="5"/>
      <c r="B101" s="88"/>
      <c r="C101" s="5"/>
      <c r="D101" s="5"/>
      <c r="E101" s="5"/>
      <c r="F101" s="5"/>
      <c r="G101" s="5"/>
      <c r="H101" s="9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6"/>
    </row>
    <row r="102">
      <c r="A102" s="5"/>
      <c r="B102" s="88"/>
      <c r="C102" s="5"/>
      <c r="D102" s="5"/>
      <c r="E102" s="5"/>
      <c r="F102" s="5"/>
      <c r="G102" s="5"/>
      <c r="H102" s="9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6"/>
    </row>
    <row r="103">
      <c r="A103" s="5"/>
      <c r="B103" s="88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6"/>
    </row>
    <row r="104">
      <c r="A104" s="5"/>
      <c r="B104" s="88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6"/>
    </row>
    <row r="105">
      <c r="A105" s="5"/>
      <c r="B105" s="88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6"/>
    </row>
    <row r="106">
      <c r="A106" s="5"/>
      <c r="B106" s="88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>
        <f>6170</f>
        <v>6170</v>
      </c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6"/>
    </row>
    <row r="107">
      <c r="A107" s="5"/>
      <c r="B107" s="88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6"/>
    </row>
    <row r="108">
      <c r="A108" s="5"/>
      <c r="B108" s="88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6"/>
    </row>
    <row r="109">
      <c r="A109" s="5"/>
      <c r="B109" s="88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86">
        <v>30850.0</v>
      </c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6"/>
    </row>
    <row r="110">
      <c r="A110" s="5"/>
      <c r="B110" s="88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6"/>
    </row>
    <row r="111">
      <c r="A111" s="5"/>
      <c r="B111" s="88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6"/>
    </row>
    <row r="112">
      <c r="A112" s="5"/>
      <c r="B112" s="88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6"/>
    </row>
    <row r="113">
      <c r="A113" s="5"/>
      <c r="B113" s="88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6"/>
    </row>
    <row r="114">
      <c r="A114" s="5"/>
      <c r="B114" s="88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6"/>
    </row>
    <row r="115">
      <c r="A115" s="5"/>
      <c r="B115" s="88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6"/>
    </row>
    <row r="116">
      <c r="A116" s="5"/>
      <c r="B116" s="88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6"/>
    </row>
    <row r="117">
      <c r="A117" s="5"/>
      <c r="B117" s="88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6"/>
    </row>
    <row r="118">
      <c r="A118" s="5"/>
      <c r="B118" s="88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6"/>
    </row>
    <row r="119">
      <c r="A119" s="5"/>
      <c r="B119" s="88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6"/>
    </row>
    <row r="120">
      <c r="A120" s="5"/>
      <c r="B120" s="88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6"/>
    </row>
    <row r="121">
      <c r="A121" s="5"/>
      <c r="B121" s="88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6"/>
    </row>
    <row r="122">
      <c r="A122" s="5"/>
      <c r="B122" s="88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6"/>
    </row>
    <row r="123">
      <c r="A123" s="5"/>
      <c r="B123" s="88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6"/>
    </row>
    <row r="124">
      <c r="A124" s="5"/>
      <c r="B124" s="88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6"/>
    </row>
    <row r="125">
      <c r="A125" s="5"/>
      <c r="B125" s="88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6"/>
    </row>
    <row r="126">
      <c r="A126" s="5"/>
      <c r="B126" s="88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6"/>
    </row>
    <row r="127">
      <c r="A127" s="5"/>
      <c r="B127" s="88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6"/>
    </row>
    <row r="128">
      <c r="A128" s="5"/>
      <c r="B128" s="88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6"/>
    </row>
    <row r="129">
      <c r="A129" s="5"/>
      <c r="B129" s="88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6"/>
    </row>
    <row r="130">
      <c r="A130" s="5"/>
      <c r="B130" s="88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6"/>
    </row>
    <row r="131">
      <c r="A131" s="5"/>
      <c r="B131" s="88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6"/>
    </row>
    <row r="132">
      <c r="A132" s="5"/>
      <c r="B132" s="88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6"/>
    </row>
    <row r="133">
      <c r="A133" s="5"/>
      <c r="B133" s="88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6"/>
    </row>
    <row r="134">
      <c r="A134" s="5"/>
      <c r="B134" s="88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6"/>
    </row>
    <row r="135">
      <c r="A135" s="5"/>
      <c r="B135" s="88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6"/>
    </row>
    <row r="136">
      <c r="A136" s="5"/>
      <c r="B136" s="88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6"/>
    </row>
    <row r="137">
      <c r="A137" s="5"/>
      <c r="B137" s="88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6"/>
    </row>
    <row r="138">
      <c r="A138" s="5"/>
      <c r="B138" s="88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6"/>
    </row>
    <row r="139">
      <c r="A139" s="5"/>
      <c r="B139" s="88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6"/>
    </row>
    <row r="140">
      <c r="A140" s="5"/>
      <c r="B140" s="88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6"/>
    </row>
    <row r="141">
      <c r="A141" s="5"/>
      <c r="B141" s="88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6"/>
    </row>
    <row r="142">
      <c r="A142" s="5"/>
      <c r="B142" s="88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6"/>
    </row>
    <row r="143">
      <c r="A143" s="5"/>
      <c r="B143" s="88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6"/>
    </row>
    <row r="144">
      <c r="A144" s="5"/>
      <c r="B144" s="88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6"/>
    </row>
    <row r="145">
      <c r="A145" s="5"/>
      <c r="B145" s="88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6"/>
    </row>
    <row r="146">
      <c r="A146" s="5"/>
      <c r="B146" s="88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6"/>
    </row>
    <row r="147">
      <c r="A147" s="5"/>
      <c r="B147" s="88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6"/>
    </row>
    <row r="148">
      <c r="A148" s="5"/>
      <c r="B148" s="88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6"/>
    </row>
    <row r="149">
      <c r="A149" s="5"/>
      <c r="B149" s="88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6"/>
    </row>
    <row r="150">
      <c r="A150" s="5"/>
      <c r="B150" s="88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6"/>
    </row>
    <row r="151">
      <c r="A151" s="5"/>
      <c r="B151" s="88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6"/>
    </row>
    <row r="152">
      <c r="A152" s="5"/>
      <c r="B152" s="88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6"/>
    </row>
    <row r="153">
      <c r="A153" s="5"/>
      <c r="B153" s="88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6"/>
    </row>
    <row r="154">
      <c r="A154" s="5"/>
      <c r="B154" s="88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6"/>
    </row>
    <row r="155">
      <c r="A155" s="5"/>
      <c r="B155" s="88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6"/>
    </row>
    <row r="156">
      <c r="A156" s="5"/>
      <c r="B156" s="88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6"/>
    </row>
    <row r="157">
      <c r="A157" s="5"/>
      <c r="B157" s="88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6"/>
    </row>
    <row r="158">
      <c r="A158" s="5"/>
      <c r="B158" s="88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6"/>
    </row>
    <row r="159">
      <c r="A159" s="5"/>
      <c r="B159" s="88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6"/>
    </row>
    <row r="160">
      <c r="A160" s="5"/>
      <c r="B160" s="88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6"/>
    </row>
    <row r="161">
      <c r="A161" s="5"/>
      <c r="B161" s="88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6"/>
    </row>
    <row r="162">
      <c r="A162" s="5"/>
      <c r="B162" s="88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6"/>
    </row>
    <row r="163">
      <c r="A163" s="5"/>
      <c r="B163" s="88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6"/>
    </row>
    <row r="164">
      <c r="A164" s="5"/>
      <c r="B164" s="88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6"/>
    </row>
    <row r="165">
      <c r="A165" s="5"/>
      <c r="B165" s="88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6"/>
    </row>
    <row r="166">
      <c r="A166" s="5"/>
      <c r="B166" s="88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6"/>
    </row>
    <row r="167">
      <c r="A167" s="5"/>
      <c r="B167" s="88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6"/>
    </row>
    <row r="168">
      <c r="A168" s="5"/>
      <c r="B168" s="88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6"/>
    </row>
    <row r="169">
      <c r="A169" s="5"/>
      <c r="B169" s="88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6"/>
    </row>
    <row r="170">
      <c r="A170" s="5"/>
      <c r="B170" s="88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6"/>
    </row>
    <row r="171">
      <c r="A171" s="5"/>
      <c r="B171" s="88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6"/>
    </row>
    <row r="172">
      <c r="A172" s="5"/>
      <c r="B172" s="88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6"/>
    </row>
    <row r="173">
      <c r="A173" s="5"/>
      <c r="B173" s="88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6"/>
    </row>
    <row r="174">
      <c r="A174" s="5"/>
      <c r="B174" s="88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6"/>
    </row>
    <row r="175">
      <c r="A175" s="5"/>
      <c r="B175" s="88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6"/>
    </row>
    <row r="176">
      <c r="A176" s="5"/>
      <c r="B176" s="88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6"/>
    </row>
    <row r="177">
      <c r="A177" s="5"/>
      <c r="B177" s="88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6"/>
    </row>
    <row r="178">
      <c r="A178" s="5"/>
      <c r="B178" s="88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6"/>
    </row>
    <row r="179">
      <c r="A179" s="5"/>
      <c r="B179" s="88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6"/>
    </row>
    <row r="180">
      <c r="A180" s="5"/>
      <c r="B180" s="88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6"/>
    </row>
    <row r="181">
      <c r="A181" s="5"/>
      <c r="B181" s="88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6"/>
    </row>
    <row r="182">
      <c r="A182" s="5"/>
      <c r="B182" s="88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6"/>
    </row>
    <row r="183">
      <c r="A183" s="5"/>
      <c r="B183" s="88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6"/>
    </row>
    <row r="184">
      <c r="A184" s="5"/>
      <c r="B184" s="88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6"/>
    </row>
    <row r="185">
      <c r="A185" s="5"/>
      <c r="B185" s="88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6"/>
    </row>
    <row r="186">
      <c r="A186" s="5"/>
      <c r="B186" s="88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6"/>
    </row>
    <row r="187">
      <c r="A187" s="5"/>
      <c r="B187" s="88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6"/>
    </row>
    <row r="188">
      <c r="A188" s="5"/>
      <c r="B188" s="88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6"/>
    </row>
    <row r="189">
      <c r="A189" s="5"/>
      <c r="B189" s="88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6"/>
    </row>
    <row r="190">
      <c r="A190" s="5"/>
      <c r="B190" s="88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6"/>
    </row>
    <row r="191">
      <c r="A191" s="5"/>
      <c r="B191" s="88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6"/>
    </row>
    <row r="192">
      <c r="A192" s="5"/>
      <c r="B192" s="88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6"/>
    </row>
    <row r="193">
      <c r="A193" s="5"/>
      <c r="B193" s="88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6"/>
    </row>
    <row r="194">
      <c r="A194" s="5"/>
      <c r="B194" s="88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6"/>
    </row>
    <row r="195">
      <c r="A195" s="5"/>
      <c r="B195" s="88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6"/>
    </row>
    <row r="196">
      <c r="A196" s="5"/>
      <c r="B196" s="88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6"/>
    </row>
    <row r="197">
      <c r="A197" s="5"/>
      <c r="B197" s="88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6"/>
    </row>
    <row r="198">
      <c r="A198" s="5"/>
      <c r="B198" s="88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6"/>
    </row>
    <row r="199">
      <c r="A199" s="5"/>
      <c r="B199" s="88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6"/>
    </row>
    <row r="200">
      <c r="A200" s="5"/>
      <c r="B200" s="88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6"/>
    </row>
    <row r="201">
      <c r="A201" s="5"/>
      <c r="B201" s="88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6"/>
    </row>
    <row r="202">
      <c r="A202" s="5"/>
      <c r="B202" s="88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6"/>
    </row>
    <row r="203">
      <c r="A203" s="5"/>
      <c r="B203" s="88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6"/>
    </row>
    <row r="204">
      <c r="A204" s="5"/>
      <c r="B204" s="88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6"/>
    </row>
    <row r="205">
      <c r="A205" s="5"/>
      <c r="B205" s="88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6"/>
    </row>
    <row r="206">
      <c r="A206" s="5"/>
      <c r="B206" s="88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6"/>
    </row>
    <row r="207">
      <c r="A207" s="5"/>
      <c r="B207" s="88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6"/>
    </row>
    <row r="208">
      <c r="A208" s="5"/>
      <c r="B208" s="88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6"/>
    </row>
    <row r="209">
      <c r="A209" s="5"/>
      <c r="B209" s="88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6"/>
    </row>
    <row r="210">
      <c r="A210" s="5"/>
      <c r="B210" s="88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6"/>
    </row>
    <row r="211">
      <c r="A211" s="5"/>
      <c r="B211" s="88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6"/>
    </row>
    <row r="212">
      <c r="A212" s="5"/>
      <c r="B212" s="88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6"/>
    </row>
    <row r="213">
      <c r="A213" s="5"/>
      <c r="B213" s="88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6"/>
    </row>
    <row r="214">
      <c r="A214" s="5"/>
      <c r="B214" s="88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6"/>
    </row>
    <row r="215">
      <c r="A215" s="5"/>
      <c r="B215" s="88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6"/>
    </row>
    <row r="216">
      <c r="A216" s="5"/>
      <c r="B216" s="88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6"/>
    </row>
    <row r="217">
      <c r="A217" s="5"/>
      <c r="B217" s="88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6"/>
    </row>
    <row r="218">
      <c r="A218" s="5"/>
      <c r="B218" s="88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6"/>
    </row>
    <row r="219">
      <c r="A219" s="5"/>
      <c r="B219" s="88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6"/>
    </row>
    <row r="220">
      <c r="A220" s="5"/>
      <c r="B220" s="88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6"/>
    </row>
    <row r="221">
      <c r="A221" s="5"/>
      <c r="B221" s="88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6"/>
    </row>
    <row r="222">
      <c r="A222" s="5"/>
      <c r="B222" s="88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6"/>
    </row>
    <row r="223">
      <c r="A223" s="5"/>
      <c r="B223" s="88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6"/>
    </row>
    <row r="224">
      <c r="A224" s="5"/>
      <c r="B224" s="88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6"/>
    </row>
    <row r="225">
      <c r="A225" s="5"/>
      <c r="B225" s="88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6"/>
    </row>
    <row r="226">
      <c r="A226" s="5"/>
      <c r="B226" s="88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6"/>
    </row>
    <row r="227">
      <c r="A227" s="5"/>
      <c r="B227" s="88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6"/>
    </row>
    <row r="228">
      <c r="A228" s="5"/>
      <c r="B228" s="88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6"/>
    </row>
    <row r="229">
      <c r="A229" s="5"/>
      <c r="B229" s="88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6"/>
    </row>
    <row r="230">
      <c r="A230" s="5"/>
      <c r="B230" s="88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6"/>
    </row>
    <row r="231">
      <c r="A231" s="5"/>
      <c r="B231" s="88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6"/>
    </row>
    <row r="232">
      <c r="A232" s="5"/>
      <c r="B232" s="88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6"/>
    </row>
    <row r="233">
      <c r="A233" s="5"/>
      <c r="B233" s="88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6"/>
    </row>
    <row r="234">
      <c r="A234" s="5"/>
      <c r="B234" s="88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6"/>
    </row>
    <row r="235">
      <c r="A235" s="5"/>
      <c r="B235" s="88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6"/>
    </row>
    <row r="236">
      <c r="A236" s="5"/>
      <c r="B236" s="88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6"/>
    </row>
    <row r="237">
      <c r="A237" s="5"/>
      <c r="B237" s="88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6"/>
    </row>
    <row r="238">
      <c r="A238" s="5"/>
      <c r="B238" s="88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6"/>
    </row>
    <row r="239">
      <c r="A239" s="5"/>
      <c r="B239" s="88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6"/>
    </row>
    <row r="240">
      <c r="A240" s="5"/>
      <c r="B240" s="88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6"/>
    </row>
    <row r="241">
      <c r="A241" s="5"/>
      <c r="B241" s="88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6"/>
    </row>
    <row r="242">
      <c r="A242" s="5"/>
      <c r="B242" s="88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6"/>
    </row>
    <row r="243">
      <c r="A243" s="5"/>
      <c r="B243" s="88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6"/>
    </row>
    <row r="244">
      <c r="A244" s="5"/>
      <c r="B244" s="88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6"/>
    </row>
    <row r="245">
      <c r="A245" s="5"/>
      <c r="B245" s="88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6"/>
    </row>
    <row r="246">
      <c r="A246" s="5"/>
      <c r="B246" s="88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6"/>
    </row>
    <row r="247">
      <c r="A247" s="5"/>
      <c r="B247" s="88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6"/>
    </row>
    <row r="248">
      <c r="A248" s="5"/>
      <c r="B248" s="88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6"/>
    </row>
    <row r="249">
      <c r="A249" s="5"/>
      <c r="B249" s="88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6"/>
    </row>
    <row r="250">
      <c r="A250" s="5"/>
      <c r="B250" s="88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6"/>
    </row>
    <row r="251">
      <c r="A251" s="5"/>
      <c r="B251" s="88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6"/>
    </row>
    <row r="252">
      <c r="A252" s="5"/>
      <c r="B252" s="88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6"/>
    </row>
    <row r="253">
      <c r="A253" s="5"/>
      <c r="B253" s="88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6"/>
    </row>
    <row r="254">
      <c r="A254" s="5"/>
      <c r="B254" s="88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6"/>
    </row>
    <row r="255">
      <c r="A255" s="5"/>
      <c r="B255" s="88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6"/>
    </row>
    <row r="256">
      <c r="A256" s="5"/>
      <c r="B256" s="88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6"/>
    </row>
    <row r="257">
      <c r="A257" s="5"/>
      <c r="B257" s="88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6"/>
    </row>
    <row r="258">
      <c r="A258" s="5"/>
      <c r="B258" s="88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6"/>
    </row>
    <row r="259">
      <c r="A259" s="5"/>
      <c r="B259" s="88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6"/>
    </row>
    <row r="260">
      <c r="A260" s="5"/>
      <c r="B260" s="8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6"/>
    </row>
    <row r="261">
      <c r="A261" s="5"/>
      <c r="B261" s="88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6"/>
    </row>
    <row r="262">
      <c r="A262" s="5"/>
      <c r="B262" s="88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6"/>
    </row>
    <row r="263">
      <c r="A263" s="5"/>
      <c r="B263" s="88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6"/>
    </row>
    <row r="264">
      <c r="A264" s="5"/>
      <c r="B264" s="88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6"/>
    </row>
    <row r="265">
      <c r="A265" s="5"/>
      <c r="B265" s="88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6"/>
    </row>
    <row r="266">
      <c r="A266" s="5"/>
      <c r="B266" s="88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6"/>
    </row>
    <row r="267">
      <c r="A267" s="5"/>
      <c r="B267" s="88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6"/>
    </row>
    <row r="268">
      <c r="A268" s="5"/>
      <c r="B268" s="88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6"/>
    </row>
    <row r="269">
      <c r="A269" s="5"/>
      <c r="B269" s="88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6"/>
    </row>
    <row r="270">
      <c r="A270" s="5"/>
      <c r="B270" s="88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6"/>
    </row>
    <row r="271">
      <c r="A271" s="5"/>
      <c r="B271" s="88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6"/>
    </row>
    <row r="272">
      <c r="A272" s="5"/>
      <c r="B272" s="88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6"/>
    </row>
    <row r="273">
      <c r="A273" s="5"/>
      <c r="B273" s="88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6"/>
    </row>
    <row r="274">
      <c r="A274" s="5"/>
      <c r="B274" s="88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6"/>
    </row>
    <row r="275">
      <c r="A275" s="5"/>
      <c r="B275" s="88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6"/>
    </row>
    <row r="276">
      <c r="A276" s="5"/>
      <c r="B276" s="88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6"/>
    </row>
    <row r="277">
      <c r="A277" s="5"/>
      <c r="B277" s="88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6"/>
    </row>
    <row r="278">
      <c r="A278" s="5"/>
      <c r="B278" s="88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6"/>
    </row>
    <row r="279">
      <c r="A279" s="5"/>
      <c r="B279" s="88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6"/>
    </row>
    <row r="280">
      <c r="A280" s="5"/>
      <c r="B280" s="88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6"/>
    </row>
    <row r="281">
      <c r="A281" s="5"/>
      <c r="B281" s="88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6"/>
    </row>
    <row r="282">
      <c r="A282" s="5"/>
      <c r="B282" s="88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6"/>
    </row>
    <row r="283">
      <c r="A283" s="5"/>
      <c r="B283" s="88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6"/>
    </row>
    <row r="284">
      <c r="A284" s="5"/>
      <c r="B284" s="88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6"/>
    </row>
    <row r="285">
      <c r="A285" s="5"/>
      <c r="B285" s="88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6"/>
    </row>
    <row r="286">
      <c r="A286" s="5"/>
      <c r="B286" s="88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6"/>
    </row>
    <row r="287">
      <c r="A287" s="5"/>
      <c r="B287" s="88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6"/>
    </row>
    <row r="288">
      <c r="A288" s="5"/>
      <c r="B288" s="88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6"/>
    </row>
    <row r="289">
      <c r="A289" s="5"/>
      <c r="B289" s="88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6"/>
    </row>
    <row r="290">
      <c r="A290" s="5"/>
      <c r="B290" s="88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6"/>
    </row>
    <row r="291">
      <c r="A291" s="5"/>
      <c r="B291" s="88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6"/>
    </row>
    <row r="292">
      <c r="A292" s="5"/>
      <c r="B292" s="88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6"/>
    </row>
    <row r="293">
      <c r="A293" s="5"/>
      <c r="B293" s="88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6"/>
    </row>
    <row r="294">
      <c r="A294" s="5"/>
      <c r="B294" s="88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6"/>
    </row>
    <row r="295">
      <c r="A295" s="5"/>
      <c r="B295" s="88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6"/>
    </row>
    <row r="296">
      <c r="A296" s="5"/>
      <c r="B296" s="88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6"/>
    </row>
    <row r="297">
      <c r="A297" s="5"/>
      <c r="B297" s="88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6"/>
    </row>
    <row r="298">
      <c r="A298" s="5"/>
      <c r="B298" s="88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6"/>
    </row>
    <row r="299">
      <c r="A299" s="5"/>
      <c r="B299" s="88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6"/>
    </row>
    <row r="300">
      <c r="A300" s="5"/>
      <c r="B300" s="88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6"/>
    </row>
    <row r="301">
      <c r="A301" s="5"/>
      <c r="B301" s="88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6"/>
    </row>
    <row r="302">
      <c r="A302" s="5"/>
      <c r="B302" s="88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6"/>
    </row>
    <row r="303">
      <c r="A303" s="5"/>
      <c r="B303" s="88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6"/>
    </row>
    <row r="304">
      <c r="A304" s="5"/>
      <c r="B304" s="88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6"/>
    </row>
    <row r="305">
      <c r="A305" s="5"/>
      <c r="B305" s="88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6"/>
    </row>
    <row r="306">
      <c r="A306" s="5"/>
      <c r="B306" s="88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6"/>
    </row>
    <row r="307">
      <c r="A307" s="5"/>
      <c r="B307" s="88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6"/>
    </row>
    <row r="308">
      <c r="A308" s="5"/>
      <c r="B308" s="88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6"/>
    </row>
    <row r="309">
      <c r="A309" s="5"/>
      <c r="B309" s="88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6"/>
    </row>
    <row r="310">
      <c r="A310" s="5"/>
      <c r="B310" s="88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6"/>
    </row>
    <row r="311">
      <c r="A311" s="5"/>
      <c r="B311" s="88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6"/>
    </row>
    <row r="312">
      <c r="A312" s="5"/>
      <c r="B312" s="88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6"/>
    </row>
    <row r="313">
      <c r="A313" s="5"/>
      <c r="B313" s="88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6"/>
    </row>
    <row r="314">
      <c r="A314" s="5"/>
      <c r="B314" s="88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6"/>
    </row>
    <row r="315">
      <c r="A315" s="5"/>
      <c r="B315" s="88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6"/>
    </row>
    <row r="316">
      <c r="A316" s="5"/>
      <c r="B316" s="88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6"/>
    </row>
    <row r="317">
      <c r="A317" s="5"/>
      <c r="B317" s="88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6"/>
    </row>
    <row r="318">
      <c r="A318" s="5"/>
      <c r="B318" s="88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6"/>
    </row>
    <row r="319">
      <c r="A319" s="5"/>
      <c r="B319" s="88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6"/>
    </row>
    <row r="320">
      <c r="A320" s="5"/>
      <c r="B320" s="88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6"/>
    </row>
    <row r="321">
      <c r="A321" s="5"/>
      <c r="B321" s="88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6"/>
    </row>
    <row r="322">
      <c r="A322" s="5"/>
      <c r="B322" s="88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6"/>
    </row>
    <row r="323">
      <c r="A323" s="5"/>
      <c r="B323" s="88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6"/>
    </row>
    <row r="324">
      <c r="A324" s="5"/>
      <c r="B324" s="88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6"/>
    </row>
    <row r="325">
      <c r="A325" s="5"/>
      <c r="B325" s="88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6"/>
    </row>
    <row r="326">
      <c r="A326" s="5"/>
      <c r="B326" s="88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6"/>
    </row>
    <row r="327">
      <c r="A327" s="5"/>
      <c r="B327" s="88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6"/>
    </row>
    <row r="328">
      <c r="A328" s="5"/>
      <c r="B328" s="88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6"/>
    </row>
    <row r="329">
      <c r="A329" s="5"/>
      <c r="B329" s="88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6"/>
    </row>
    <row r="330">
      <c r="A330" s="5"/>
      <c r="B330" s="88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6"/>
    </row>
    <row r="331">
      <c r="A331" s="5"/>
      <c r="B331" s="88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6"/>
    </row>
    <row r="332">
      <c r="A332" s="5"/>
      <c r="B332" s="88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6"/>
    </row>
    <row r="333">
      <c r="A333" s="5"/>
      <c r="B333" s="88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6"/>
    </row>
    <row r="334">
      <c r="A334" s="5"/>
      <c r="B334" s="88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6"/>
    </row>
    <row r="335">
      <c r="A335" s="5"/>
      <c r="B335" s="88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6"/>
    </row>
    <row r="336">
      <c r="A336" s="5"/>
      <c r="B336" s="88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6"/>
    </row>
    <row r="337">
      <c r="A337" s="5"/>
      <c r="B337" s="88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6"/>
    </row>
    <row r="338">
      <c r="A338" s="5"/>
      <c r="B338" s="88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6"/>
    </row>
    <row r="339">
      <c r="A339" s="5"/>
      <c r="B339" s="88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6"/>
    </row>
    <row r="340">
      <c r="A340" s="5"/>
      <c r="B340" s="88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6"/>
    </row>
    <row r="341">
      <c r="A341" s="5"/>
      <c r="B341" s="88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6"/>
    </row>
    <row r="342">
      <c r="A342" s="5"/>
      <c r="B342" s="88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6"/>
    </row>
    <row r="343">
      <c r="A343" s="5"/>
      <c r="B343" s="88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6"/>
    </row>
    <row r="344">
      <c r="A344" s="5"/>
      <c r="B344" s="88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6"/>
    </row>
    <row r="345">
      <c r="A345" s="5"/>
      <c r="B345" s="88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6"/>
    </row>
    <row r="346">
      <c r="A346" s="5"/>
      <c r="B346" s="88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6"/>
    </row>
    <row r="347">
      <c r="A347" s="5"/>
      <c r="B347" s="88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6"/>
    </row>
    <row r="348">
      <c r="A348" s="5"/>
      <c r="B348" s="88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6"/>
    </row>
    <row r="349">
      <c r="A349" s="5"/>
      <c r="B349" s="88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6"/>
    </row>
    <row r="350">
      <c r="A350" s="5"/>
      <c r="B350" s="88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6"/>
    </row>
    <row r="351">
      <c r="A351" s="5"/>
      <c r="B351" s="88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6"/>
    </row>
    <row r="352">
      <c r="A352" s="5"/>
      <c r="B352" s="88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6"/>
    </row>
    <row r="353">
      <c r="A353" s="5"/>
      <c r="B353" s="88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6"/>
    </row>
    <row r="354">
      <c r="A354" s="5"/>
      <c r="B354" s="88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6"/>
    </row>
    <row r="355">
      <c r="A355" s="5"/>
      <c r="B355" s="88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6"/>
    </row>
    <row r="356">
      <c r="A356" s="5"/>
      <c r="B356" s="88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6"/>
    </row>
    <row r="357">
      <c r="A357" s="5"/>
      <c r="B357" s="88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6"/>
    </row>
    <row r="358">
      <c r="A358" s="5"/>
      <c r="B358" s="88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6"/>
    </row>
    <row r="359">
      <c r="A359" s="5"/>
      <c r="B359" s="88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6"/>
    </row>
    <row r="360">
      <c r="A360" s="5"/>
      <c r="B360" s="88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6"/>
    </row>
    <row r="361">
      <c r="A361" s="5"/>
      <c r="B361" s="88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6"/>
    </row>
    <row r="362">
      <c r="A362" s="5"/>
      <c r="B362" s="88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6"/>
    </row>
    <row r="363">
      <c r="A363" s="5"/>
      <c r="B363" s="88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6"/>
    </row>
    <row r="364">
      <c r="A364" s="5"/>
      <c r="B364" s="88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6"/>
    </row>
    <row r="365">
      <c r="A365" s="5"/>
      <c r="B365" s="88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6"/>
    </row>
    <row r="366">
      <c r="A366" s="5"/>
      <c r="B366" s="88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6"/>
    </row>
    <row r="367">
      <c r="A367" s="5"/>
      <c r="B367" s="88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6"/>
    </row>
    <row r="368">
      <c r="A368" s="5"/>
      <c r="B368" s="88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6"/>
    </row>
    <row r="369">
      <c r="A369" s="5"/>
      <c r="B369" s="88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6"/>
    </row>
    <row r="370">
      <c r="A370" s="5"/>
      <c r="B370" s="88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6"/>
    </row>
    <row r="371">
      <c r="A371" s="5"/>
      <c r="B371" s="88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6"/>
    </row>
    <row r="372">
      <c r="A372" s="5"/>
      <c r="B372" s="88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6"/>
    </row>
    <row r="373">
      <c r="A373" s="5"/>
      <c r="B373" s="88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6"/>
    </row>
    <row r="374">
      <c r="A374" s="5"/>
      <c r="B374" s="88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6"/>
    </row>
    <row r="375">
      <c r="A375" s="5"/>
      <c r="B375" s="88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6"/>
    </row>
    <row r="376">
      <c r="A376" s="5"/>
      <c r="B376" s="88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6"/>
    </row>
    <row r="377">
      <c r="A377" s="5"/>
      <c r="B377" s="88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6"/>
    </row>
    <row r="378">
      <c r="A378" s="5"/>
      <c r="B378" s="88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6"/>
    </row>
    <row r="379">
      <c r="A379" s="5"/>
      <c r="B379" s="88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6"/>
    </row>
    <row r="380">
      <c r="A380" s="5"/>
      <c r="B380" s="88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6"/>
    </row>
    <row r="381">
      <c r="A381" s="5"/>
      <c r="B381" s="88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6"/>
    </row>
    <row r="382">
      <c r="A382" s="5"/>
      <c r="B382" s="88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6"/>
    </row>
    <row r="383">
      <c r="A383" s="5"/>
      <c r="B383" s="88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6"/>
    </row>
    <row r="384">
      <c r="A384" s="5"/>
      <c r="B384" s="88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6"/>
    </row>
    <row r="385">
      <c r="A385" s="5"/>
      <c r="B385" s="88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6"/>
    </row>
    <row r="386">
      <c r="A386" s="5"/>
      <c r="B386" s="88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6"/>
    </row>
    <row r="387">
      <c r="A387" s="5"/>
      <c r="B387" s="88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6"/>
    </row>
    <row r="388">
      <c r="A388" s="5"/>
      <c r="B388" s="88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6"/>
    </row>
    <row r="389">
      <c r="A389" s="5"/>
      <c r="B389" s="88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6"/>
    </row>
    <row r="390">
      <c r="A390" s="5"/>
      <c r="B390" s="88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6"/>
    </row>
    <row r="391">
      <c r="A391" s="5"/>
      <c r="B391" s="88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6"/>
    </row>
    <row r="392">
      <c r="A392" s="5"/>
      <c r="B392" s="88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6"/>
    </row>
    <row r="393">
      <c r="A393" s="5"/>
      <c r="B393" s="88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6"/>
    </row>
    <row r="394">
      <c r="A394" s="5"/>
      <c r="B394" s="88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6"/>
    </row>
    <row r="395">
      <c r="A395" s="5"/>
      <c r="B395" s="88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6"/>
    </row>
    <row r="396">
      <c r="A396" s="5"/>
      <c r="B396" s="88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6"/>
    </row>
    <row r="397">
      <c r="A397" s="5"/>
      <c r="B397" s="88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6"/>
    </row>
    <row r="398">
      <c r="A398" s="5"/>
      <c r="B398" s="88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6"/>
    </row>
    <row r="399">
      <c r="A399" s="5"/>
      <c r="B399" s="88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6"/>
    </row>
    <row r="400">
      <c r="A400" s="5"/>
      <c r="B400" s="88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6"/>
    </row>
    <row r="401">
      <c r="A401" s="5"/>
      <c r="B401" s="88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6"/>
    </row>
    <row r="402">
      <c r="A402" s="5"/>
      <c r="B402" s="88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6"/>
    </row>
    <row r="403">
      <c r="A403" s="5"/>
      <c r="B403" s="88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6"/>
    </row>
    <row r="404">
      <c r="A404" s="5"/>
      <c r="B404" s="88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6"/>
    </row>
    <row r="405">
      <c r="A405" s="5"/>
      <c r="B405" s="88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6"/>
    </row>
    <row r="406">
      <c r="A406" s="5"/>
      <c r="B406" s="88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6"/>
    </row>
    <row r="407">
      <c r="A407" s="5"/>
      <c r="B407" s="88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6"/>
    </row>
    <row r="408">
      <c r="A408" s="5"/>
      <c r="B408" s="88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6"/>
    </row>
    <row r="409">
      <c r="A409" s="5"/>
      <c r="B409" s="88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6"/>
    </row>
    <row r="410">
      <c r="A410" s="5"/>
      <c r="B410" s="88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6"/>
    </row>
    <row r="411">
      <c r="A411" s="5"/>
      <c r="B411" s="88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6"/>
    </row>
    <row r="412">
      <c r="A412" s="5"/>
      <c r="B412" s="88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6"/>
    </row>
    <row r="413">
      <c r="A413" s="5"/>
      <c r="B413" s="88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6"/>
    </row>
    <row r="414">
      <c r="A414" s="5"/>
      <c r="B414" s="88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6"/>
    </row>
    <row r="415">
      <c r="A415" s="5"/>
      <c r="B415" s="88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6"/>
    </row>
    <row r="416">
      <c r="A416" s="5"/>
      <c r="B416" s="88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6"/>
    </row>
    <row r="417">
      <c r="A417" s="5"/>
      <c r="B417" s="88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6"/>
    </row>
    <row r="418">
      <c r="A418" s="5"/>
      <c r="B418" s="88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6"/>
    </row>
    <row r="419">
      <c r="A419" s="5"/>
      <c r="B419" s="88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6"/>
    </row>
    <row r="420">
      <c r="A420" s="5"/>
      <c r="B420" s="88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6"/>
    </row>
    <row r="421">
      <c r="A421" s="5"/>
      <c r="B421" s="88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6"/>
    </row>
    <row r="422">
      <c r="A422" s="5"/>
      <c r="B422" s="88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6"/>
    </row>
    <row r="423">
      <c r="A423" s="5"/>
      <c r="B423" s="88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6"/>
    </row>
    <row r="424">
      <c r="A424" s="5"/>
      <c r="B424" s="88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6"/>
    </row>
    <row r="425">
      <c r="A425" s="5"/>
      <c r="B425" s="88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6"/>
    </row>
    <row r="426">
      <c r="A426" s="5"/>
      <c r="B426" s="88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6"/>
    </row>
    <row r="427">
      <c r="A427" s="5"/>
      <c r="B427" s="88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6"/>
    </row>
    <row r="428">
      <c r="A428" s="5"/>
      <c r="B428" s="88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6"/>
    </row>
    <row r="429">
      <c r="A429" s="5"/>
      <c r="B429" s="88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6"/>
    </row>
    <row r="430">
      <c r="A430" s="5"/>
      <c r="B430" s="88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6"/>
    </row>
    <row r="431">
      <c r="A431" s="5"/>
      <c r="B431" s="88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6"/>
    </row>
    <row r="432">
      <c r="A432" s="5"/>
      <c r="B432" s="88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6"/>
    </row>
    <row r="433">
      <c r="A433" s="5"/>
      <c r="B433" s="88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6"/>
    </row>
    <row r="434">
      <c r="A434" s="5"/>
      <c r="B434" s="88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6"/>
    </row>
    <row r="435">
      <c r="A435" s="5"/>
      <c r="B435" s="88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6"/>
    </row>
    <row r="436">
      <c r="A436" s="5"/>
      <c r="B436" s="88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6"/>
    </row>
    <row r="437">
      <c r="A437" s="5"/>
      <c r="B437" s="88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6"/>
    </row>
    <row r="438">
      <c r="A438" s="5"/>
      <c r="B438" s="88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6"/>
    </row>
    <row r="439">
      <c r="A439" s="5"/>
      <c r="B439" s="88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6"/>
    </row>
    <row r="440">
      <c r="A440" s="5"/>
      <c r="B440" s="88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6"/>
    </row>
    <row r="441">
      <c r="A441" s="5"/>
      <c r="B441" s="88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6"/>
    </row>
    <row r="442">
      <c r="A442" s="5"/>
      <c r="B442" s="88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6"/>
    </row>
    <row r="443">
      <c r="A443" s="5"/>
      <c r="B443" s="88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6"/>
    </row>
    <row r="444">
      <c r="A444" s="5"/>
      <c r="B444" s="88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6"/>
    </row>
    <row r="445">
      <c r="A445" s="5"/>
      <c r="B445" s="88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6"/>
    </row>
    <row r="446">
      <c r="A446" s="5"/>
      <c r="B446" s="88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6"/>
    </row>
    <row r="447">
      <c r="A447" s="5"/>
      <c r="B447" s="88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6"/>
    </row>
    <row r="448">
      <c r="A448" s="5"/>
      <c r="B448" s="88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6"/>
    </row>
    <row r="449">
      <c r="A449" s="5"/>
      <c r="B449" s="88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6"/>
    </row>
    <row r="450">
      <c r="A450" s="5"/>
      <c r="B450" s="88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6"/>
    </row>
    <row r="451">
      <c r="A451" s="5"/>
      <c r="B451" s="88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6"/>
    </row>
    <row r="452">
      <c r="A452" s="5"/>
      <c r="B452" s="88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6"/>
    </row>
    <row r="453">
      <c r="A453" s="5"/>
      <c r="B453" s="88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6"/>
    </row>
    <row r="454">
      <c r="A454" s="5"/>
      <c r="B454" s="88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6"/>
    </row>
    <row r="455">
      <c r="A455" s="5"/>
      <c r="B455" s="88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6"/>
    </row>
    <row r="456">
      <c r="A456" s="5"/>
      <c r="B456" s="88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6"/>
    </row>
    <row r="457">
      <c r="A457" s="5"/>
      <c r="B457" s="88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6"/>
    </row>
    <row r="458">
      <c r="A458" s="5"/>
      <c r="B458" s="88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6"/>
    </row>
    <row r="459">
      <c r="A459" s="5"/>
      <c r="B459" s="88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6"/>
    </row>
    <row r="460">
      <c r="A460" s="5"/>
      <c r="B460" s="88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6"/>
    </row>
    <row r="461">
      <c r="A461" s="5"/>
      <c r="B461" s="88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6"/>
    </row>
    <row r="462">
      <c r="A462" s="5"/>
      <c r="B462" s="88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6"/>
    </row>
    <row r="463">
      <c r="A463" s="5"/>
      <c r="B463" s="88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6"/>
    </row>
    <row r="464">
      <c r="A464" s="5"/>
      <c r="B464" s="88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6"/>
    </row>
    <row r="465">
      <c r="A465" s="5"/>
      <c r="B465" s="88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6"/>
    </row>
    <row r="466">
      <c r="A466" s="5"/>
      <c r="B466" s="88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6"/>
    </row>
    <row r="467">
      <c r="A467" s="5"/>
      <c r="B467" s="88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6"/>
    </row>
    <row r="468">
      <c r="A468" s="5"/>
      <c r="B468" s="88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6"/>
    </row>
    <row r="469">
      <c r="A469" s="5"/>
      <c r="B469" s="88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6"/>
    </row>
    <row r="470">
      <c r="A470" s="5"/>
      <c r="B470" s="88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6"/>
    </row>
    <row r="471">
      <c r="A471" s="5"/>
      <c r="B471" s="88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6"/>
    </row>
    <row r="472">
      <c r="A472" s="5"/>
      <c r="B472" s="88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6"/>
    </row>
    <row r="473">
      <c r="A473" s="5"/>
      <c r="B473" s="88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6"/>
    </row>
    <row r="474">
      <c r="A474" s="5"/>
      <c r="B474" s="88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6"/>
    </row>
    <row r="475">
      <c r="A475" s="5"/>
      <c r="B475" s="88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6"/>
    </row>
    <row r="476">
      <c r="A476" s="5"/>
      <c r="B476" s="88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6"/>
    </row>
    <row r="477">
      <c r="A477" s="5"/>
      <c r="B477" s="88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6"/>
    </row>
    <row r="478">
      <c r="A478" s="5"/>
      <c r="B478" s="88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6"/>
    </row>
    <row r="479">
      <c r="A479" s="5"/>
      <c r="B479" s="88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6"/>
    </row>
    <row r="480">
      <c r="A480" s="5"/>
      <c r="B480" s="88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6"/>
    </row>
    <row r="481">
      <c r="A481" s="5"/>
      <c r="B481" s="88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6"/>
    </row>
    <row r="482">
      <c r="A482" s="5"/>
      <c r="B482" s="88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6"/>
    </row>
    <row r="483">
      <c r="A483" s="5"/>
      <c r="B483" s="88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6"/>
    </row>
    <row r="484">
      <c r="A484" s="5"/>
      <c r="B484" s="88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6"/>
    </row>
    <row r="485">
      <c r="A485" s="5"/>
      <c r="B485" s="88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6"/>
    </row>
    <row r="486">
      <c r="A486" s="5"/>
      <c r="B486" s="88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6"/>
    </row>
    <row r="487">
      <c r="A487" s="5"/>
      <c r="B487" s="88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6"/>
    </row>
    <row r="488">
      <c r="A488" s="5"/>
      <c r="B488" s="88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6"/>
    </row>
    <row r="489">
      <c r="A489" s="5"/>
      <c r="B489" s="88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6"/>
    </row>
    <row r="490">
      <c r="A490" s="5"/>
      <c r="B490" s="88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6"/>
    </row>
    <row r="491">
      <c r="A491" s="5"/>
      <c r="B491" s="88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6"/>
    </row>
    <row r="492">
      <c r="A492" s="5"/>
      <c r="B492" s="88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6"/>
    </row>
    <row r="493">
      <c r="A493" s="5"/>
      <c r="B493" s="88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6"/>
    </row>
    <row r="494">
      <c r="A494" s="5"/>
      <c r="B494" s="88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6"/>
    </row>
    <row r="495">
      <c r="A495" s="5"/>
      <c r="B495" s="88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6"/>
    </row>
    <row r="496">
      <c r="A496" s="5"/>
      <c r="B496" s="88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6"/>
    </row>
    <row r="497">
      <c r="A497" s="5"/>
      <c r="B497" s="88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6"/>
    </row>
    <row r="498">
      <c r="A498" s="5"/>
      <c r="B498" s="88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6"/>
    </row>
    <row r="499">
      <c r="A499" s="5"/>
      <c r="B499" s="88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6"/>
    </row>
    <row r="500">
      <c r="A500" s="5"/>
      <c r="B500" s="88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6"/>
    </row>
    <row r="501">
      <c r="A501" s="5"/>
      <c r="B501" s="88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6"/>
    </row>
    <row r="502">
      <c r="A502" s="5"/>
      <c r="B502" s="88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6"/>
    </row>
    <row r="503">
      <c r="A503" s="5"/>
      <c r="B503" s="88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6"/>
    </row>
    <row r="504">
      <c r="A504" s="5"/>
      <c r="B504" s="88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6"/>
    </row>
    <row r="505">
      <c r="A505" s="5"/>
      <c r="B505" s="88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6"/>
    </row>
    <row r="506">
      <c r="A506" s="5"/>
      <c r="B506" s="88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6"/>
    </row>
    <row r="507">
      <c r="A507" s="5"/>
      <c r="B507" s="88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6"/>
    </row>
    <row r="508">
      <c r="A508" s="5"/>
      <c r="B508" s="88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6"/>
    </row>
    <row r="509">
      <c r="A509" s="5"/>
      <c r="B509" s="88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6"/>
    </row>
    <row r="510">
      <c r="A510" s="5"/>
      <c r="B510" s="88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6"/>
    </row>
    <row r="511">
      <c r="A511" s="5"/>
      <c r="B511" s="88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6"/>
    </row>
    <row r="512">
      <c r="A512" s="5"/>
      <c r="B512" s="88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6"/>
    </row>
    <row r="513">
      <c r="A513" s="5"/>
      <c r="B513" s="88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6"/>
    </row>
    <row r="514">
      <c r="A514" s="5"/>
      <c r="B514" s="88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6"/>
    </row>
    <row r="515">
      <c r="A515" s="5"/>
      <c r="B515" s="88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6"/>
    </row>
    <row r="516">
      <c r="A516" s="5"/>
      <c r="B516" s="88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6"/>
    </row>
    <row r="517">
      <c r="A517" s="5"/>
      <c r="B517" s="88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6"/>
    </row>
    <row r="518">
      <c r="A518" s="5"/>
      <c r="B518" s="88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6"/>
    </row>
    <row r="519">
      <c r="A519" s="5"/>
      <c r="B519" s="88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6"/>
    </row>
    <row r="520">
      <c r="A520" s="5"/>
      <c r="B520" s="88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6"/>
    </row>
    <row r="521">
      <c r="A521" s="5"/>
      <c r="B521" s="88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6"/>
    </row>
    <row r="522">
      <c r="A522" s="5"/>
      <c r="B522" s="88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6"/>
    </row>
    <row r="523">
      <c r="A523" s="5"/>
      <c r="B523" s="88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6"/>
    </row>
    <row r="524">
      <c r="A524" s="5"/>
      <c r="B524" s="88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6"/>
    </row>
    <row r="525">
      <c r="A525" s="5"/>
      <c r="B525" s="88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6"/>
    </row>
    <row r="526">
      <c r="A526" s="5"/>
      <c r="B526" s="88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6"/>
    </row>
    <row r="527">
      <c r="A527" s="5"/>
      <c r="B527" s="88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6"/>
    </row>
    <row r="528">
      <c r="A528" s="5"/>
      <c r="B528" s="88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6"/>
    </row>
    <row r="529">
      <c r="A529" s="5"/>
      <c r="B529" s="88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6"/>
    </row>
    <row r="530">
      <c r="A530" s="5"/>
      <c r="B530" s="88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6"/>
    </row>
    <row r="531">
      <c r="A531" s="5"/>
      <c r="B531" s="88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6"/>
    </row>
    <row r="532">
      <c r="A532" s="5"/>
      <c r="B532" s="88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6"/>
    </row>
    <row r="533">
      <c r="A533" s="5"/>
      <c r="B533" s="88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6"/>
    </row>
    <row r="534">
      <c r="A534" s="5"/>
      <c r="B534" s="88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6"/>
    </row>
    <row r="535">
      <c r="A535" s="5"/>
      <c r="B535" s="88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6"/>
    </row>
    <row r="536">
      <c r="A536" s="5"/>
      <c r="B536" s="88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6"/>
    </row>
    <row r="537">
      <c r="A537" s="5"/>
      <c r="B537" s="88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6"/>
    </row>
    <row r="538">
      <c r="A538" s="5"/>
      <c r="B538" s="88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6"/>
    </row>
    <row r="539">
      <c r="A539" s="5"/>
      <c r="B539" s="88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6"/>
    </row>
    <row r="540">
      <c r="A540" s="5"/>
      <c r="B540" s="88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6"/>
    </row>
    <row r="541">
      <c r="A541" s="5"/>
      <c r="B541" s="88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6"/>
    </row>
    <row r="542">
      <c r="A542" s="5"/>
      <c r="B542" s="88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6"/>
    </row>
    <row r="543">
      <c r="A543" s="5"/>
      <c r="B543" s="88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6"/>
    </row>
    <row r="544">
      <c r="A544" s="5"/>
      <c r="B544" s="88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6"/>
    </row>
    <row r="545">
      <c r="A545" s="5"/>
      <c r="B545" s="88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6"/>
    </row>
    <row r="546">
      <c r="A546" s="5"/>
      <c r="B546" s="88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6"/>
    </row>
    <row r="547">
      <c r="A547" s="5"/>
      <c r="B547" s="88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6"/>
    </row>
    <row r="548">
      <c r="A548" s="5"/>
      <c r="B548" s="88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6"/>
    </row>
    <row r="549">
      <c r="A549" s="5"/>
      <c r="B549" s="88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6"/>
    </row>
    <row r="550">
      <c r="A550" s="5"/>
      <c r="B550" s="88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6"/>
    </row>
    <row r="551">
      <c r="A551" s="5"/>
      <c r="B551" s="88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6"/>
    </row>
    <row r="552">
      <c r="A552" s="5"/>
      <c r="B552" s="88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6"/>
    </row>
    <row r="553">
      <c r="A553" s="5"/>
      <c r="B553" s="88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6"/>
    </row>
    <row r="554">
      <c r="A554" s="5"/>
      <c r="B554" s="88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6"/>
    </row>
    <row r="555">
      <c r="A555" s="5"/>
      <c r="B555" s="88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6"/>
    </row>
    <row r="556">
      <c r="A556" s="5"/>
      <c r="B556" s="88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6"/>
    </row>
    <row r="557">
      <c r="A557" s="5"/>
      <c r="B557" s="88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6"/>
    </row>
    <row r="558">
      <c r="A558" s="5"/>
      <c r="B558" s="88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6"/>
    </row>
    <row r="559">
      <c r="A559" s="5"/>
      <c r="B559" s="88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6"/>
    </row>
    <row r="560">
      <c r="A560" s="5"/>
      <c r="B560" s="88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6"/>
    </row>
    <row r="561">
      <c r="A561" s="5"/>
      <c r="B561" s="88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6"/>
    </row>
    <row r="562">
      <c r="A562" s="5"/>
      <c r="B562" s="88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6"/>
    </row>
    <row r="563">
      <c r="A563" s="5"/>
      <c r="B563" s="88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6"/>
    </row>
    <row r="564">
      <c r="A564" s="5"/>
      <c r="B564" s="88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6"/>
    </row>
    <row r="565">
      <c r="A565" s="5"/>
      <c r="B565" s="88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6"/>
    </row>
    <row r="566">
      <c r="A566" s="5"/>
      <c r="B566" s="88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6"/>
    </row>
    <row r="567">
      <c r="A567" s="5"/>
      <c r="B567" s="88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6"/>
    </row>
    <row r="568">
      <c r="A568" s="5"/>
      <c r="B568" s="88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6"/>
    </row>
    <row r="569">
      <c r="A569" s="5"/>
      <c r="B569" s="88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6"/>
    </row>
    <row r="570">
      <c r="A570" s="5"/>
      <c r="B570" s="88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6"/>
    </row>
    <row r="571">
      <c r="A571" s="5"/>
      <c r="B571" s="88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6"/>
    </row>
    <row r="572">
      <c r="A572" s="5"/>
      <c r="B572" s="88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6"/>
    </row>
    <row r="573">
      <c r="A573" s="5"/>
      <c r="B573" s="88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6"/>
    </row>
    <row r="574">
      <c r="A574" s="5"/>
      <c r="B574" s="88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6"/>
    </row>
    <row r="575">
      <c r="A575" s="5"/>
      <c r="B575" s="88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6"/>
    </row>
    <row r="576">
      <c r="A576" s="5"/>
      <c r="B576" s="88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6"/>
    </row>
    <row r="577">
      <c r="A577" s="5"/>
      <c r="B577" s="88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6"/>
    </row>
    <row r="578">
      <c r="A578" s="5"/>
      <c r="B578" s="88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6"/>
    </row>
    <row r="579">
      <c r="A579" s="5"/>
      <c r="B579" s="88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6"/>
    </row>
    <row r="580">
      <c r="A580" s="5"/>
      <c r="B580" s="88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6"/>
    </row>
    <row r="581">
      <c r="A581" s="5"/>
      <c r="B581" s="88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6"/>
    </row>
    <row r="582">
      <c r="A582" s="5"/>
      <c r="B582" s="88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6"/>
    </row>
    <row r="583">
      <c r="A583" s="5"/>
      <c r="B583" s="88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6"/>
    </row>
    <row r="584">
      <c r="A584" s="5"/>
      <c r="B584" s="88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6"/>
    </row>
    <row r="585">
      <c r="A585" s="5"/>
      <c r="B585" s="88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6"/>
    </row>
    <row r="586">
      <c r="A586" s="5"/>
      <c r="B586" s="88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6"/>
    </row>
    <row r="587">
      <c r="A587" s="5"/>
      <c r="B587" s="88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6"/>
    </row>
    <row r="588">
      <c r="A588" s="5"/>
      <c r="B588" s="88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6"/>
    </row>
    <row r="589">
      <c r="A589" s="5"/>
      <c r="B589" s="88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6"/>
    </row>
    <row r="590">
      <c r="A590" s="5"/>
      <c r="B590" s="88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6"/>
    </row>
    <row r="591">
      <c r="A591" s="5"/>
      <c r="B591" s="88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6"/>
    </row>
    <row r="592">
      <c r="A592" s="5"/>
      <c r="B592" s="88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6"/>
    </row>
    <row r="593">
      <c r="A593" s="5"/>
      <c r="B593" s="88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6"/>
    </row>
    <row r="594">
      <c r="A594" s="5"/>
      <c r="B594" s="88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6"/>
    </row>
    <row r="595">
      <c r="A595" s="5"/>
      <c r="B595" s="88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6"/>
    </row>
    <row r="596">
      <c r="A596" s="5"/>
      <c r="B596" s="88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6"/>
    </row>
    <row r="597">
      <c r="A597" s="5"/>
      <c r="B597" s="88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6"/>
    </row>
    <row r="598">
      <c r="A598" s="5"/>
      <c r="B598" s="88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6"/>
    </row>
    <row r="599">
      <c r="A599" s="5"/>
      <c r="B599" s="88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6"/>
    </row>
    <row r="600">
      <c r="A600" s="5"/>
      <c r="B600" s="88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6"/>
    </row>
    <row r="601">
      <c r="A601" s="5"/>
      <c r="B601" s="88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6"/>
    </row>
    <row r="602">
      <c r="A602" s="5"/>
      <c r="B602" s="88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6"/>
    </row>
    <row r="603">
      <c r="A603" s="5"/>
      <c r="B603" s="88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6"/>
    </row>
    <row r="604">
      <c r="A604" s="5"/>
      <c r="B604" s="88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6"/>
    </row>
    <row r="605">
      <c r="A605" s="5"/>
      <c r="B605" s="88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6"/>
    </row>
    <row r="606">
      <c r="A606" s="5"/>
      <c r="B606" s="88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6"/>
    </row>
    <row r="607">
      <c r="A607" s="5"/>
      <c r="B607" s="88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6"/>
    </row>
    <row r="608">
      <c r="A608" s="5"/>
      <c r="B608" s="88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6"/>
    </row>
    <row r="609">
      <c r="A609" s="5"/>
      <c r="B609" s="88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6"/>
    </row>
    <row r="610">
      <c r="A610" s="5"/>
      <c r="B610" s="88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6"/>
    </row>
    <row r="611">
      <c r="A611" s="5"/>
      <c r="B611" s="88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6"/>
    </row>
    <row r="612">
      <c r="A612" s="5"/>
      <c r="B612" s="88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6"/>
    </row>
    <row r="613">
      <c r="A613" s="5"/>
      <c r="B613" s="88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6"/>
    </row>
    <row r="614">
      <c r="A614" s="5"/>
      <c r="B614" s="88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6"/>
    </row>
    <row r="615">
      <c r="A615" s="5"/>
      <c r="B615" s="88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6"/>
    </row>
    <row r="616">
      <c r="A616" s="5"/>
      <c r="B616" s="88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6"/>
    </row>
    <row r="617">
      <c r="A617" s="5"/>
      <c r="B617" s="88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6"/>
    </row>
    <row r="618">
      <c r="A618" s="5"/>
      <c r="B618" s="88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6"/>
    </row>
    <row r="619">
      <c r="A619" s="5"/>
      <c r="B619" s="88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6"/>
    </row>
    <row r="620">
      <c r="A620" s="5"/>
      <c r="B620" s="88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6"/>
    </row>
    <row r="621">
      <c r="A621" s="5"/>
      <c r="B621" s="88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6"/>
    </row>
    <row r="622">
      <c r="A622" s="5"/>
      <c r="B622" s="88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6"/>
    </row>
    <row r="623">
      <c r="A623" s="5"/>
      <c r="B623" s="88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6"/>
    </row>
    <row r="624">
      <c r="A624" s="5"/>
      <c r="B624" s="88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6"/>
    </row>
    <row r="625">
      <c r="A625" s="5"/>
      <c r="B625" s="88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6"/>
    </row>
    <row r="626">
      <c r="A626" s="5"/>
      <c r="B626" s="88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6"/>
    </row>
    <row r="627">
      <c r="A627" s="5"/>
      <c r="B627" s="88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6"/>
    </row>
    <row r="628">
      <c r="A628" s="5"/>
      <c r="B628" s="88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6"/>
    </row>
    <row r="629">
      <c r="A629" s="5"/>
      <c r="B629" s="88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6"/>
    </row>
    <row r="630">
      <c r="A630" s="5"/>
      <c r="B630" s="88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6"/>
    </row>
    <row r="631">
      <c r="A631" s="5"/>
      <c r="B631" s="88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6"/>
    </row>
    <row r="632">
      <c r="A632" s="5"/>
      <c r="B632" s="88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6"/>
    </row>
    <row r="633">
      <c r="A633" s="5"/>
      <c r="B633" s="88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6"/>
    </row>
    <row r="634">
      <c r="A634" s="5"/>
      <c r="B634" s="88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6"/>
    </row>
    <row r="635">
      <c r="A635" s="5"/>
      <c r="B635" s="88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6"/>
    </row>
    <row r="636">
      <c r="A636" s="5"/>
      <c r="B636" s="88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6"/>
    </row>
    <row r="637">
      <c r="A637" s="5"/>
      <c r="B637" s="88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6"/>
    </row>
    <row r="638">
      <c r="A638" s="5"/>
      <c r="B638" s="88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6"/>
    </row>
    <row r="639">
      <c r="A639" s="5"/>
      <c r="B639" s="88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6"/>
    </row>
    <row r="640">
      <c r="A640" s="5"/>
      <c r="B640" s="88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6"/>
    </row>
    <row r="641">
      <c r="A641" s="5"/>
      <c r="B641" s="88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6"/>
    </row>
    <row r="642">
      <c r="A642" s="5"/>
      <c r="B642" s="88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6"/>
    </row>
    <row r="643">
      <c r="A643" s="92"/>
      <c r="B643" s="93"/>
      <c r="C643" s="92"/>
      <c r="D643" s="94"/>
      <c r="E643" s="92"/>
      <c r="F643" s="94"/>
      <c r="G643" s="92"/>
      <c r="H643" s="94"/>
      <c r="I643" s="92"/>
      <c r="J643" s="92"/>
      <c r="K643" s="9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8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6"/>
    </row>
    <row r="644">
      <c r="A644" s="92"/>
      <c r="B644" s="93"/>
      <c r="C644" s="92"/>
      <c r="D644" s="94"/>
      <c r="E644" s="92"/>
      <c r="F644" s="94"/>
      <c r="G644" s="92"/>
      <c r="H644" s="94"/>
      <c r="I644" s="92"/>
      <c r="J644" s="92"/>
      <c r="K644" s="9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8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6"/>
    </row>
    <row r="645">
      <c r="A645" s="92"/>
      <c r="B645" s="93"/>
      <c r="C645" s="92"/>
      <c r="D645" s="94"/>
      <c r="E645" s="92"/>
      <c r="F645" s="94"/>
      <c r="G645" s="92"/>
      <c r="H645" s="94"/>
      <c r="I645" s="92"/>
      <c r="J645" s="92"/>
      <c r="K645" s="9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8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6"/>
    </row>
    <row r="646">
      <c r="A646" s="92"/>
      <c r="B646" s="93"/>
      <c r="C646" s="92"/>
      <c r="D646" s="94"/>
      <c r="E646" s="92"/>
      <c r="F646" s="94"/>
      <c r="G646" s="92"/>
      <c r="H646" s="94"/>
      <c r="I646" s="92"/>
      <c r="J646" s="92"/>
      <c r="K646" s="9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8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6"/>
    </row>
    <row r="647">
      <c r="A647" s="92"/>
      <c r="B647" s="93"/>
      <c r="C647" s="92"/>
      <c r="D647" s="94"/>
      <c r="E647" s="92"/>
      <c r="F647" s="94"/>
      <c r="G647" s="92"/>
      <c r="H647" s="94"/>
      <c r="I647" s="92"/>
      <c r="J647" s="92"/>
      <c r="K647" s="9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8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6"/>
    </row>
    <row r="648">
      <c r="A648" s="92"/>
      <c r="B648" s="93"/>
      <c r="C648" s="92"/>
      <c r="D648" s="94"/>
      <c r="E648" s="92"/>
      <c r="F648" s="94"/>
      <c r="G648" s="92"/>
      <c r="H648" s="94"/>
      <c r="I648" s="92"/>
      <c r="J648" s="92"/>
      <c r="K648" s="9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8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6"/>
    </row>
    <row r="649">
      <c r="A649" s="92"/>
      <c r="B649" s="93"/>
      <c r="C649" s="92"/>
      <c r="D649" s="94"/>
      <c r="E649" s="92"/>
      <c r="F649" s="94"/>
      <c r="G649" s="92"/>
      <c r="H649" s="94"/>
      <c r="I649" s="92"/>
      <c r="J649" s="92"/>
      <c r="K649" s="9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8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6"/>
    </row>
    <row r="650">
      <c r="A650" s="92"/>
      <c r="B650" s="93"/>
      <c r="C650" s="92"/>
      <c r="D650" s="94"/>
      <c r="E650" s="92"/>
      <c r="F650" s="94"/>
      <c r="G650" s="92"/>
      <c r="H650" s="94"/>
      <c r="I650" s="92"/>
      <c r="J650" s="92"/>
      <c r="K650" s="9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8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6"/>
    </row>
    <row r="651">
      <c r="A651" s="92"/>
      <c r="B651" s="93"/>
      <c r="C651" s="92"/>
      <c r="D651" s="94"/>
      <c r="E651" s="92"/>
      <c r="F651" s="94"/>
      <c r="G651" s="92"/>
      <c r="H651" s="94"/>
      <c r="I651" s="92"/>
      <c r="J651" s="92"/>
      <c r="K651" s="9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8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6"/>
    </row>
    <row r="652">
      <c r="A652" s="92"/>
      <c r="B652" s="93"/>
      <c r="C652" s="92"/>
      <c r="D652" s="94"/>
      <c r="E652" s="92"/>
      <c r="F652" s="94"/>
      <c r="G652" s="92"/>
      <c r="H652" s="94"/>
      <c r="I652" s="92"/>
      <c r="J652" s="92"/>
      <c r="K652" s="9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8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6"/>
    </row>
    <row r="653">
      <c r="A653" s="92"/>
      <c r="B653" s="93"/>
      <c r="C653" s="92"/>
      <c r="D653" s="94"/>
      <c r="E653" s="92"/>
      <c r="F653" s="94"/>
      <c r="G653" s="92"/>
      <c r="H653" s="94"/>
      <c r="I653" s="92"/>
      <c r="J653" s="92"/>
      <c r="K653" s="9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8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6"/>
    </row>
    <row r="654">
      <c r="A654" s="92"/>
      <c r="B654" s="93"/>
      <c r="C654" s="92"/>
      <c r="D654" s="94"/>
      <c r="E654" s="92"/>
      <c r="F654" s="94"/>
      <c r="G654" s="92"/>
      <c r="H654" s="94"/>
      <c r="I654" s="92"/>
      <c r="J654" s="92"/>
      <c r="K654" s="9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8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6"/>
    </row>
    <row r="655">
      <c r="A655" s="92"/>
      <c r="B655" s="93"/>
      <c r="C655" s="92"/>
      <c r="D655" s="94"/>
      <c r="E655" s="92"/>
      <c r="F655" s="94"/>
      <c r="G655" s="92"/>
      <c r="H655" s="94"/>
      <c r="I655" s="92"/>
      <c r="J655" s="92"/>
      <c r="K655" s="9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8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6"/>
    </row>
    <row r="656">
      <c r="A656" s="92"/>
      <c r="B656" s="93"/>
      <c r="C656" s="92"/>
      <c r="D656" s="94"/>
      <c r="E656" s="92"/>
      <c r="F656" s="94"/>
      <c r="G656" s="92"/>
      <c r="H656" s="94"/>
      <c r="I656" s="92"/>
      <c r="J656" s="92"/>
      <c r="K656" s="9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8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6"/>
    </row>
    <row r="657">
      <c r="A657" s="92"/>
      <c r="B657" s="93"/>
      <c r="C657" s="92"/>
      <c r="D657" s="94"/>
      <c r="E657" s="92"/>
      <c r="F657" s="94"/>
      <c r="G657" s="92"/>
      <c r="H657" s="94"/>
      <c r="I657" s="92"/>
      <c r="J657" s="92"/>
      <c r="K657" s="9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8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6"/>
    </row>
    <row r="658">
      <c r="A658" s="92"/>
      <c r="B658" s="93"/>
      <c r="C658" s="92"/>
      <c r="D658" s="94"/>
      <c r="E658" s="92"/>
      <c r="F658" s="94"/>
      <c r="G658" s="92"/>
      <c r="H658" s="94"/>
      <c r="I658" s="92"/>
      <c r="J658" s="92"/>
      <c r="K658" s="9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8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6"/>
    </row>
    <row r="659">
      <c r="A659" s="92"/>
      <c r="B659" s="93"/>
      <c r="C659" s="92"/>
      <c r="D659" s="94"/>
      <c r="E659" s="92"/>
      <c r="F659" s="94"/>
      <c r="G659" s="92"/>
      <c r="H659" s="94"/>
      <c r="I659" s="92"/>
      <c r="J659" s="92"/>
      <c r="K659" s="9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8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6"/>
    </row>
    <row r="660">
      <c r="A660" s="92"/>
      <c r="B660" s="93"/>
      <c r="C660" s="92"/>
      <c r="D660" s="94"/>
      <c r="E660" s="92"/>
      <c r="F660" s="94"/>
      <c r="G660" s="92"/>
      <c r="H660" s="94"/>
      <c r="I660" s="92"/>
      <c r="J660" s="92"/>
      <c r="K660" s="9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8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6"/>
    </row>
    <row r="661">
      <c r="A661" s="92"/>
      <c r="B661" s="93"/>
      <c r="C661" s="92"/>
      <c r="D661" s="94"/>
      <c r="E661" s="92"/>
      <c r="F661" s="94"/>
      <c r="G661" s="92"/>
      <c r="H661" s="94"/>
      <c r="I661" s="92"/>
      <c r="J661" s="92"/>
      <c r="K661" s="9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8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6"/>
    </row>
    <row r="662">
      <c r="A662" s="92"/>
      <c r="B662" s="93"/>
      <c r="C662" s="92"/>
      <c r="D662" s="94"/>
      <c r="E662" s="92"/>
      <c r="F662" s="94"/>
      <c r="G662" s="92"/>
      <c r="H662" s="94"/>
      <c r="I662" s="92"/>
      <c r="J662" s="92"/>
      <c r="K662" s="9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8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6"/>
    </row>
    <row r="663">
      <c r="A663" s="92"/>
      <c r="B663" s="93"/>
      <c r="C663" s="92"/>
      <c r="D663" s="94"/>
      <c r="E663" s="92"/>
      <c r="F663" s="94"/>
      <c r="G663" s="92"/>
      <c r="H663" s="94"/>
      <c r="I663" s="92"/>
      <c r="J663" s="92"/>
      <c r="K663" s="9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8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6"/>
    </row>
    <row r="664">
      <c r="A664" s="92"/>
      <c r="B664" s="93"/>
      <c r="C664" s="92"/>
      <c r="D664" s="94"/>
      <c r="E664" s="92"/>
      <c r="F664" s="94"/>
      <c r="G664" s="92"/>
      <c r="H664" s="94"/>
      <c r="I664" s="92"/>
      <c r="J664" s="92"/>
      <c r="K664" s="9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8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6"/>
    </row>
    <row r="665">
      <c r="A665" s="92"/>
      <c r="B665" s="93"/>
      <c r="C665" s="92"/>
      <c r="D665" s="94"/>
      <c r="E665" s="92"/>
      <c r="F665" s="94"/>
      <c r="G665" s="92"/>
      <c r="H665" s="94"/>
      <c r="I665" s="92"/>
      <c r="J665" s="92"/>
      <c r="K665" s="9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8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6"/>
    </row>
    <row r="666">
      <c r="A666" s="92"/>
      <c r="B666" s="93"/>
      <c r="C666" s="92"/>
      <c r="D666" s="94"/>
      <c r="E666" s="92"/>
      <c r="F666" s="94"/>
      <c r="G666" s="92"/>
      <c r="H666" s="94"/>
      <c r="I666" s="92"/>
      <c r="J666" s="92"/>
      <c r="K666" s="9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8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6"/>
    </row>
    <row r="667">
      <c r="A667" s="92"/>
      <c r="B667" s="93"/>
      <c r="C667" s="92"/>
      <c r="D667" s="94"/>
      <c r="E667" s="92"/>
      <c r="F667" s="94"/>
      <c r="G667" s="92"/>
      <c r="H667" s="94"/>
      <c r="I667" s="92"/>
      <c r="J667" s="92"/>
      <c r="K667" s="9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8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6"/>
    </row>
    <row r="668">
      <c r="A668" s="92"/>
      <c r="B668" s="93"/>
      <c r="C668" s="92"/>
      <c r="D668" s="94"/>
      <c r="E668" s="92"/>
      <c r="F668" s="94"/>
      <c r="G668" s="92"/>
      <c r="H668" s="94"/>
      <c r="I668" s="92"/>
      <c r="J668" s="92"/>
      <c r="K668" s="9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8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6"/>
    </row>
    <row r="669">
      <c r="A669" s="92"/>
      <c r="B669" s="93"/>
      <c r="C669" s="92"/>
      <c r="D669" s="94"/>
      <c r="E669" s="92"/>
      <c r="F669" s="94"/>
      <c r="G669" s="92"/>
      <c r="H669" s="94"/>
      <c r="I669" s="92"/>
      <c r="J669" s="92"/>
      <c r="K669" s="9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8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6"/>
    </row>
    <row r="670">
      <c r="A670" s="92"/>
      <c r="B670" s="93"/>
      <c r="C670" s="92"/>
      <c r="D670" s="94"/>
      <c r="E670" s="92"/>
      <c r="F670" s="94"/>
      <c r="G670" s="92"/>
      <c r="H670" s="94"/>
      <c r="I670" s="92"/>
      <c r="J670" s="92"/>
      <c r="K670" s="9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8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6"/>
    </row>
    <row r="671">
      <c r="A671" s="92"/>
      <c r="B671" s="93"/>
      <c r="C671" s="92"/>
      <c r="D671" s="94"/>
      <c r="E671" s="92"/>
      <c r="F671" s="94"/>
      <c r="G671" s="92"/>
      <c r="H671" s="94"/>
      <c r="I671" s="92"/>
      <c r="J671" s="92"/>
      <c r="K671" s="9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8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6"/>
    </row>
    <row r="672">
      <c r="A672" s="92"/>
      <c r="B672" s="93"/>
      <c r="C672" s="92"/>
      <c r="D672" s="94"/>
      <c r="E672" s="92"/>
      <c r="F672" s="94"/>
      <c r="G672" s="92"/>
      <c r="H672" s="94"/>
      <c r="I672" s="92"/>
      <c r="J672" s="92"/>
      <c r="K672" s="9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8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6"/>
    </row>
    <row r="673">
      <c r="A673" s="92"/>
      <c r="B673" s="93"/>
      <c r="C673" s="92"/>
      <c r="D673" s="94"/>
      <c r="E673" s="92"/>
      <c r="F673" s="94"/>
      <c r="G673" s="92"/>
      <c r="H673" s="94"/>
      <c r="I673" s="92"/>
      <c r="J673" s="92"/>
      <c r="K673" s="9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8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6"/>
    </row>
    <row r="674">
      <c r="A674" s="92"/>
      <c r="B674" s="93"/>
      <c r="C674" s="92"/>
      <c r="D674" s="94"/>
      <c r="E674" s="92"/>
      <c r="F674" s="94"/>
      <c r="G674" s="92"/>
      <c r="H674" s="94"/>
      <c r="I674" s="92"/>
      <c r="J674" s="92"/>
      <c r="K674" s="9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8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6"/>
    </row>
    <row r="675">
      <c r="A675" s="92"/>
      <c r="B675" s="93"/>
      <c r="C675" s="92"/>
      <c r="D675" s="94"/>
      <c r="E675" s="92"/>
      <c r="F675" s="94"/>
      <c r="G675" s="92"/>
      <c r="H675" s="94"/>
      <c r="I675" s="92"/>
      <c r="J675" s="92"/>
      <c r="K675" s="9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8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6"/>
    </row>
    <row r="676">
      <c r="A676" s="92"/>
      <c r="B676" s="93"/>
      <c r="C676" s="92"/>
      <c r="D676" s="94"/>
      <c r="E676" s="92"/>
      <c r="F676" s="94"/>
      <c r="G676" s="92"/>
      <c r="H676" s="94"/>
      <c r="I676" s="92"/>
      <c r="J676" s="92"/>
      <c r="K676" s="9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8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6"/>
    </row>
    <row r="677">
      <c r="A677" s="92"/>
      <c r="B677" s="93"/>
      <c r="C677" s="92"/>
      <c r="D677" s="94"/>
      <c r="E677" s="92"/>
      <c r="F677" s="94"/>
      <c r="G677" s="92"/>
      <c r="H677" s="94"/>
      <c r="I677" s="92"/>
      <c r="J677" s="92"/>
      <c r="K677" s="9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8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6"/>
    </row>
    <row r="678">
      <c r="A678" s="92"/>
      <c r="B678" s="93"/>
      <c r="C678" s="92"/>
      <c r="D678" s="94"/>
      <c r="E678" s="92"/>
      <c r="F678" s="94"/>
      <c r="G678" s="92"/>
      <c r="H678" s="94"/>
      <c r="I678" s="92"/>
      <c r="J678" s="92"/>
      <c r="K678" s="9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8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6"/>
    </row>
    <row r="679">
      <c r="A679" s="92"/>
      <c r="B679" s="93"/>
      <c r="C679" s="92"/>
      <c r="D679" s="94"/>
      <c r="E679" s="92"/>
      <c r="F679" s="94"/>
      <c r="G679" s="92"/>
      <c r="H679" s="94"/>
      <c r="I679" s="92"/>
      <c r="J679" s="92"/>
      <c r="K679" s="9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8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6"/>
    </row>
    <row r="680">
      <c r="A680" s="92"/>
      <c r="B680" s="93"/>
      <c r="C680" s="92"/>
      <c r="D680" s="94"/>
      <c r="E680" s="92"/>
      <c r="F680" s="94"/>
      <c r="G680" s="92"/>
      <c r="H680" s="94"/>
      <c r="I680" s="92"/>
      <c r="J680" s="92"/>
      <c r="K680" s="9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8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6"/>
    </row>
    <row r="681">
      <c r="A681" s="92"/>
      <c r="B681" s="93"/>
      <c r="C681" s="92"/>
      <c r="D681" s="94"/>
      <c r="E681" s="92"/>
      <c r="F681" s="94"/>
      <c r="G681" s="92"/>
      <c r="H681" s="94"/>
      <c r="I681" s="92"/>
      <c r="J681" s="92"/>
      <c r="K681" s="9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8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6"/>
    </row>
    <row r="682">
      <c r="A682" s="92"/>
      <c r="B682" s="93"/>
      <c r="C682" s="92"/>
      <c r="D682" s="94"/>
      <c r="E682" s="92"/>
      <c r="F682" s="94"/>
      <c r="G682" s="92"/>
      <c r="H682" s="94"/>
      <c r="I682" s="92"/>
      <c r="J682" s="92"/>
      <c r="K682" s="9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8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6"/>
    </row>
    <row r="683">
      <c r="A683" s="92"/>
      <c r="B683" s="93"/>
      <c r="C683" s="92"/>
      <c r="D683" s="94"/>
      <c r="E683" s="92"/>
      <c r="F683" s="94"/>
      <c r="G683" s="92"/>
      <c r="H683" s="94"/>
      <c r="I683" s="92"/>
      <c r="J683" s="92"/>
      <c r="K683" s="9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8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6"/>
    </row>
    <row r="684">
      <c r="A684" s="92"/>
      <c r="B684" s="93"/>
      <c r="C684" s="92"/>
      <c r="D684" s="94"/>
      <c r="E684" s="92"/>
      <c r="F684" s="94"/>
      <c r="G684" s="92"/>
      <c r="H684" s="94"/>
      <c r="I684" s="92"/>
      <c r="J684" s="92"/>
      <c r="K684" s="9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8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6"/>
    </row>
    <row r="685">
      <c r="A685" s="92"/>
      <c r="B685" s="93"/>
      <c r="C685" s="92"/>
      <c r="D685" s="94"/>
      <c r="E685" s="92"/>
      <c r="F685" s="94"/>
      <c r="G685" s="92"/>
      <c r="H685" s="94"/>
      <c r="I685" s="92"/>
      <c r="J685" s="92"/>
      <c r="K685" s="9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8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6"/>
    </row>
    <row r="686">
      <c r="A686" s="92"/>
      <c r="B686" s="93"/>
      <c r="C686" s="92"/>
      <c r="D686" s="94"/>
      <c r="E686" s="92"/>
      <c r="F686" s="94"/>
      <c r="G686" s="92"/>
      <c r="H686" s="94"/>
      <c r="I686" s="92"/>
      <c r="J686" s="92"/>
      <c r="K686" s="9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8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6"/>
    </row>
    <row r="687">
      <c r="A687" s="92"/>
      <c r="B687" s="93"/>
      <c r="C687" s="92"/>
      <c r="D687" s="94"/>
      <c r="E687" s="92"/>
      <c r="F687" s="94"/>
      <c r="G687" s="92"/>
      <c r="H687" s="94"/>
      <c r="I687" s="92"/>
      <c r="J687" s="92"/>
      <c r="K687" s="9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8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6"/>
    </row>
    <row r="688">
      <c r="A688" s="92"/>
      <c r="B688" s="93"/>
      <c r="C688" s="92"/>
      <c r="D688" s="94"/>
      <c r="E688" s="92"/>
      <c r="F688" s="94"/>
      <c r="G688" s="92"/>
      <c r="H688" s="94"/>
      <c r="I688" s="92"/>
      <c r="J688" s="92"/>
      <c r="K688" s="9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8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6"/>
    </row>
    <row r="689">
      <c r="A689" s="92"/>
      <c r="B689" s="93"/>
      <c r="C689" s="92"/>
      <c r="D689" s="94"/>
      <c r="E689" s="92"/>
      <c r="F689" s="94"/>
      <c r="G689" s="92"/>
      <c r="H689" s="94"/>
      <c r="I689" s="92"/>
      <c r="J689" s="92"/>
      <c r="K689" s="9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8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6"/>
    </row>
    <row r="690">
      <c r="A690" s="92"/>
      <c r="B690" s="93"/>
      <c r="C690" s="92"/>
      <c r="D690" s="94"/>
      <c r="E690" s="92"/>
      <c r="F690" s="94"/>
      <c r="G690" s="92"/>
      <c r="H690" s="94"/>
      <c r="I690" s="92"/>
      <c r="J690" s="92"/>
      <c r="K690" s="9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8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6"/>
    </row>
    <row r="691">
      <c r="A691" s="92"/>
      <c r="B691" s="93"/>
      <c r="C691" s="92"/>
      <c r="D691" s="94"/>
      <c r="E691" s="92"/>
      <c r="F691" s="94"/>
      <c r="G691" s="92"/>
      <c r="H691" s="94"/>
      <c r="I691" s="92"/>
      <c r="J691" s="92"/>
      <c r="K691" s="9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8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6"/>
    </row>
    <row r="692">
      <c r="A692" s="92"/>
      <c r="B692" s="93"/>
      <c r="C692" s="92"/>
      <c r="D692" s="94"/>
      <c r="E692" s="92"/>
      <c r="F692" s="94"/>
      <c r="G692" s="92"/>
      <c r="H692" s="94"/>
      <c r="I692" s="92"/>
      <c r="J692" s="92"/>
      <c r="K692" s="9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8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6"/>
    </row>
    <row r="693">
      <c r="A693" s="92"/>
      <c r="B693" s="93"/>
      <c r="C693" s="92"/>
      <c r="D693" s="94"/>
      <c r="E693" s="92"/>
      <c r="F693" s="94"/>
      <c r="G693" s="92"/>
      <c r="H693" s="94"/>
      <c r="I693" s="92"/>
      <c r="J693" s="92"/>
      <c r="K693" s="9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8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6"/>
    </row>
    <row r="694">
      <c r="A694" s="92"/>
      <c r="B694" s="93"/>
      <c r="C694" s="92"/>
      <c r="D694" s="94"/>
      <c r="E694" s="92"/>
      <c r="F694" s="94"/>
      <c r="G694" s="92"/>
      <c r="H694" s="94"/>
      <c r="I694" s="92"/>
      <c r="J694" s="92"/>
      <c r="K694" s="9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8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6"/>
    </row>
    <row r="695">
      <c r="A695" s="92"/>
      <c r="B695" s="93"/>
      <c r="C695" s="92"/>
      <c r="D695" s="94"/>
      <c r="E695" s="92"/>
      <c r="F695" s="94"/>
      <c r="G695" s="92"/>
      <c r="H695" s="94"/>
      <c r="I695" s="92"/>
      <c r="J695" s="92"/>
      <c r="K695" s="9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8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6"/>
    </row>
    <row r="696">
      <c r="A696" s="92"/>
      <c r="B696" s="93"/>
      <c r="C696" s="92"/>
      <c r="D696" s="94"/>
      <c r="E696" s="92"/>
      <c r="F696" s="94"/>
      <c r="G696" s="92"/>
      <c r="H696" s="94"/>
      <c r="I696" s="92"/>
      <c r="J696" s="92"/>
      <c r="K696" s="9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8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6"/>
    </row>
    <row r="697">
      <c r="A697" s="92"/>
      <c r="B697" s="93"/>
      <c r="C697" s="92"/>
      <c r="D697" s="94"/>
      <c r="E697" s="92"/>
      <c r="F697" s="94"/>
      <c r="G697" s="92"/>
      <c r="H697" s="94"/>
      <c r="I697" s="92"/>
      <c r="J697" s="92"/>
      <c r="K697" s="9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8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6"/>
    </row>
    <row r="698">
      <c r="A698" s="92"/>
      <c r="B698" s="93"/>
      <c r="C698" s="92"/>
      <c r="D698" s="94"/>
      <c r="E698" s="92"/>
      <c r="F698" s="94"/>
      <c r="G698" s="92"/>
      <c r="H698" s="94"/>
      <c r="I698" s="92"/>
      <c r="J698" s="92"/>
      <c r="K698" s="9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8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6"/>
    </row>
    <row r="699">
      <c r="A699" s="92"/>
      <c r="B699" s="93"/>
      <c r="C699" s="92"/>
      <c r="D699" s="94"/>
      <c r="E699" s="92"/>
      <c r="F699" s="94"/>
      <c r="G699" s="92"/>
      <c r="H699" s="94"/>
      <c r="I699" s="92"/>
      <c r="J699" s="92"/>
      <c r="K699" s="9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8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6"/>
    </row>
    <row r="700">
      <c r="A700" s="92"/>
      <c r="B700" s="93"/>
      <c r="C700" s="92"/>
      <c r="D700" s="94"/>
      <c r="E700" s="92"/>
      <c r="F700" s="94"/>
      <c r="G700" s="92"/>
      <c r="H700" s="94"/>
      <c r="I700" s="92"/>
      <c r="J700" s="92"/>
      <c r="K700" s="9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8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6"/>
    </row>
    <row r="701">
      <c r="A701" s="92"/>
      <c r="B701" s="93"/>
      <c r="C701" s="92"/>
      <c r="D701" s="94"/>
      <c r="E701" s="92"/>
      <c r="F701" s="94"/>
      <c r="G701" s="92"/>
      <c r="H701" s="94"/>
      <c r="I701" s="92"/>
      <c r="J701" s="92"/>
      <c r="K701" s="9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8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6"/>
    </row>
    <row r="702">
      <c r="A702" s="92"/>
      <c r="B702" s="93"/>
      <c r="C702" s="92"/>
      <c r="D702" s="94"/>
      <c r="E702" s="92"/>
      <c r="F702" s="94"/>
      <c r="G702" s="92"/>
      <c r="H702" s="94"/>
      <c r="I702" s="92"/>
      <c r="J702" s="92"/>
      <c r="K702" s="9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8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6"/>
    </row>
    <row r="703">
      <c r="A703" s="92"/>
      <c r="B703" s="93"/>
      <c r="C703" s="92"/>
      <c r="D703" s="94"/>
      <c r="E703" s="92"/>
      <c r="F703" s="94"/>
      <c r="G703" s="92"/>
      <c r="H703" s="94"/>
      <c r="I703" s="92"/>
      <c r="J703" s="92"/>
      <c r="K703" s="9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8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6"/>
    </row>
    <row r="704">
      <c r="A704" s="92"/>
      <c r="B704" s="93"/>
      <c r="C704" s="92"/>
      <c r="D704" s="94"/>
      <c r="E704" s="92"/>
      <c r="F704" s="94"/>
      <c r="G704" s="92"/>
      <c r="H704" s="94"/>
      <c r="I704" s="92"/>
      <c r="J704" s="92"/>
      <c r="K704" s="9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8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6"/>
    </row>
    <row r="705">
      <c r="A705" s="92"/>
      <c r="B705" s="93"/>
      <c r="C705" s="92"/>
      <c r="D705" s="94"/>
      <c r="E705" s="92"/>
      <c r="F705" s="94"/>
      <c r="G705" s="92"/>
      <c r="H705" s="94"/>
      <c r="I705" s="92"/>
      <c r="J705" s="92"/>
      <c r="K705" s="9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8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6"/>
    </row>
    <row r="706">
      <c r="A706" s="92"/>
      <c r="B706" s="93"/>
      <c r="C706" s="92"/>
      <c r="D706" s="94"/>
      <c r="E706" s="92"/>
      <c r="F706" s="94"/>
      <c r="G706" s="92"/>
      <c r="H706" s="94"/>
      <c r="I706" s="92"/>
      <c r="J706" s="92"/>
      <c r="K706" s="9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8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6"/>
    </row>
    <row r="707">
      <c r="A707" s="92"/>
      <c r="B707" s="93"/>
      <c r="C707" s="92"/>
      <c r="D707" s="94"/>
      <c r="E707" s="92"/>
      <c r="F707" s="94"/>
      <c r="G707" s="92"/>
      <c r="H707" s="94"/>
      <c r="I707" s="92"/>
      <c r="J707" s="92"/>
      <c r="K707" s="9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8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6"/>
    </row>
    <row r="708">
      <c r="A708" s="92"/>
      <c r="B708" s="93"/>
      <c r="C708" s="92"/>
      <c r="D708" s="94"/>
      <c r="E708" s="92"/>
      <c r="F708" s="94"/>
      <c r="G708" s="92"/>
      <c r="H708" s="94"/>
      <c r="I708" s="92"/>
      <c r="J708" s="92"/>
      <c r="K708" s="9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8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6"/>
    </row>
    <row r="709">
      <c r="A709" s="92"/>
      <c r="B709" s="93"/>
      <c r="C709" s="92"/>
      <c r="D709" s="94"/>
      <c r="E709" s="92"/>
      <c r="F709" s="94"/>
      <c r="G709" s="92"/>
      <c r="H709" s="94"/>
      <c r="I709" s="92"/>
      <c r="J709" s="92"/>
      <c r="K709" s="9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8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6"/>
    </row>
    <row r="710">
      <c r="A710" s="92"/>
      <c r="B710" s="93"/>
      <c r="C710" s="92"/>
      <c r="D710" s="94"/>
      <c r="E710" s="92"/>
      <c r="F710" s="94"/>
      <c r="G710" s="92"/>
      <c r="H710" s="94"/>
      <c r="I710" s="92"/>
      <c r="J710" s="92"/>
      <c r="K710" s="9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8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6"/>
    </row>
    <row r="711">
      <c r="A711" s="92"/>
      <c r="B711" s="93"/>
      <c r="C711" s="92"/>
      <c r="D711" s="94"/>
      <c r="E711" s="92"/>
      <c r="F711" s="94"/>
      <c r="G711" s="92"/>
      <c r="H711" s="94"/>
      <c r="I711" s="92"/>
      <c r="J711" s="92"/>
      <c r="K711" s="9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8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6"/>
    </row>
    <row r="712">
      <c r="A712" s="92"/>
      <c r="B712" s="93"/>
      <c r="C712" s="92"/>
      <c r="D712" s="94"/>
      <c r="E712" s="92"/>
      <c r="F712" s="94"/>
      <c r="G712" s="92"/>
      <c r="H712" s="94"/>
      <c r="I712" s="92"/>
      <c r="J712" s="92"/>
      <c r="K712" s="9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8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6"/>
    </row>
    <row r="713">
      <c r="A713" s="92"/>
      <c r="B713" s="93"/>
      <c r="C713" s="92"/>
      <c r="D713" s="94"/>
      <c r="E713" s="92"/>
      <c r="F713" s="94"/>
      <c r="G713" s="92"/>
      <c r="H713" s="94"/>
      <c r="I713" s="92"/>
      <c r="J713" s="92"/>
      <c r="K713" s="9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8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6"/>
    </row>
    <row r="714">
      <c r="A714" s="92"/>
      <c r="B714" s="93"/>
      <c r="C714" s="92"/>
      <c r="D714" s="94"/>
      <c r="E714" s="92"/>
      <c r="F714" s="94"/>
      <c r="G714" s="92"/>
      <c r="H714" s="94"/>
      <c r="I714" s="92"/>
      <c r="J714" s="92"/>
      <c r="K714" s="9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8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6"/>
    </row>
    <row r="715">
      <c r="A715" s="92"/>
      <c r="B715" s="93"/>
      <c r="C715" s="92"/>
      <c r="D715" s="94"/>
      <c r="E715" s="92"/>
      <c r="F715" s="94"/>
      <c r="G715" s="92"/>
      <c r="H715" s="94"/>
      <c r="I715" s="92"/>
      <c r="J715" s="92"/>
      <c r="K715" s="9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8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6"/>
    </row>
    <row r="716">
      <c r="A716" s="92"/>
      <c r="B716" s="93"/>
      <c r="C716" s="92"/>
      <c r="D716" s="94"/>
      <c r="E716" s="92"/>
      <c r="F716" s="94"/>
      <c r="G716" s="92"/>
      <c r="H716" s="94"/>
      <c r="I716" s="92"/>
      <c r="J716" s="92"/>
      <c r="K716" s="9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8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6"/>
    </row>
    <row r="717">
      <c r="A717" s="92"/>
      <c r="B717" s="93"/>
      <c r="C717" s="92"/>
      <c r="D717" s="94"/>
      <c r="E717" s="92"/>
      <c r="F717" s="94"/>
      <c r="G717" s="92"/>
      <c r="H717" s="94"/>
      <c r="I717" s="92"/>
      <c r="J717" s="92"/>
      <c r="K717" s="9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8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6"/>
    </row>
    <row r="718">
      <c r="A718" s="92"/>
      <c r="B718" s="93"/>
      <c r="C718" s="92"/>
      <c r="D718" s="94"/>
      <c r="E718" s="92"/>
      <c r="F718" s="94"/>
      <c r="G718" s="92"/>
      <c r="H718" s="94"/>
      <c r="I718" s="92"/>
      <c r="J718" s="92"/>
      <c r="K718" s="9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8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6"/>
    </row>
    <row r="719">
      <c r="A719" s="92"/>
      <c r="B719" s="93"/>
      <c r="C719" s="92"/>
      <c r="D719" s="94"/>
      <c r="E719" s="92"/>
      <c r="F719" s="94"/>
      <c r="G719" s="92"/>
      <c r="H719" s="94"/>
      <c r="I719" s="92"/>
      <c r="J719" s="92"/>
      <c r="K719" s="9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8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6"/>
    </row>
    <row r="720">
      <c r="A720" s="92"/>
      <c r="B720" s="93"/>
      <c r="C720" s="92"/>
      <c r="D720" s="94"/>
      <c r="E720" s="92"/>
      <c r="F720" s="94"/>
      <c r="G720" s="92"/>
      <c r="H720" s="94"/>
      <c r="I720" s="92"/>
      <c r="J720" s="92"/>
      <c r="K720" s="9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8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6"/>
    </row>
    <row r="721">
      <c r="A721" s="92"/>
      <c r="B721" s="93"/>
      <c r="C721" s="92"/>
      <c r="D721" s="94"/>
      <c r="E721" s="92"/>
      <c r="F721" s="94"/>
      <c r="G721" s="92"/>
      <c r="H721" s="94"/>
      <c r="I721" s="92"/>
      <c r="J721" s="92"/>
      <c r="K721" s="9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8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6"/>
    </row>
    <row r="722">
      <c r="A722" s="92"/>
      <c r="B722" s="93"/>
      <c r="C722" s="92"/>
      <c r="D722" s="94"/>
      <c r="E722" s="92"/>
      <c r="F722" s="94"/>
      <c r="G722" s="92"/>
      <c r="H722" s="94"/>
      <c r="I722" s="92"/>
      <c r="J722" s="92"/>
      <c r="K722" s="9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8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6"/>
    </row>
    <row r="723">
      <c r="A723" s="92"/>
      <c r="B723" s="93"/>
      <c r="C723" s="92"/>
      <c r="D723" s="94"/>
      <c r="E723" s="92"/>
      <c r="F723" s="94"/>
      <c r="G723" s="92"/>
      <c r="H723" s="94"/>
      <c r="I723" s="92"/>
      <c r="J723" s="92"/>
      <c r="K723" s="9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8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6"/>
    </row>
    <row r="724">
      <c r="A724" s="92"/>
      <c r="B724" s="93"/>
      <c r="C724" s="92"/>
      <c r="D724" s="94"/>
      <c r="E724" s="92"/>
      <c r="F724" s="94"/>
      <c r="G724" s="92"/>
      <c r="H724" s="94"/>
      <c r="I724" s="92"/>
      <c r="J724" s="92"/>
      <c r="K724" s="9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8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6"/>
    </row>
    <row r="725">
      <c r="A725" s="92"/>
      <c r="B725" s="93"/>
      <c r="C725" s="92"/>
      <c r="D725" s="94"/>
      <c r="E725" s="92"/>
      <c r="F725" s="94"/>
      <c r="G725" s="92"/>
      <c r="H725" s="94"/>
      <c r="I725" s="92"/>
      <c r="J725" s="92"/>
      <c r="K725" s="9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8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6"/>
    </row>
    <row r="726">
      <c r="A726" s="92"/>
      <c r="B726" s="93"/>
      <c r="C726" s="92"/>
      <c r="D726" s="94"/>
      <c r="E726" s="92"/>
      <c r="F726" s="94"/>
      <c r="G726" s="92"/>
      <c r="H726" s="94"/>
      <c r="I726" s="92"/>
      <c r="J726" s="92"/>
      <c r="K726" s="9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8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6"/>
    </row>
    <row r="727">
      <c r="A727" s="92"/>
      <c r="B727" s="93"/>
      <c r="C727" s="92"/>
      <c r="D727" s="94"/>
      <c r="E727" s="92"/>
      <c r="F727" s="94"/>
      <c r="G727" s="92"/>
      <c r="H727" s="94"/>
      <c r="I727" s="92"/>
      <c r="J727" s="92"/>
      <c r="K727" s="9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8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6"/>
    </row>
    <row r="728">
      <c r="A728" s="92"/>
      <c r="B728" s="93"/>
      <c r="C728" s="92"/>
      <c r="D728" s="94"/>
      <c r="E728" s="92"/>
      <c r="F728" s="94"/>
      <c r="G728" s="92"/>
      <c r="H728" s="94"/>
      <c r="I728" s="92"/>
      <c r="J728" s="92"/>
      <c r="K728" s="9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8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6"/>
    </row>
    <row r="729">
      <c r="A729" s="92"/>
      <c r="B729" s="93"/>
      <c r="C729" s="92"/>
      <c r="D729" s="94"/>
      <c r="E729" s="92"/>
      <c r="F729" s="94"/>
      <c r="G729" s="92"/>
      <c r="H729" s="94"/>
      <c r="I729" s="92"/>
      <c r="J729" s="92"/>
      <c r="K729" s="9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8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6"/>
    </row>
    <row r="730">
      <c r="A730" s="92"/>
      <c r="B730" s="93"/>
      <c r="C730" s="92"/>
      <c r="D730" s="94"/>
      <c r="E730" s="92"/>
      <c r="F730" s="94"/>
      <c r="G730" s="92"/>
      <c r="H730" s="94"/>
      <c r="I730" s="92"/>
      <c r="J730" s="92"/>
      <c r="K730" s="9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8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6"/>
    </row>
    <row r="731">
      <c r="A731" s="92"/>
      <c r="B731" s="93"/>
      <c r="C731" s="92"/>
      <c r="D731" s="94"/>
      <c r="E731" s="92"/>
      <c r="F731" s="94"/>
      <c r="G731" s="92"/>
      <c r="H731" s="94"/>
      <c r="I731" s="92"/>
      <c r="J731" s="92"/>
      <c r="K731" s="9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8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6"/>
    </row>
    <row r="732">
      <c r="A732" s="92"/>
      <c r="B732" s="93"/>
      <c r="C732" s="92"/>
      <c r="D732" s="94"/>
      <c r="E732" s="92"/>
      <c r="F732" s="94"/>
      <c r="G732" s="92"/>
      <c r="H732" s="94"/>
      <c r="I732" s="92"/>
      <c r="J732" s="92"/>
      <c r="K732" s="9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8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6"/>
    </row>
    <row r="733">
      <c r="A733" s="92"/>
      <c r="B733" s="93"/>
      <c r="C733" s="92"/>
      <c r="D733" s="94"/>
      <c r="E733" s="92"/>
      <c r="F733" s="94"/>
      <c r="G733" s="92"/>
      <c r="H733" s="94"/>
      <c r="I733" s="92"/>
      <c r="J733" s="92"/>
      <c r="K733" s="9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8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6"/>
    </row>
    <row r="734">
      <c r="A734" s="92"/>
      <c r="B734" s="93"/>
      <c r="C734" s="92"/>
      <c r="D734" s="94"/>
      <c r="E734" s="92"/>
      <c r="F734" s="94"/>
      <c r="G734" s="92"/>
      <c r="H734" s="94"/>
      <c r="I734" s="92"/>
      <c r="J734" s="92"/>
      <c r="K734" s="9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8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6"/>
    </row>
    <row r="735">
      <c r="A735" s="92"/>
      <c r="B735" s="93"/>
      <c r="C735" s="92"/>
      <c r="D735" s="94"/>
      <c r="E735" s="92"/>
      <c r="F735" s="94"/>
      <c r="G735" s="92"/>
      <c r="H735" s="94"/>
      <c r="I735" s="92"/>
      <c r="J735" s="92"/>
      <c r="K735" s="9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8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6"/>
    </row>
    <row r="736">
      <c r="A736" s="92"/>
      <c r="B736" s="93"/>
      <c r="C736" s="92"/>
      <c r="D736" s="94"/>
      <c r="E736" s="92"/>
      <c r="F736" s="94"/>
      <c r="G736" s="92"/>
      <c r="H736" s="94"/>
      <c r="I736" s="92"/>
      <c r="J736" s="92"/>
      <c r="K736" s="9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8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6"/>
    </row>
    <row r="737">
      <c r="A737" s="92"/>
      <c r="B737" s="93"/>
      <c r="C737" s="92"/>
      <c r="D737" s="94"/>
      <c r="E737" s="92"/>
      <c r="F737" s="94"/>
      <c r="G737" s="92"/>
      <c r="H737" s="94"/>
      <c r="I737" s="92"/>
      <c r="J737" s="92"/>
      <c r="K737" s="9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8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6"/>
    </row>
    <row r="738">
      <c r="A738" s="92"/>
      <c r="B738" s="93"/>
      <c r="C738" s="92"/>
      <c r="D738" s="94"/>
      <c r="E738" s="92"/>
      <c r="F738" s="94"/>
      <c r="G738" s="92"/>
      <c r="H738" s="94"/>
      <c r="I738" s="92"/>
      <c r="J738" s="92"/>
      <c r="K738" s="9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8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6"/>
    </row>
    <row r="739">
      <c r="A739" s="92"/>
      <c r="B739" s="93"/>
      <c r="C739" s="92"/>
      <c r="D739" s="94"/>
      <c r="E739" s="92"/>
      <c r="F739" s="94"/>
      <c r="G739" s="92"/>
      <c r="H739" s="94"/>
      <c r="I739" s="92"/>
      <c r="J739" s="92"/>
      <c r="K739" s="9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8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6"/>
    </row>
    <row r="740">
      <c r="A740" s="92"/>
      <c r="B740" s="93"/>
      <c r="C740" s="92"/>
      <c r="D740" s="94"/>
      <c r="E740" s="92"/>
      <c r="F740" s="94"/>
      <c r="G740" s="92"/>
      <c r="H740" s="94"/>
      <c r="I740" s="92"/>
      <c r="J740" s="92"/>
      <c r="K740" s="9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8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6"/>
    </row>
    <row r="741">
      <c r="A741" s="92"/>
      <c r="B741" s="93"/>
      <c r="C741" s="92"/>
      <c r="D741" s="94"/>
      <c r="E741" s="92"/>
      <c r="F741" s="94"/>
      <c r="G741" s="92"/>
      <c r="H741" s="94"/>
      <c r="I741" s="92"/>
      <c r="J741" s="92"/>
      <c r="K741" s="9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8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6"/>
    </row>
    <row r="742">
      <c r="A742" s="92"/>
      <c r="B742" s="93"/>
      <c r="C742" s="92"/>
      <c r="D742" s="94"/>
      <c r="E742" s="92"/>
      <c r="F742" s="94"/>
      <c r="G742" s="92"/>
      <c r="H742" s="94"/>
      <c r="I742" s="92"/>
      <c r="J742" s="92"/>
      <c r="K742" s="9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8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6"/>
    </row>
    <row r="743">
      <c r="A743" s="92"/>
      <c r="B743" s="93"/>
      <c r="C743" s="92"/>
      <c r="D743" s="94"/>
      <c r="E743" s="92"/>
      <c r="F743" s="94"/>
      <c r="G743" s="92"/>
      <c r="H743" s="94"/>
      <c r="I743" s="92"/>
      <c r="J743" s="92"/>
      <c r="K743" s="9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8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6"/>
    </row>
    <row r="744">
      <c r="A744" s="92"/>
      <c r="B744" s="93"/>
      <c r="C744" s="92"/>
      <c r="D744" s="94"/>
      <c r="E744" s="92"/>
      <c r="F744" s="94"/>
      <c r="G744" s="92"/>
      <c r="H744" s="94"/>
      <c r="I744" s="92"/>
      <c r="J744" s="92"/>
      <c r="K744" s="9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8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6"/>
    </row>
    <row r="745">
      <c r="A745" s="92"/>
      <c r="B745" s="93"/>
      <c r="C745" s="92"/>
      <c r="D745" s="94"/>
      <c r="E745" s="92"/>
      <c r="F745" s="94"/>
      <c r="G745" s="92"/>
      <c r="H745" s="94"/>
      <c r="I745" s="92"/>
      <c r="J745" s="92"/>
      <c r="K745" s="9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8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6"/>
    </row>
    <row r="746">
      <c r="A746" s="92"/>
      <c r="B746" s="93"/>
      <c r="C746" s="92"/>
      <c r="D746" s="94"/>
      <c r="E746" s="92"/>
      <c r="F746" s="94"/>
      <c r="G746" s="92"/>
      <c r="H746" s="94"/>
      <c r="I746" s="92"/>
      <c r="J746" s="92"/>
      <c r="K746" s="9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8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6"/>
    </row>
    <row r="747">
      <c r="A747" s="92"/>
      <c r="B747" s="93"/>
      <c r="C747" s="92"/>
      <c r="D747" s="94"/>
      <c r="E747" s="92"/>
      <c r="F747" s="94"/>
      <c r="G747" s="92"/>
      <c r="H747" s="94"/>
      <c r="I747" s="92"/>
      <c r="J747" s="92"/>
      <c r="K747" s="9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8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6"/>
    </row>
    <row r="748">
      <c r="A748" s="92"/>
      <c r="B748" s="93"/>
      <c r="C748" s="92"/>
      <c r="D748" s="94"/>
      <c r="E748" s="92"/>
      <c r="F748" s="94"/>
      <c r="G748" s="92"/>
      <c r="H748" s="94"/>
      <c r="I748" s="92"/>
      <c r="J748" s="92"/>
      <c r="K748" s="9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8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6"/>
    </row>
    <row r="749">
      <c r="A749" s="92"/>
      <c r="B749" s="93"/>
      <c r="C749" s="92"/>
      <c r="D749" s="94"/>
      <c r="E749" s="92"/>
      <c r="F749" s="94"/>
      <c r="G749" s="92"/>
      <c r="H749" s="94"/>
      <c r="I749" s="92"/>
      <c r="J749" s="92"/>
      <c r="K749" s="9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8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6"/>
    </row>
    <row r="750">
      <c r="A750" s="92"/>
      <c r="B750" s="93"/>
      <c r="C750" s="92"/>
      <c r="D750" s="94"/>
      <c r="E750" s="92"/>
      <c r="F750" s="94"/>
      <c r="G750" s="92"/>
      <c r="H750" s="94"/>
      <c r="I750" s="92"/>
      <c r="J750" s="92"/>
      <c r="K750" s="9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8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6"/>
    </row>
    <row r="751">
      <c r="A751" s="92"/>
      <c r="B751" s="93"/>
      <c r="C751" s="92"/>
      <c r="D751" s="94"/>
      <c r="E751" s="92"/>
      <c r="F751" s="94"/>
      <c r="G751" s="92"/>
      <c r="H751" s="94"/>
      <c r="I751" s="92"/>
      <c r="J751" s="92"/>
      <c r="K751" s="9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8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6"/>
    </row>
    <row r="752">
      <c r="A752" s="92"/>
      <c r="B752" s="93"/>
      <c r="C752" s="92"/>
      <c r="D752" s="94"/>
      <c r="E752" s="92"/>
      <c r="F752" s="94"/>
      <c r="G752" s="92"/>
      <c r="H752" s="94"/>
      <c r="I752" s="92"/>
      <c r="J752" s="92"/>
      <c r="K752" s="9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8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6"/>
    </row>
    <row r="753">
      <c r="A753" s="92"/>
      <c r="B753" s="93"/>
      <c r="C753" s="92"/>
      <c r="D753" s="94"/>
      <c r="E753" s="92"/>
      <c r="F753" s="94"/>
      <c r="G753" s="92"/>
      <c r="H753" s="94"/>
      <c r="I753" s="92"/>
      <c r="J753" s="92"/>
      <c r="K753" s="9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8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6"/>
    </row>
    <row r="754">
      <c r="A754" s="92"/>
      <c r="B754" s="93"/>
      <c r="C754" s="92"/>
      <c r="D754" s="94"/>
      <c r="E754" s="92"/>
      <c r="F754" s="94"/>
      <c r="G754" s="92"/>
      <c r="H754" s="94"/>
      <c r="I754" s="92"/>
      <c r="J754" s="92"/>
      <c r="K754" s="9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8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6"/>
    </row>
    <row r="755">
      <c r="A755" s="92"/>
      <c r="B755" s="93"/>
      <c r="C755" s="92"/>
      <c r="D755" s="94"/>
      <c r="E755" s="92"/>
      <c r="F755" s="94"/>
      <c r="G755" s="92"/>
      <c r="H755" s="94"/>
      <c r="I755" s="92"/>
      <c r="J755" s="92"/>
      <c r="K755" s="9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8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6"/>
    </row>
    <row r="756">
      <c r="A756" s="92"/>
      <c r="B756" s="93"/>
      <c r="C756" s="92"/>
      <c r="D756" s="94"/>
      <c r="E756" s="92"/>
      <c r="F756" s="94"/>
      <c r="G756" s="92"/>
      <c r="H756" s="94"/>
      <c r="I756" s="92"/>
      <c r="J756" s="92"/>
      <c r="K756" s="9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8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6"/>
    </row>
    <row r="757">
      <c r="A757" s="92"/>
      <c r="B757" s="93"/>
      <c r="C757" s="92"/>
      <c r="D757" s="94"/>
      <c r="E757" s="92"/>
      <c r="F757" s="94"/>
      <c r="G757" s="92"/>
      <c r="H757" s="94"/>
      <c r="I757" s="92"/>
      <c r="J757" s="92"/>
      <c r="K757" s="9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8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6"/>
    </row>
    <row r="758">
      <c r="A758" s="92"/>
      <c r="B758" s="93"/>
      <c r="C758" s="92"/>
      <c r="D758" s="94"/>
      <c r="E758" s="92"/>
      <c r="F758" s="94"/>
      <c r="G758" s="92"/>
      <c r="H758" s="94"/>
      <c r="I758" s="92"/>
      <c r="J758" s="92"/>
      <c r="K758" s="9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8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6"/>
    </row>
    <row r="759">
      <c r="A759" s="92"/>
      <c r="B759" s="93"/>
      <c r="C759" s="92"/>
      <c r="D759" s="94"/>
      <c r="E759" s="92"/>
      <c r="F759" s="94"/>
      <c r="G759" s="92"/>
      <c r="H759" s="94"/>
      <c r="I759" s="92"/>
      <c r="J759" s="92"/>
      <c r="K759" s="9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8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6"/>
    </row>
    <row r="760">
      <c r="A760" s="92"/>
      <c r="B760" s="93"/>
      <c r="C760" s="92"/>
      <c r="D760" s="94"/>
      <c r="E760" s="92"/>
      <c r="F760" s="94"/>
      <c r="G760" s="92"/>
      <c r="H760" s="94"/>
      <c r="I760" s="92"/>
      <c r="J760" s="92"/>
      <c r="K760" s="9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8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6"/>
    </row>
    <row r="761">
      <c r="A761" s="92"/>
      <c r="B761" s="93"/>
      <c r="C761" s="92"/>
      <c r="D761" s="94"/>
      <c r="E761" s="92"/>
      <c r="F761" s="94"/>
      <c r="G761" s="92"/>
      <c r="H761" s="94"/>
      <c r="I761" s="92"/>
      <c r="J761" s="92"/>
      <c r="K761" s="9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8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6"/>
    </row>
    <row r="762">
      <c r="A762" s="92"/>
      <c r="B762" s="93"/>
      <c r="C762" s="92"/>
      <c r="D762" s="94"/>
      <c r="E762" s="92"/>
      <c r="F762" s="94"/>
      <c r="G762" s="92"/>
      <c r="H762" s="94"/>
      <c r="I762" s="92"/>
      <c r="J762" s="92"/>
      <c r="K762" s="9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8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6"/>
    </row>
    <row r="763">
      <c r="A763" s="92"/>
      <c r="B763" s="93"/>
      <c r="C763" s="92"/>
      <c r="D763" s="94"/>
      <c r="E763" s="92"/>
      <c r="F763" s="94"/>
      <c r="G763" s="92"/>
      <c r="H763" s="94"/>
      <c r="I763" s="92"/>
      <c r="J763" s="92"/>
      <c r="K763" s="9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8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6"/>
    </row>
    <row r="764">
      <c r="A764" s="92"/>
      <c r="B764" s="93"/>
      <c r="C764" s="92"/>
      <c r="D764" s="94"/>
      <c r="E764" s="92"/>
      <c r="F764" s="94"/>
      <c r="G764" s="92"/>
      <c r="H764" s="94"/>
      <c r="I764" s="92"/>
      <c r="J764" s="92"/>
      <c r="K764" s="9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8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6"/>
    </row>
    <row r="765">
      <c r="A765" s="92"/>
      <c r="B765" s="93"/>
      <c r="C765" s="92"/>
      <c r="D765" s="94"/>
      <c r="E765" s="92"/>
      <c r="F765" s="94"/>
      <c r="G765" s="92"/>
      <c r="H765" s="94"/>
      <c r="I765" s="92"/>
      <c r="J765" s="92"/>
      <c r="K765" s="9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8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6"/>
    </row>
    <row r="766">
      <c r="A766" s="92"/>
      <c r="B766" s="93"/>
      <c r="C766" s="92"/>
      <c r="D766" s="94"/>
      <c r="E766" s="92"/>
      <c r="F766" s="94"/>
      <c r="G766" s="92"/>
      <c r="H766" s="94"/>
      <c r="I766" s="92"/>
      <c r="J766" s="92"/>
      <c r="K766" s="9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8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6"/>
    </row>
    <row r="767">
      <c r="A767" s="92"/>
      <c r="B767" s="93"/>
      <c r="C767" s="92"/>
      <c r="D767" s="94"/>
      <c r="E767" s="92"/>
      <c r="F767" s="94"/>
      <c r="G767" s="92"/>
      <c r="H767" s="94"/>
      <c r="I767" s="92"/>
      <c r="J767" s="92"/>
      <c r="K767" s="9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8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6"/>
    </row>
    <row r="768">
      <c r="A768" s="92"/>
      <c r="B768" s="93"/>
      <c r="C768" s="92"/>
      <c r="D768" s="94"/>
      <c r="E768" s="92"/>
      <c r="F768" s="94"/>
      <c r="G768" s="92"/>
      <c r="H768" s="94"/>
      <c r="I768" s="92"/>
      <c r="J768" s="92"/>
      <c r="K768" s="9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8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6"/>
    </row>
    <row r="769">
      <c r="A769" s="92"/>
      <c r="B769" s="93"/>
      <c r="C769" s="92"/>
      <c r="D769" s="94"/>
      <c r="E769" s="92"/>
      <c r="F769" s="94"/>
      <c r="G769" s="92"/>
      <c r="H769" s="94"/>
      <c r="I769" s="92"/>
      <c r="J769" s="92"/>
      <c r="K769" s="9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8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6"/>
    </row>
    <row r="770">
      <c r="A770" s="92"/>
      <c r="B770" s="93"/>
      <c r="C770" s="92"/>
      <c r="D770" s="94"/>
      <c r="E770" s="92"/>
      <c r="F770" s="94"/>
      <c r="G770" s="92"/>
      <c r="H770" s="94"/>
      <c r="I770" s="92"/>
      <c r="J770" s="92"/>
      <c r="K770" s="9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8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6"/>
    </row>
    <row r="771">
      <c r="A771" s="92"/>
      <c r="B771" s="93"/>
      <c r="C771" s="92"/>
      <c r="D771" s="94"/>
      <c r="E771" s="92"/>
      <c r="F771" s="94"/>
      <c r="G771" s="92"/>
      <c r="H771" s="94"/>
      <c r="I771" s="92"/>
      <c r="J771" s="92"/>
      <c r="K771" s="9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8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6"/>
    </row>
    <row r="772">
      <c r="A772" s="92"/>
      <c r="B772" s="93"/>
      <c r="C772" s="92"/>
      <c r="D772" s="94"/>
      <c r="E772" s="92"/>
      <c r="F772" s="94"/>
      <c r="G772" s="92"/>
      <c r="H772" s="94"/>
      <c r="I772" s="92"/>
      <c r="J772" s="92"/>
      <c r="K772" s="9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8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6"/>
    </row>
    <row r="773">
      <c r="A773" s="92"/>
      <c r="B773" s="93"/>
      <c r="C773" s="92"/>
      <c r="D773" s="94"/>
      <c r="E773" s="92"/>
      <c r="F773" s="94"/>
      <c r="G773" s="92"/>
      <c r="H773" s="94"/>
      <c r="I773" s="92"/>
      <c r="J773" s="92"/>
      <c r="K773" s="9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8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6"/>
    </row>
    <row r="774">
      <c r="A774" s="92"/>
      <c r="B774" s="93"/>
      <c r="C774" s="92"/>
      <c r="D774" s="94"/>
      <c r="E774" s="92"/>
      <c r="F774" s="94"/>
      <c r="G774" s="92"/>
      <c r="H774" s="94"/>
      <c r="I774" s="92"/>
      <c r="J774" s="92"/>
      <c r="K774" s="9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8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6"/>
    </row>
    <row r="775">
      <c r="A775" s="92"/>
      <c r="B775" s="93"/>
      <c r="C775" s="92"/>
      <c r="D775" s="94"/>
      <c r="E775" s="92"/>
      <c r="F775" s="94"/>
      <c r="G775" s="92"/>
      <c r="H775" s="94"/>
      <c r="I775" s="92"/>
      <c r="J775" s="92"/>
      <c r="K775" s="9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8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6"/>
    </row>
    <row r="776">
      <c r="A776" s="92"/>
      <c r="B776" s="93"/>
      <c r="C776" s="92"/>
      <c r="D776" s="94"/>
      <c r="E776" s="92"/>
      <c r="F776" s="94"/>
      <c r="G776" s="92"/>
      <c r="H776" s="94"/>
      <c r="I776" s="92"/>
      <c r="J776" s="92"/>
      <c r="K776" s="9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8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6"/>
    </row>
    <row r="777">
      <c r="A777" s="92"/>
      <c r="B777" s="93"/>
      <c r="C777" s="92"/>
      <c r="D777" s="94"/>
      <c r="E777" s="92"/>
      <c r="F777" s="94"/>
      <c r="G777" s="92"/>
      <c r="H777" s="94"/>
      <c r="I777" s="92"/>
      <c r="J777" s="92"/>
      <c r="K777" s="9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8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6"/>
    </row>
    <row r="778">
      <c r="A778" s="92"/>
      <c r="B778" s="93"/>
      <c r="C778" s="92"/>
      <c r="D778" s="94"/>
      <c r="E778" s="92"/>
      <c r="F778" s="94"/>
      <c r="G778" s="92"/>
      <c r="H778" s="94"/>
      <c r="I778" s="92"/>
      <c r="J778" s="92"/>
      <c r="K778" s="9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8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6"/>
    </row>
    <row r="779">
      <c r="A779" s="92"/>
      <c r="B779" s="93"/>
      <c r="C779" s="92"/>
      <c r="D779" s="94"/>
      <c r="E779" s="92"/>
      <c r="F779" s="94"/>
      <c r="G779" s="92"/>
      <c r="H779" s="94"/>
      <c r="I779" s="92"/>
      <c r="J779" s="92"/>
      <c r="K779" s="9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8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6"/>
    </row>
    <row r="780">
      <c r="A780" s="92"/>
      <c r="B780" s="93"/>
      <c r="C780" s="92"/>
      <c r="D780" s="94"/>
      <c r="E780" s="92"/>
      <c r="F780" s="94"/>
      <c r="G780" s="92"/>
      <c r="H780" s="94"/>
      <c r="I780" s="92"/>
      <c r="J780" s="92"/>
      <c r="K780" s="9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8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6"/>
    </row>
    <row r="781">
      <c r="A781" s="92"/>
      <c r="B781" s="93"/>
      <c r="C781" s="92"/>
      <c r="D781" s="94"/>
      <c r="E781" s="92"/>
      <c r="F781" s="94"/>
      <c r="G781" s="92"/>
      <c r="H781" s="94"/>
      <c r="I781" s="92"/>
      <c r="J781" s="92"/>
      <c r="K781" s="9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8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6"/>
    </row>
    <row r="782">
      <c r="A782" s="92"/>
      <c r="B782" s="93"/>
      <c r="C782" s="92"/>
      <c r="D782" s="94"/>
      <c r="E782" s="92"/>
      <c r="F782" s="94"/>
      <c r="G782" s="92"/>
      <c r="H782" s="94"/>
      <c r="I782" s="92"/>
      <c r="J782" s="92"/>
      <c r="K782" s="9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8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6"/>
    </row>
    <row r="783">
      <c r="A783" s="92"/>
      <c r="B783" s="93"/>
      <c r="C783" s="92"/>
      <c r="D783" s="94"/>
      <c r="E783" s="92"/>
      <c r="F783" s="94"/>
      <c r="G783" s="92"/>
      <c r="H783" s="94"/>
      <c r="I783" s="92"/>
      <c r="J783" s="92"/>
      <c r="K783" s="9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8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6"/>
    </row>
    <row r="784">
      <c r="A784" s="92"/>
      <c r="B784" s="93"/>
      <c r="C784" s="92"/>
      <c r="D784" s="94"/>
      <c r="E784" s="92"/>
      <c r="F784" s="94"/>
      <c r="G784" s="92"/>
      <c r="H784" s="94"/>
      <c r="I784" s="92"/>
      <c r="J784" s="92"/>
      <c r="K784" s="9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8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6"/>
    </row>
    <row r="785">
      <c r="A785" s="92"/>
      <c r="B785" s="93"/>
      <c r="C785" s="92"/>
      <c r="D785" s="94"/>
      <c r="E785" s="92"/>
      <c r="F785" s="94"/>
      <c r="G785" s="92"/>
      <c r="H785" s="94"/>
      <c r="I785" s="92"/>
      <c r="J785" s="92"/>
      <c r="K785" s="9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8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6"/>
    </row>
    <row r="786">
      <c r="A786" s="92"/>
      <c r="B786" s="93"/>
      <c r="C786" s="92"/>
      <c r="D786" s="94"/>
      <c r="E786" s="92"/>
      <c r="F786" s="94"/>
      <c r="G786" s="92"/>
      <c r="H786" s="94"/>
      <c r="I786" s="92"/>
      <c r="J786" s="92"/>
      <c r="K786" s="9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8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6"/>
    </row>
    <row r="787">
      <c r="A787" s="92"/>
      <c r="B787" s="93"/>
      <c r="C787" s="92"/>
      <c r="D787" s="94"/>
      <c r="E787" s="92"/>
      <c r="F787" s="94"/>
      <c r="G787" s="92"/>
      <c r="H787" s="94"/>
      <c r="I787" s="92"/>
      <c r="J787" s="92"/>
      <c r="K787" s="9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8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6"/>
    </row>
    <row r="788">
      <c r="A788" s="92"/>
      <c r="B788" s="93"/>
      <c r="C788" s="92"/>
      <c r="D788" s="94"/>
      <c r="E788" s="92"/>
      <c r="F788" s="94"/>
      <c r="G788" s="92"/>
      <c r="H788" s="94"/>
      <c r="I788" s="92"/>
      <c r="J788" s="92"/>
      <c r="K788" s="9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8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6"/>
    </row>
    <row r="789">
      <c r="A789" s="92"/>
      <c r="B789" s="93"/>
      <c r="C789" s="92"/>
      <c r="D789" s="94"/>
      <c r="E789" s="92"/>
      <c r="F789" s="94"/>
      <c r="G789" s="92"/>
      <c r="H789" s="94"/>
      <c r="I789" s="92"/>
      <c r="J789" s="92"/>
      <c r="K789" s="9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8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6"/>
    </row>
    <row r="790">
      <c r="A790" s="92"/>
      <c r="B790" s="93"/>
      <c r="C790" s="92"/>
      <c r="D790" s="94"/>
      <c r="E790" s="92"/>
      <c r="F790" s="94"/>
      <c r="G790" s="92"/>
      <c r="H790" s="94"/>
      <c r="I790" s="92"/>
      <c r="J790" s="92"/>
      <c r="K790" s="9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8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6"/>
    </row>
    <row r="791">
      <c r="A791" s="92"/>
      <c r="B791" s="93"/>
      <c r="C791" s="92"/>
      <c r="D791" s="94"/>
      <c r="E791" s="92"/>
      <c r="F791" s="94"/>
      <c r="G791" s="92"/>
      <c r="H791" s="94"/>
      <c r="I791" s="92"/>
      <c r="J791" s="92"/>
      <c r="K791" s="9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8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6"/>
    </row>
    <row r="792">
      <c r="A792" s="92"/>
      <c r="B792" s="93"/>
      <c r="C792" s="92"/>
      <c r="D792" s="94"/>
      <c r="E792" s="92"/>
      <c r="F792" s="94"/>
      <c r="G792" s="92"/>
      <c r="H792" s="94"/>
      <c r="I792" s="92"/>
      <c r="J792" s="92"/>
      <c r="K792" s="9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8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6"/>
    </row>
    <row r="793">
      <c r="A793" s="92"/>
      <c r="B793" s="93"/>
      <c r="C793" s="92"/>
      <c r="D793" s="94"/>
      <c r="E793" s="92"/>
      <c r="F793" s="94"/>
      <c r="G793" s="92"/>
      <c r="H793" s="94"/>
      <c r="I793" s="92"/>
      <c r="J793" s="92"/>
      <c r="K793" s="9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8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6"/>
    </row>
    <row r="794">
      <c r="A794" s="92"/>
      <c r="B794" s="93"/>
      <c r="C794" s="92"/>
      <c r="D794" s="94"/>
      <c r="E794" s="92"/>
      <c r="F794" s="94"/>
      <c r="G794" s="92"/>
      <c r="H794" s="94"/>
      <c r="I794" s="92"/>
      <c r="J794" s="92"/>
      <c r="K794" s="9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8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6"/>
    </row>
    <row r="795">
      <c r="A795" s="92"/>
      <c r="B795" s="93"/>
      <c r="C795" s="92"/>
      <c r="D795" s="94"/>
      <c r="E795" s="92"/>
      <c r="F795" s="94"/>
      <c r="G795" s="92"/>
      <c r="H795" s="94"/>
      <c r="I795" s="92"/>
      <c r="J795" s="92"/>
      <c r="K795" s="9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8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6"/>
    </row>
    <row r="796">
      <c r="A796" s="92"/>
      <c r="B796" s="93"/>
      <c r="C796" s="92"/>
      <c r="D796" s="94"/>
      <c r="E796" s="92"/>
      <c r="F796" s="94"/>
      <c r="G796" s="92"/>
      <c r="H796" s="94"/>
      <c r="I796" s="92"/>
      <c r="J796" s="92"/>
      <c r="K796" s="9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8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6"/>
    </row>
    <row r="797">
      <c r="A797" s="92"/>
      <c r="B797" s="93"/>
      <c r="C797" s="92"/>
      <c r="D797" s="94"/>
      <c r="E797" s="92"/>
      <c r="F797" s="94"/>
      <c r="G797" s="92"/>
      <c r="H797" s="94"/>
      <c r="I797" s="92"/>
      <c r="J797" s="92"/>
      <c r="K797" s="9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8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6"/>
    </row>
    <row r="798">
      <c r="A798" s="92"/>
      <c r="B798" s="93"/>
      <c r="C798" s="92"/>
      <c r="D798" s="94"/>
      <c r="E798" s="92"/>
      <c r="F798" s="94"/>
      <c r="G798" s="92"/>
      <c r="H798" s="94"/>
      <c r="I798" s="92"/>
      <c r="J798" s="92"/>
      <c r="K798" s="9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8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6"/>
    </row>
    <row r="799">
      <c r="A799" s="92"/>
      <c r="B799" s="93"/>
      <c r="C799" s="92"/>
      <c r="D799" s="94"/>
      <c r="E799" s="92"/>
      <c r="F799" s="94"/>
      <c r="G799" s="92"/>
      <c r="H799" s="94"/>
      <c r="I799" s="92"/>
      <c r="J799" s="92"/>
      <c r="K799" s="9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8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6"/>
    </row>
    <row r="800">
      <c r="A800" s="92"/>
      <c r="B800" s="93"/>
      <c r="C800" s="92"/>
      <c r="D800" s="94"/>
      <c r="E800" s="92"/>
      <c r="F800" s="94"/>
      <c r="G800" s="92"/>
      <c r="H800" s="94"/>
      <c r="I800" s="92"/>
      <c r="J800" s="92"/>
      <c r="K800" s="9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8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6"/>
    </row>
    <row r="801">
      <c r="A801" s="92"/>
      <c r="B801" s="93"/>
      <c r="C801" s="92"/>
      <c r="D801" s="94"/>
      <c r="E801" s="92"/>
      <c r="F801" s="94"/>
      <c r="G801" s="92"/>
      <c r="H801" s="94"/>
      <c r="I801" s="92"/>
      <c r="J801" s="92"/>
      <c r="K801" s="9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8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6"/>
    </row>
    <row r="802">
      <c r="A802" s="92"/>
      <c r="B802" s="93"/>
      <c r="C802" s="92"/>
      <c r="D802" s="94"/>
      <c r="E802" s="92"/>
      <c r="F802" s="94"/>
      <c r="G802" s="92"/>
      <c r="H802" s="94"/>
      <c r="I802" s="92"/>
      <c r="J802" s="92"/>
      <c r="K802" s="9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8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6"/>
    </row>
    <row r="803">
      <c r="A803" s="92"/>
      <c r="B803" s="93"/>
      <c r="C803" s="92"/>
      <c r="D803" s="94"/>
      <c r="E803" s="92"/>
      <c r="F803" s="94"/>
      <c r="G803" s="92"/>
      <c r="H803" s="94"/>
      <c r="I803" s="92"/>
      <c r="J803" s="92"/>
      <c r="K803" s="9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8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6"/>
    </row>
    <row r="804">
      <c r="A804" s="92"/>
      <c r="B804" s="93"/>
      <c r="C804" s="92"/>
      <c r="D804" s="94"/>
      <c r="E804" s="92"/>
      <c r="F804" s="94"/>
      <c r="G804" s="92"/>
      <c r="H804" s="94"/>
      <c r="I804" s="92"/>
      <c r="J804" s="92"/>
      <c r="K804" s="9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8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6"/>
    </row>
    <row r="805">
      <c r="A805" s="92"/>
      <c r="B805" s="93"/>
      <c r="C805" s="92"/>
      <c r="D805" s="94"/>
      <c r="E805" s="92"/>
      <c r="F805" s="94"/>
      <c r="G805" s="92"/>
      <c r="H805" s="94"/>
      <c r="I805" s="92"/>
      <c r="J805" s="92"/>
      <c r="K805" s="9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8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6"/>
    </row>
    <row r="806">
      <c r="A806" s="92"/>
      <c r="B806" s="93"/>
      <c r="C806" s="92"/>
      <c r="D806" s="94"/>
      <c r="E806" s="92"/>
      <c r="F806" s="94"/>
      <c r="G806" s="92"/>
      <c r="H806" s="94"/>
      <c r="I806" s="92"/>
      <c r="J806" s="92"/>
      <c r="K806" s="9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8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6"/>
    </row>
    <row r="807">
      <c r="A807" s="92"/>
      <c r="B807" s="93"/>
      <c r="C807" s="92"/>
      <c r="D807" s="94"/>
      <c r="E807" s="92"/>
      <c r="F807" s="94"/>
      <c r="G807" s="92"/>
      <c r="H807" s="94"/>
      <c r="I807" s="92"/>
      <c r="J807" s="92"/>
      <c r="K807" s="9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8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6"/>
    </row>
    <row r="808">
      <c r="A808" s="92"/>
      <c r="B808" s="93"/>
      <c r="C808" s="92"/>
      <c r="D808" s="94"/>
      <c r="E808" s="92"/>
      <c r="F808" s="94"/>
      <c r="G808" s="92"/>
      <c r="H808" s="94"/>
      <c r="I808" s="92"/>
      <c r="J808" s="92"/>
      <c r="K808" s="9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8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6"/>
    </row>
    <row r="809">
      <c r="A809" s="92"/>
      <c r="B809" s="93"/>
      <c r="C809" s="92"/>
      <c r="D809" s="94"/>
      <c r="E809" s="92"/>
      <c r="F809" s="94"/>
      <c r="G809" s="92"/>
      <c r="H809" s="94"/>
      <c r="I809" s="92"/>
      <c r="J809" s="92"/>
      <c r="K809" s="9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8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6"/>
    </row>
    <row r="810">
      <c r="A810" s="92"/>
      <c r="B810" s="93"/>
      <c r="C810" s="92"/>
      <c r="D810" s="94"/>
      <c r="E810" s="92"/>
      <c r="F810" s="94"/>
      <c r="G810" s="92"/>
      <c r="H810" s="94"/>
      <c r="I810" s="92"/>
      <c r="J810" s="92"/>
      <c r="K810" s="9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8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6"/>
    </row>
    <row r="811">
      <c r="A811" s="92"/>
      <c r="B811" s="93"/>
      <c r="C811" s="92"/>
      <c r="D811" s="94"/>
      <c r="E811" s="92"/>
      <c r="F811" s="94"/>
      <c r="G811" s="92"/>
      <c r="H811" s="94"/>
      <c r="I811" s="92"/>
      <c r="J811" s="92"/>
      <c r="K811" s="9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8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6"/>
    </row>
    <row r="812">
      <c r="A812" s="92"/>
      <c r="B812" s="93"/>
      <c r="C812" s="92"/>
      <c r="D812" s="94"/>
      <c r="E812" s="92"/>
      <c r="F812" s="94"/>
      <c r="G812" s="92"/>
      <c r="H812" s="94"/>
      <c r="I812" s="92"/>
      <c r="J812" s="92"/>
      <c r="K812" s="9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8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6"/>
    </row>
    <row r="813">
      <c r="A813" s="92"/>
      <c r="B813" s="93"/>
      <c r="C813" s="92"/>
      <c r="D813" s="94"/>
      <c r="E813" s="92"/>
      <c r="F813" s="94"/>
      <c r="G813" s="92"/>
      <c r="H813" s="94"/>
      <c r="I813" s="92"/>
      <c r="J813" s="92"/>
      <c r="K813" s="9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8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6"/>
    </row>
    <row r="814">
      <c r="A814" s="92"/>
      <c r="B814" s="93"/>
      <c r="C814" s="92"/>
      <c r="D814" s="94"/>
      <c r="E814" s="92"/>
      <c r="F814" s="94"/>
      <c r="G814" s="92"/>
      <c r="H814" s="94"/>
      <c r="I814" s="92"/>
      <c r="J814" s="92"/>
      <c r="K814" s="9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8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6"/>
    </row>
    <row r="815">
      <c r="A815" s="92"/>
      <c r="B815" s="93"/>
      <c r="C815" s="92"/>
      <c r="D815" s="94"/>
      <c r="E815" s="92"/>
      <c r="F815" s="94"/>
      <c r="G815" s="92"/>
      <c r="H815" s="94"/>
      <c r="I815" s="92"/>
      <c r="J815" s="92"/>
      <c r="K815" s="9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8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6"/>
    </row>
    <row r="816">
      <c r="A816" s="92"/>
      <c r="B816" s="93"/>
      <c r="C816" s="92"/>
      <c r="D816" s="94"/>
      <c r="E816" s="92"/>
      <c r="F816" s="94"/>
      <c r="G816" s="92"/>
      <c r="H816" s="94"/>
      <c r="I816" s="92"/>
      <c r="J816" s="92"/>
      <c r="K816" s="9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8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6"/>
    </row>
    <row r="817">
      <c r="A817" s="92"/>
      <c r="B817" s="93"/>
      <c r="C817" s="92"/>
      <c r="D817" s="94"/>
      <c r="E817" s="92"/>
      <c r="F817" s="94"/>
      <c r="G817" s="92"/>
      <c r="H817" s="94"/>
      <c r="I817" s="92"/>
      <c r="J817" s="92"/>
      <c r="K817" s="9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8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6"/>
    </row>
    <row r="818">
      <c r="A818" s="92"/>
      <c r="B818" s="93"/>
      <c r="C818" s="92"/>
      <c r="D818" s="94"/>
      <c r="E818" s="92"/>
      <c r="F818" s="94"/>
      <c r="G818" s="92"/>
      <c r="H818" s="94"/>
      <c r="I818" s="92"/>
      <c r="J818" s="92"/>
      <c r="K818" s="9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8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6"/>
    </row>
    <row r="819">
      <c r="A819" s="92"/>
      <c r="B819" s="93"/>
      <c r="C819" s="92"/>
      <c r="D819" s="94"/>
      <c r="E819" s="92"/>
      <c r="F819" s="94"/>
      <c r="G819" s="92"/>
      <c r="H819" s="94"/>
      <c r="I819" s="92"/>
      <c r="J819" s="92"/>
      <c r="K819" s="9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8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6"/>
    </row>
    <row r="820">
      <c r="A820" s="92"/>
      <c r="B820" s="93"/>
      <c r="C820" s="92"/>
      <c r="D820" s="94"/>
      <c r="E820" s="92"/>
      <c r="F820" s="94"/>
      <c r="G820" s="92"/>
      <c r="H820" s="94"/>
      <c r="I820" s="92"/>
      <c r="J820" s="92"/>
      <c r="K820" s="9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8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6"/>
    </row>
    <row r="821">
      <c r="A821" s="92"/>
      <c r="B821" s="93"/>
      <c r="C821" s="92"/>
      <c r="D821" s="94"/>
      <c r="E821" s="92"/>
      <c r="F821" s="94"/>
      <c r="G821" s="92"/>
      <c r="H821" s="94"/>
      <c r="I821" s="92"/>
      <c r="J821" s="92"/>
      <c r="K821" s="9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8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6"/>
    </row>
    <row r="822">
      <c r="A822" s="92"/>
      <c r="B822" s="93"/>
      <c r="C822" s="92"/>
      <c r="D822" s="94"/>
      <c r="E822" s="92"/>
      <c r="F822" s="94"/>
      <c r="G822" s="92"/>
      <c r="H822" s="94"/>
      <c r="I822" s="92"/>
      <c r="J822" s="92"/>
      <c r="K822" s="9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8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6"/>
    </row>
    <row r="823">
      <c r="A823" s="92"/>
      <c r="B823" s="93"/>
      <c r="C823" s="92"/>
      <c r="D823" s="94"/>
      <c r="E823" s="92"/>
      <c r="F823" s="94"/>
      <c r="G823" s="92"/>
      <c r="H823" s="94"/>
      <c r="I823" s="92"/>
      <c r="J823" s="92"/>
      <c r="K823" s="9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8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6"/>
    </row>
    <row r="824">
      <c r="A824" s="92"/>
      <c r="B824" s="93"/>
      <c r="C824" s="92"/>
      <c r="D824" s="94"/>
      <c r="E824" s="92"/>
      <c r="F824" s="94"/>
      <c r="G824" s="92"/>
      <c r="H824" s="94"/>
      <c r="I824" s="92"/>
      <c r="J824" s="92"/>
      <c r="K824" s="9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8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6"/>
    </row>
    <row r="825">
      <c r="A825" s="92"/>
      <c r="B825" s="93"/>
      <c r="C825" s="92"/>
      <c r="D825" s="94"/>
      <c r="E825" s="92"/>
      <c r="F825" s="94"/>
      <c r="G825" s="92"/>
      <c r="H825" s="94"/>
      <c r="I825" s="92"/>
      <c r="J825" s="92"/>
      <c r="K825" s="9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8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6"/>
    </row>
    <row r="826">
      <c r="A826" s="92"/>
      <c r="B826" s="93"/>
      <c r="C826" s="92"/>
      <c r="D826" s="94"/>
      <c r="E826" s="92"/>
      <c r="F826" s="94"/>
      <c r="G826" s="92"/>
      <c r="H826" s="94"/>
      <c r="I826" s="92"/>
      <c r="J826" s="92"/>
      <c r="K826" s="9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8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6"/>
    </row>
    <row r="827">
      <c r="A827" s="92"/>
      <c r="B827" s="93"/>
      <c r="C827" s="92"/>
      <c r="D827" s="94"/>
      <c r="E827" s="92"/>
      <c r="F827" s="94"/>
      <c r="G827" s="92"/>
      <c r="H827" s="94"/>
      <c r="I827" s="92"/>
      <c r="J827" s="92"/>
      <c r="K827" s="9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8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6"/>
    </row>
    <row r="828">
      <c r="A828" s="92"/>
      <c r="B828" s="93"/>
      <c r="C828" s="92"/>
      <c r="D828" s="94"/>
      <c r="E828" s="92"/>
      <c r="F828" s="94"/>
      <c r="G828" s="92"/>
      <c r="H828" s="94"/>
      <c r="I828" s="92"/>
      <c r="J828" s="92"/>
      <c r="K828" s="9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8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6"/>
    </row>
    <row r="829">
      <c r="A829" s="92"/>
      <c r="B829" s="93"/>
      <c r="C829" s="92"/>
      <c r="D829" s="94"/>
      <c r="E829" s="92"/>
      <c r="F829" s="94"/>
      <c r="G829" s="92"/>
      <c r="H829" s="94"/>
      <c r="I829" s="92"/>
      <c r="J829" s="92"/>
      <c r="K829" s="9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8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6"/>
    </row>
    <row r="830">
      <c r="A830" s="92"/>
      <c r="B830" s="93"/>
      <c r="C830" s="92"/>
      <c r="D830" s="94"/>
      <c r="E830" s="92"/>
      <c r="F830" s="94"/>
      <c r="G830" s="92"/>
      <c r="H830" s="94"/>
      <c r="I830" s="92"/>
      <c r="J830" s="92"/>
      <c r="K830" s="9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8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6"/>
    </row>
    <row r="831">
      <c r="A831" s="92"/>
      <c r="B831" s="93"/>
      <c r="C831" s="92"/>
      <c r="D831" s="94"/>
      <c r="E831" s="92"/>
      <c r="F831" s="94"/>
      <c r="G831" s="92"/>
      <c r="H831" s="94"/>
      <c r="I831" s="92"/>
      <c r="J831" s="92"/>
      <c r="K831" s="9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8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6"/>
    </row>
    <row r="832">
      <c r="A832" s="92"/>
      <c r="B832" s="93"/>
      <c r="C832" s="92"/>
      <c r="D832" s="94"/>
      <c r="E832" s="92"/>
      <c r="F832" s="94"/>
      <c r="G832" s="92"/>
      <c r="H832" s="94"/>
      <c r="I832" s="92"/>
      <c r="J832" s="92"/>
      <c r="K832" s="9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8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6"/>
    </row>
    <row r="833">
      <c r="A833" s="92"/>
      <c r="B833" s="93"/>
      <c r="C833" s="92"/>
      <c r="D833" s="94"/>
      <c r="E833" s="92"/>
      <c r="F833" s="94"/>
      <c r="G833" s="92"/>
      <c r="H833" s="94"/>
      <c r="I833" s="92"/>
      <c r="J833" s="92"/>
      <c r="K833" s="9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8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6"/>
    </row>
    <row r="834">
      <c r="A834" s="92"/>
      <c r="B834" s="93"/>
      <c r="C834" s="92"/>
      <c r="D834" s="94"/>
      <c r="E834" s="92"/>
      <c r="F834" s="94"/>
      <c r="G834" s="92"/>
      <c r="H834" s="94"/>
      <c r="I834" s="92"/>
      <c r="J834" s="92"/>
      <c r="K834" s="9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8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6"/>
    </row>
    <row r="835">
      <c r="A835" s="92"/>
      <c r="B835" s="93"/>
      <c r="C835" s="92"/>
      <c r="D835" s="94"/>
      <c r="E835" s="92"/>
      <c r="F835" s="94"/>
      <c r="G835" s="92"/>
      <c r="H835" s="94"/>
      <c r="I835" s="92"/>
      <c r="J835" s="92"/>
      <c r="K835" s="9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8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6"/>
    </row>
    <row r="836">
      <c r="A836" s="92"/>
      <c r="B836" s="93"/>
      <c r="C836" s="92"/>
      <c r="D836" s="94"/>
      <c r="E836" s="92"/>
      <c r="F836" s="94"/>
      <c r="G836" s="92"/>
      <c r="H836" s="94"/>
      <c r="I836" s="92"/>
      <c r="J836" s="92"/>
      <c r="K836" s="9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8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6"/>
    </row>
    <row r="837">
      <c r="A837" s="92"/>
      <c r="B837" s="93"/>
      <c r="C837" s="92"/>
      <c r="D837" s="94"/>
      <c r="E837" s="92"/>
      <c r="F837" s="94"/>
      <c r="G837" s="92"/>
      <c r="H837" s="94"/>
      <c r="I837" s="92"/>
      <c r="J837" s="92"/>
      <c r="K837" s="9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8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6"/>
    </row>
    <row r="838">
      <c r="A838" s="92"/>
      <c r="B838" s="93"/>
      <c r="C838" s="92"/>
      <c r="D838" s="94"/>
      <c r="E838" s="92"/>
      <c r="F838" s="94"/>
      <c r="G838" s="92"/>
      <c r="H838" s="94"/>
      <c r="I838" s="92"/>
      <c r="J838" s="92"/>
      <c r="K838" s="9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8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6"/>
    </row>
    <row r="839">
      <c r="A839" s="92"/>
      <c r="B839" s="93"/>
      <c r="C839" s="92"/>
      <c r="D839" s="94"/>
      <c r="E839" s="92"/>
      <c r="F839" s="94"/>
      <c r="G839" s="92"/>
      <c r="H839" s="94"/>
      <c r="I839" s="92"/>
      <c r="J839" s="92"/>
      <c r="K839" s="9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8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6"/>
    </row>
    <row r="840">
      <c r="A840" s="92"/>
      <c r="B840" s="93"/>
      <c r="C840" s="92"/>
      <c r="D840" s="94"/>
      <c r="E840" s="92"/>
      <c r="F840" s="94"/>
      <c r="G840" s="92"/>
      <c r="H840" s="94"/>
      <c r="I840" s="92"/>
      <c r="J840" s="92"/>
      <c r="K840" s="9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8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6"/>
    </row>
    <row r="841">
      <c r="A841" s="92"/>
      <c r="B841" s="93"/>
      <c r="C841" s="92"/>
      <c r="D841" s="94"/>
      <c r="E841" s="92"/>
      <c r="F841" s="94"/>
      <c r="G841" s="92"/>
      <c r="H841" s="94"/>
      <c r="I841" s="92"/>
      <c r="J841" s="92"/>
      <c r="K841" s="9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8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6"/>
    </row>
    <row r="842">
      <c r="A842" s="92"/>
      <c r="B842" s="93"/>
      <c r="C842" s="92"/>
      <c r="D842" s="94"/>
      <c r="E842" s="92"/>
      <c r="F842" s="94"/>
      <c r="G842" s="92"/>
      <c r="H842" s="94"/>
      <c r="I842" s="92"/>
      <c r="J842" s="92"/>
      <c r="K842" s="9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8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6"/>
    </row>
    <row r="843">
      <c r="A843" s="92"/>
      <c r="B843" s="93"/>
      <c r="C843" s="92"/>
      <c r="D843" s="94"/>
      <c r="E843" s="92"/>
      <c r="F843" s="94"/>
      <c r="G843" s="92"/>
      <c r="H843" s="94"/>
      <c r="I843" s="92"/>
      <c r="J843" s="92"/>
      <c r="K843" s="9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8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6"/>
    </row>
    <row r="844">
      <c r="A844" s="92"/>
      <c r="B844" s="93"/>
      <c r="C844" s="92"/>
      <c r="D844" s="94"/>
      <c r="E844" s="92"/>
      <c r="F844" s="94"/>
      <c r="G844" s="92"/>
      <c r="H844" s="94"/>
      <c r="I844" s="92"/>
      <c r="J844" s="92"/>
      <c r="K844" s="9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8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6"/>
    </row>
    <row r="845">
      <c r="A845" s="92"/>
      <c r="B845" s="93"/>
      <c r="C845" s="92"/>
      <c r="D845" s="94"/>
      <c r="E845" s="92"/>
      <c r="F845" s="94"/>
      <c r="G845" s="92"/>
      <c r="H845" s="94"/>
      <c r="I845" s="92"/>
      <c r="J845" s="92"/>
      <c r="K845" s="9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8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6"/>
    </row>
    <row r="846">
      <c r="A846" s="92"/>
      <c r="B846" s="93"/>
      <c r="C846" s="92"/>
      <c r="D846" s="94"/>
      <c r="E846" s="92"/>
      <c r="F846" s="94"/>
      <c r="G846" s="92"/>
      <c r="H846" s="94"/>
      <c r="I846" s="92"/>
      <c r="J846" s="92"/>
      <c r="K846" s="9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8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6"/>
    </row>
    <row r="847">
      <c r="A847" s="92"/>
      <c r="B847" s="93"/>
      <c r="C847" s="92"/>
      <c r="D847" s="94"/>
      <c r="E847" s="92"/>
      <c r="F847" s="94"/>
      <c r="G847" s="92"/>
      <c r="H847" s="94"/>
      <c r="I847" s="92"/>
      <c r="J847" s="92"/>
      <c r="K847" s="9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8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6"/>
    </row>
    <row r="848">
      <c r="A848" s="92"/>
      <c r="B848" s="93"/>
      <c r="C848" s="92"/>
      <c r="D848" s="94"/>
      <c r="E848" s="92"/>
      <c r="F848" s="94"/>
      <c r="G848" s="92"/>
      <c r="H848" s="94"/>
      <c r="I848" s="92"/>
      <c r="J848" s="92"/>
      <c r="K848" s="9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8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6"/>
    </row>
    <row r="849">
      <c r="A849" s="92"/>
      <c r="B849" s="93"/>
      <c r="C849" s="92"/>
      <c r="D849" s="94"/>
      <c r="E849" s="92"/>
      <c r="F849" s="94"/>
      <c r="G849" s="92"/>
      <c r="H849" s="94"/>
      <c r="I849" s="92"/>
      <c r="J849" s="92"/>
      <c r="K849" s="9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8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6"/>
    </row>
    <row r="850">
      <c r="A850" s="92"/>
      <c r="B850" s="93"/>
      <c r="C850" s="92"/>
      <c r="D850" s="94"/>
      <c r="E850" s="92"/>
      <c r="F850" s="94"/>
      <c r="G850" s="92"/>
      <c r="H850" s="94"/>
      <c r="I850" s="92"/>
      <c r="J850" s="92"/>
      <c r="K850" s="9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8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6"/>
    </row>
    <row r="851">
      <c r="A851" s="92"/>
      <c r="B851" s="93"/>
      <c r="C851" s="92"/>
      <c r="D851" s="94"/>
      <c r="E851" s="92"/>
      <c r="F851" s="94"/>
      <c r="G851" s="92"/>
      <c r="H851" s="94"/>
      <c r="I851" s="92"/>
      <c r="J851" s="92"/>
      <c r="K851" s="9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8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6"/>
    </row>
    <row r="852">
      <c r="A852" s="92"/>
      <c r="B852" s="93"/>
      <c r="C852" s="92"/>
      <c r="D852" s="94"/>
      <c r="E852" s="92"/>
      <c r="F852" s="94"/>
      <c r="G852" s="92"/>
      <c r="H852" s="94"/>
      <c r="I852" s="92"/>
      <c r="J852" s="92"/>
      <c r="K852" s="9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8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6"/>
    </row>
    <row r="853">
      <c r="A853" s="92"/>
      <c r="B853" s="93"/>
      <c r="C853" s="92"/>
      <c r="D853" s="94"/>
      <c r="E853" s="92"/>
      <c r="F853" s="94"/>
      <c r="G853" s="92"/>
      <c r="H853" s="94"/>
      <c r="I853" s="92"/>
      <c r="J853" s="92"/>
      <c r="K853" s="9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8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6"/>
    </row>
    <row r="854">
      <c r="A854" s="92"/>
      <c r="B854" s="93"/>
      <c r="C854" s="92"/>
      <c r="D854" s="94"/>
      <c r="E854" s="92"/>
      <c r="F854" s="94"/>
      <c r="G854" s="92"/>
      <c r="H854" s="94"/>
      <c r="I854" s="92"/>
      <c r="J854" s="92"/>
      <c r="K854" s="9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8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6"/>
    </row>
    <row r="855">
      <c r="A855" s="92"/>
      <c r="B855" s="93"/>
      <c r="C855" s="92"/>
      <c r="D855" s="94"/>
      <c r="E855" s="92"/>
      <c r="F855" s="94"/>
      <c r="G855" s="92"/>
      <c r="H855" s="94"/>
      <c r="I855" s="92"/>
      <c r="J855" s="92"/>
      <c r="K855" s="9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8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6"/>
    </row>
    <row r="856">
      <c r="A856" s="92"/>
      <c r="B856" s="93"/>
      <c r="C856" s="92"/>
      <c r="D856" s="94"/>
      <c r="E856" s="92"/>
      <c r="F856" s="94"/>
      <c r="G856" s="92"/>
      <c r="H856" s="94"/>
      <c r="I856" s="92"/>
      <c r="J856" s="92"/>
      <c r="K856" s="9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8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6"/>
    </row>
    <row r="857">
      <c r="A857" s="92"/>
      <c r="B857" s="93"/>
      <c r="C857" s="92"/>
      <c r="D857" s="94"/>
      <c r="E857" s="92"/>
      <c r="F857" s="94"/>
      <c r="G857" s="92"/>
      <c r="H857" s="94"/>
      <c r="I857" s="92"/>
      <c r="J857" s="92"/>
      <c r="K857" s="9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8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6"/>
    </row>
    <row r="858">
      <c r="A858" s="92"/>
      <c r="B858" s="93"/>
      <c r="C858" s="92"/>
      <c r="D858" s="94"/>
      <c r="E858" s="92"/>
      <c r="F858" s="94"/>
      <c r="G858" s="92"/>
      <c r="H858" s="94"/>
      <c r="I858" s="92"/>
      <c r="J858" s="92"/>
      <c r="K858" s="9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8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6"/>
    </row>
    <row r="859">
      <c r="A859" s="92"/>
      <c r="B859" s="93"/>
      <c r="C859" s="92"/>
      <c r="D859" s="94"/>
      <c r="E859" s="92"/>
      <c r="F859" s="94"/>
      <c r="G859" s="92"/>
      <c r="H859" s="94"/>
      <c r="I859" s="92"/>
      <c r="J859" s="92"/>
      <c r="K859" s="9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8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6"/>
    </row>
    <row r="860">
      <c r="A860" s="92"/>
      <c r="B860" s="93"/>
      <c r="C860" s="92"/>
      <c r="D860" s="94"/>
      <c r="E860" s="92"/>
      <c r="F860" s="94"/>
      <c r="G860" s="92"/>
      <c r="H860" s="94"/>
      <c r="I860" s="92"/>
      <c r="J860" s="92"/>
      <c r="K860" s="9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8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6"/>
    </row>
    <row r="861">
      <c r="A861" s="92"/>
      <c r="B861" s="93"/>
      <c r="C861" s="92"/>
      <c r="D861" s="94"/>
      <c r="E861" s="92"/>
      <c r="F861" s="94"/>
      <c r="G861" s="92"/>
      <c r="H861" s="94"/>
      <c r="I861" s="92"/>
      <c r="J861" s="92"/>
      <c r="K861" s="9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8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6"/>
    </row>
    <row r="862">
      <c r="A862" s="92"/>
      <c r="B862" s="93"/>
      <c r="C862" s="92"/>
      <c r="D862" s="94"/>
      <c r="E862" s="92"/>
      <c r="F862" s="94"/>
      <c r="G862" s="92"/>
      <c r="H862" s="94"/>
      <c r="I862" s="92"/>
      <c r="J862" s="92"/>
      <c r="K862" s="9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8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6"/>
    </row>
    <row r="863">
      <c r="A863" s="92"/>
      <c r="B863" s="93"/>
      <c r="C863" s="92"/>
      <c r="D863" s="94"/>
      <c r="E863" s="92"/>
      <c r="F863" s="94"/>
      <c r="G863" s="92"/>
      <c r="H863" s="94"/>
      <c r="I863" s="92"/>
      <c r="J863" s="92"/>
      <c r="K863" s="9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8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6"/>
    </row>
    <row r="864">
      <c r="A864" s="92"/>
      <c r="B864" s="93"/>
      <c r="C864" s="92"/>
      <c r="D864" s="94"/>
      <c r="E864" s="92"/>
      <c r="F864" s="94"/>
      <c r="G864" s="92"/>
      <c r="H864" s="94"/>
      <c r="I864" s="92"/>
      <c r="J864" s="92"/>
      <c r="K864" s="9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8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6"/>
    </row>
    <row r="865">
      <c r="A865" s="92"/>
      <c r="B865" s="93"/>
      <c r="C865" s="92"/>
      <c r="D865" s="94"/>
      <c r="E865" s="92"/>
      <c r="F865" s="94"/>
      <c r="G865" s="92"/>
      <c r="H865" s="94"/>
      <c r="I865" s="92"/>
      <c r="J865" s="92"/>
      <c r="K865" s="9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8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6"/>
    </row>
    <row r="866">
      <c r="A866" s="92"/>
      <c r="B866" s="93"/>
      <c r="C866" s="92"/>
      <c r="D866" s="94"/>
      <c r="E866" s="92"/>
      <c r="F866" s="94"/>
      <c r="G866" s="92"/>
      <c r="H866" s="94"/>
      <c r="I866" s="92"/>
      <c r="J866" s="92"/>
      <c r="K866" s="9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8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6"/>
    </row>
    <row r="867">
      <c r="A867" s="92"/>
      <c r="B867" s="93"/>
      <c r="C867" s="92"/>
      <c r="D867" s="94"/>
      <c r="E867" s="92"/>
      <c r="F867" s="94"/>
      <c r="G867" s="92"/>
      <c r="H867" s="94"/>
      <c r="I867" s="92"/>
      <c r="J867" s="92"/>
      <c r="K867" s="9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8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6"/>
    </row>
    <row r="868">
      <c r="A868" s="92"/>
      <c r="B868" s="93"/>
      <c r="C868" s="92"/>
      <c r="D868" s="94"/>
      <c r="E868" s="92"/>
      <c r="F868" s="94"/>
      <c r="G868" s="92"/>
      <c r="H868" s="94"/>
      <c r="I868" s="92"/>
      <c r="J868" s="92"/>
      <c r="K868" s="9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8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6"/>
    </row>
    <row r="869">
      <c r="A869" s="92"/>
      <c r="B869" s="93"/>
      <c r="C869" s="92"/>
      <c r="D869" s="94"/>
      <c r="E869" s="92"/>
      <c r="F869" s="94"/>
      <c r="G869" s="92"/>
      <c r="H869" s="94"/>
      <c r="I869" s="92"/>
      <c r="J869" s="92"/>
      <c r="K869" s="9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8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6"/>
    </row>
    <row r="870">
      <c r="A870" s="92"/>
      <c r="B870" s="93"/>
      <c r="C870" s="92"/>
      <c r="D870" s="94"/>
      <c r="E870" s="92"/>
      <c r="F870" s="94"/>
      <c r="G870" s="92"/>
      <c r="H870" s="94"/>
      <c r="I870" s="92"/>
      <c r="J870" s="92"/>
      <c r="K870" s="9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8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6"/>
    </row>
    <row r="871">
      <c r="A871" s="92"/>
      <c r="B871" s="93"/>
      <c r="C871" s="92"/>
      <c r="D871" s="94"/>
      <c r="E871" s="92"/>
      <c r="F871" s="94"/>
      <c r="G871" s="92"/>
      <c r="H871" s="94"/>
      <c r="I871" s="92"/>
      <c r="J871" s="92"/>
      <c r="K871" s="9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8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6"/>
    </row>
    <row r="872">
      <c r="A872" s="92"/>
      <c r="B872" s="93"/>
      <c r="C872" s="92"/>
      <c r="D872" s="94"/>
      <c r="E872" s="92"/>
      <c r="F872" s="94"/>
      <c r="G872" s="92"/>
      <c r="H872" s="94"/>
      <c r="I872" s="92"/>
      <c r="J872" s="92"/>
      <c r="K872" s="9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8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6"/>
    </row>
    <row r="873">
      <c r="A873" s="92"/>
      <c r="B873" s="93"/>
      <c r="C873" s="92"/>
      <c r="D873" s="94"/>
      <c r="E873" s="92"/>
      <c r="F873" s="94"/>
      <c r="G873" s="92"/>
      <c r="H873" s="94"/>
      <c r="I873" s="92"/>
      <c r="J873" s="92"/>
      <c r="K873" s="9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8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6"/>
    </row>
    <row r="874">
      <c r="A874" s="92"/>
      <c r="B874" s="93"/>
      <c r="C874" s="92"/>
      <c r="D874" s="94"/>
      <c r="E874" s="92"/>
      <c r="F874" s="94"/>
      <c r="G874" s="92"/>
      <c r="H874" s="94"/>
      <c r="I874" s="92"/>
      <c r="J874" s="92"/>
      <c r="K874" s="9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8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6"/>
    </row>
    <row r="875">
      <c r="A875" s="92"/>
      <c r="B875" s="93"/>
      <c r="C875" s="92"/>
      <c r="D875" s="94"/>
      <c r="E875" s="92"/>
      <c r="F875" s="94"/>
      <c r="G875" s="92"/>
      <c r="H875" s="94"/>
      <c r="I875" s="92"/>
      <c r="J875" s="92"/>
      <c r="K875" s="9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8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6"/>
    </row>
    <row r="876">
      <c r="A876" s="92"/>
      <c r="B876" s="93"/>
      <c r="C876" s="92"/>
      <c r="D876" s="94"/>
      <c r="E876" s="92"/>
      <c r="F876" s="94"/>
      <c r="G876" s="92"/>
      <c r="H876" s="94"/>
      <c r="I876" s="92"/>
      <c r="J876" s="92"/>
      <c r="K876" s="9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8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6"/>
    </row>
    <row r="877">
      <c r="A877" s="92"/>
      <c r="B877" s="93"/>
      <c r="C877" s="92"/>
      <c r="D877" s="94"/>
      <c r="E877" s="92"/>
      <c r="F877" s="94"/>
      <c r="G877" s="92"/>
      <c r="H877" s="94"/>
      <c r="I877" s="92"/>
      <c r="J877" s="92"/>
      <c r="K877" s="9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8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6"/>
    </row>
    <row r="878">
      <c r="A878" s="92"/>
      <c r="B878" s="93"/>
      <c r="C878" s="92"/>
      <c r="D878" s="94"/>
      <c r="E878" s="92"/>
      <c r="F878" s="94"/>
      <c r="G878" s="92"/>
      <c r="H878" s="94"/>
      <c r="I878" s="92"/>
      <c r="J878" s="92"/>
      <c r="K878" s="9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8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6"/>
    </row>
    <row r="879">
      <c r="A879" s="92"/>
      <c r="B879" s="93"/>
      <c r="C879" s="92"/>
      <c r="D879" s="94"/>
      <c r="E879" s="92"/>
      <c r="F879" s="94"/>
      <c r="G879" s="92"/>
      <c r="H879" s="94"/>
      <c r="I879" s="92"/>
      <c r="J879" s="92"/>
      <c r="K879" s="9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8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6"/>
    </row>
    <row r="880">
      <c r="A880" s="92"/>
      <c r="B880" s="93"/>
      <c r="C880" s="92"/>
      <c r="D880" s="94"/>
      <c r="E880" s="92"/>
      <c r="F880" s="94"/>
      <c r="G880" s="92"/>
      <c r="H880" s="94"/>
      <c r="I880" s="92"/>
      <c r="J880" s="92"/>
      <c r="K880" s="9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8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6"/>
    </row>
    <row r="881">
      <c r="A881" s="92"/>
      <c r="B881" s="93"/>
      <c r="C881" s="92"/>
      <c r="D881" s="94"/>
      <c r="E881" s="92"/>
      <c r="F881" s="94"/>
      <c r="G881" s="92"/>
      <c r="H881" s="94"/>
      <c r="I881" s="92"/>
      <c r="J881" s="92"/>
      <c r="K881" s="9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8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6"/>
    </row>
    <row r="882">
      <c r="A882" s="92"/>
      <c r="B882" s="93"/>
      <c r="C882" s="92"/>
      <c r="D882" s="94"/>
      <c r="E882" s="92"/>
      <c r="F882" s="94"/>
      <c r="G882" s="92"/>
      <c r="H882" s="94"/>
      <c r="I882" s="92"/>
      <c r="J882" s="92"/>
      <c r="K882" s="9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8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6"/>
    </row>
    <row r="883">
      <c r="A883" s="92"/>
      <c r="B883" s="93"/>
      <c r="C883" s="92"/>
      <c r="D883" s="94"/>
      <c r="E883" s="92"/>
      <c r="F883" s="94"/>
      <c r="G883" s="92"/>
      <c r="H883" s="94"/>
      <c r="I883" s="92"/>
      <c r="J883" s="92"/>
      <c r="K883" s="9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8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6"/>
    </row>
    <row r="884">
      <c r="A884" s="92"/>
      <c r="B884" s="93"/>
      <c r="C884" s="92"/>
      <c r="D884" s="94"/>
      <c r="E884" s="92"/>
      <c r="F884" s="94"/>
      <c r="G884" s="92"/>
      <c r="H884" s="94"/>
      <c r="I884" s="92"/>
      <c r="J884" s="92"/>
      <c r="K884" s="9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8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6"/>
    </row>
    <row r="885">
      <c r="A885" s="92"/>
      <c r="B885" s="93"/>
      <c r="C885" s="92"/>
      <c r="D885" s="94"/>
      <c r="E885" s="92"/>
      <c r="F885" s="94"/>
      <c r="G885" s="92"/>
      <c r="H885" s="94"/>
      <c r="I885" s="92"/>
      <c r="J885" s="92"/>
      <c r="K885" s="9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8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6"/>
    </row>
    <row r="886">
      <c r="A886" s="92"/>
      <c r="B886" s="93"/>
      <c r="C886" s="92"/>
      <c r="D886" s="94"/>
      <c r="E886" s="92"/>
      <c r="F886" s="94"/>
      <c r="G886" s="92"/>
      <c r="H886" s="94"/>
      <c r="I886" s="92"/>
      <c r="J886" s="92"/>
      <c r="K886" s="9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8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6"/>
    </row>
    <row r="887">
      <c r="A887" s="92"/>
      <c r="B887" s="93"/>
      <c r="C887" s="92"/>
      <c r="D887" s="94"/>
      <c r="E887" s="92"/>
      <c r="F887" s="94"/>
      <c r="G887" s="92"/>
      <c r="H887" s="94"/>
      <c r="I887" s="92"/>
      <c r="J887" s="92"/>
      <c r="K887" s="9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8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6"/>
    </row>
    <row r="888">
      <c r="A888" s="92"/>
      <c r="B888" s="93"/>
      <c r="C888" s="92"/>
      <c r="D888" s="94"/>
      <c r="E888" s="92"/>
      <c r="F888" s="94"/>
      <c r="G888" s="92"/>
      <c r="H888" s="94"/>
      <c r="I888" s="92"/>
      <c r="J888" s="92"/>
      <c r="K888" s="9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8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6"/>
    </row>
    <row r="889">
      <c r="A889" s="92"/>
      <c r="B889" s="93"/>
      <c r="C889" s="92"/>
      <c r="D889" s="94"/>
      <c r="E889" s="92"/>
      <c r="F889" s="94"/>
      <c r="G889" s="92"/>
      <c r="H889" s="94"/>
      <c r="I889" s="92"/>
      <c r="J889" s="92"/>
      <c r="K889" s="9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8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6"/>
    </row>
    <row r="890">
      <c r="A890" s="92"/>
      <c r="B890" s="93"/>
      <c r="C890" s="92"/>
      <c r="D890" s="94"/>
      <c r="E890" s="92"/>
      <c r="F890" s="94"/>
      <c r="G890" s="92"/>
      <c r="H890" s="94"/>
      <c r="I890" s="92"/>
      <c r="J890" s="92"/>
      <c r="K890" s="9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8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6"/>
    </row>
    <row r="891">
      <c r="A891" s="92"/>
      <c r="B891" s="93"/>
      <c r="C891" s="92"/>
      <c r="D891" s="94"/>
      <c r="E891" s="92"/>
      <c r="F891" s="94"/>
      <c r="G891" s="92"/>
      <c r="H891" s="94"/>
      <c r="I891" s="92"/>
      <c r="J891" s="92"/>
      <c r="K891" s="9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8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6"/>
    </row>
    <row r="892">
      <c r="A892" s="92"/>
      <c r="B892" s="93"/>
      <c r="C892" s="92"/>
      <c r="D892" s="94"/>
      <c r="E892" s="92"/>
      <c r="F892" s="94"/>
      <c r="G892" s="92"/>
      <c r="H892" s="94"/>
      <c r="I892" s="92"/>
      <c r="J892" s="92"/>
      <c r="K892" s="9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8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6"/>
    </row>
    <row r="893">
      <c r="A893" s="92"/>
      <c r="B893" s="93"/>
      <c r="C893" s="92"/>
      <c r="D893" s="94"/>
      <c r="E893" s="92"/>
      <c r="F893" s="94"/>
      <c r="G893" s="92"/>
      <c r="H893" s="94"/>
      <c r="I893" s="92"/>
      <c r="J893" s="92"/>
      <c r="K893" s="9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8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6"/>
    </row>
    <row r="894">
      <c r="A894" s="92"/>
      <c r="B894" s="93"/>
      <c r="C894" s="92"/>
      <c r="D894" s="94"/>
      <c r="E894" s="92"/>
      <c r="F894" s="94"/>
      <c r="G894" s="92"/>
      <c r="H894" s="94"/>
      <c r="I894" s="92"/>
      <c r="J894" s="92"/>
      <c r="K894" s="9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8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6"/>
    </row>
    <row r="895">
      <c r="A895" s="92"/>
      <c r="B895" s="93"/>
      <c r="C895" s="92"/>
      <c r="D895" s="94"/>
      <c r="E895" s="92"/>
      <c r="F895" s="94"/>
      <c r="G895" s="92"/>
      <c r="H895" s="94"/>
      <c r="I895" s="92"/>
      <c r="J895" s="92"/>
      <c r="K895" s="9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8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6"/>
    </row>
    <row r="896">
      <c r="A896" s="92"/>
      <c r="B896" s="93"/>
      <c r="C896" s="92"/>
      <c r="D896" s="94"/>
      <c r="E896" s="92"/>
      <c r="F896" s="94"/>
      <c r="G896" s="92"/>
      <c r="H896" s="94"/>
      <c r="I896" s="92"/>
      <c r="J896" s="92"/>
      <c r="K896" s="9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8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6"/>
    </row>
    <row r="897">
      <c r="A897" s="92"/>
      <c r="B897" s="93"/>
      <c r="C897" s="92"/>
      <c r="D897" s="94"/>
      <c r="E897" s="92"/>
      <c r="F897" s="94"/>
      <c r="G897" s="92"/>
      <c r="H897" s="94"/>
      <c r="I897" s="92"/>
      <c r="J897" s="92"/>
      <c r="K897" s="9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8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6"/>
    </row>
    <row r="898">
      <c r="A898" s="92"/>
      <c r="B898" s="93"/>
      <c r="C898" s="92"/>
      <c r="D898" s="94"/>
      <c r="E898" s="92"/>
      <c r="F898" s="94"/>
      <c r="G898" s="92"/>
      <c r="H898" s="94"/>
      <c r="I898" s="92"/>
      <c r="J898" s="92"/>
      <c r="K898" s="9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8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6"/>
    </row>
    <row r="899">
      <c r="A899" s="92"/>
      <c r="B899" s="93"/>
      <c r="C899" s="92"/>
      <c r="D899" s="94"/>
      <c r="E899" s="92"/>
      <c r="F899" s="94"/>
      <c r="G899" s="92"/>
      <c r="H899" s="94"/>
      <c r="I899" s="92"/>
      <c r="J899" s="92"/>
      <c r="K899" s="9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8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6"/>
    </row>
    <row r="900">
      <c r="A900" s="92"/>
      <c r="B900" s="93"/>
      <c r="C900" s="92"/>
      <c r="D900" s="94"/>
      <c r="E900" s="92"/>
      <c r="F900" s="94"/>
      <c r="G900" s="92"/>
      <c r="H900" s="94"/>
      <c r="I900" s="92"/>
      <c r="J900" s="92"/>
      <c r="K900" s="9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8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6"/>
    </row>
    <row r="901">
      <c r="A901" s="92"/>
      <c r="B901" s="93"/>
      <c r="C901" s="92"/>
      <c r="D901" s="94"/>
      <c r="E901" s="92"/>
      <c r="F901" s="94"/>
      <c r="G901" s="92"/>
      <c r="H901" s="94"/>
      <c r="I901" s="92"/>
      <c r="J901" s="92"/>
      <c r="K901" s="9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8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6"/>
    </row>
    <row r="902">
      <c r="A902" s="92"/>
      <c r="B902" s="93"/>
      <c r="C902" s="92"/>
      <c r="D902" s="94"/>
      <c r="E902" s="92"/>
      <c r="F902" s="94"/>
      <c r="G902" s="92"/>
      <c r="H902" s="94"/>
      <c r="I902" s="92"/>
      <c r="J902" s="92"/>
      <c r="K902" s="9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8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6"/>
    </row>
    <row r="903">
      <c r="A903" s="92"/>
      <c r="B903" s="93"/>
      <c r="C903" s="92"/>
      <c r="D903" s="94"/>
      <c r="E903" s="92"/>
      <c r="F903" s="94"/>
      <c r="G903" s="92"/>
      <c r="H903" s="94"/>
      <c r="I903" s="92"/>
      <c r="J903" s="92"/>
      <c r="K903" s="9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8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6"/>
    </row>
    <row r="904">
      <c r="A904" s="92"/>
      <c r="B904" s="93"/>
      <c r="C904" s="92"/>
      <c r="D904" s="94"/>
      <c r="E904" s="92"/>
      <c r="F904" s="94"/>
      <c r="G904" s="92"/>
      <c r="H904" s="94"/>
      <c r="I904" s="92"/>
      <c r="J904" s="92"/>
      <c r="K904" s="9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8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6"/>
    </row>
    <row r="905">
      <c r="A905" s="92"/>
      <c r="B905" s="93"/>
      <c r="C905" s="92"/>
      <c r="D905" s="94"/>
      <c r="E905" s="92"/>
      <c r="F905" s="94"/>
      <c r="G905" s="92"/>
      <c r="H905" s="94"/>
      <c r="I905" s="92"/>
      <c r="J905" s="92"/>
      <c r="K905" s="9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8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6"/>
    </row>
    <row r="906">
      <c r="A906" s="92"/>
      <c r="B906" s="93"/>
      <c r="C906" s="92"/>
      <c r="D906" s="94"/>
      <c r="E906" s="92"/>
      <c r="F906" s="94"/>
      <c r="G906" s="92"/>
      <c r="H906" s="94"/>
      <c r="I906" s="92"/>
      <c r="J906" s="92"/>
      <c r="K906" s="9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8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6"/>
    </row>
    <row r="907">
      <c r="A907" s="92"/>
      <c r="B907" s="93"/>
      <c r="C907" s="92"/>
      <c r="D907" s="94"/>
      <c r="E907" s="92"/>
      <c r="F907" s="94"/>
      <c r="G907" s="92"/>
      <c r="H907" s="94"/>
      <c r="I907" s="92"/>
      <c r="J907" s="92"/>
      <c r="K907" s="9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8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6"/>
    </row>
    <row r="908">
      <c r="A908" s="92"/>
      <c r="B908" s="93"/>
      <c r="C908" s="92"/>
      <c r="D908" s="94"/>
      <c r="E908" s="92"/>
      <c r="F908" s="94"/>
      <c r="G908" s="92"/>
      <c r="H908" s="94"/>
      <c r="I908" s="92"/>
      <c r="J908" s="92"/>
      <c r="K908" s="9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8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6"/>
    </row>
    <row r="909">
      <c r="A909" s="92"/>
      <c r="B909" s="93"/>
      <c r="C909" s="92"/>
      <c r="D909" s="94"/>
      <c r="E909" s="92"/>
      <c r="F909" s="94"/>
      <c r="G909" s="92"/>
      <c r="H909" s="94"/>
      <c r="I909" s="92"/>
      <c r="J909" s="92"/>
      <c r="K909" s="9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8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6"/>
    </row>
    <row r="910">
      <c r="A910" s="92"/>
      <c r="B910" s="93"/>
      <c r="C910" s="92"/>
      <c r="D910" s="94"/>
      <c r="E910" s="92"/>
      <c r="F910" s="94"/>
      <c r="G910" s="92"/>
      <c r="H910" s="94"/>
      <c r="I910" s="92"/>
      <c r="J910" s="92"/>
      <c r="K910" s="9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8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6"/>
    </row>
    <row r="911">
      <c r="A911" s="92"/>
      <c r="B911" s="93"/>
      <c r="C911" s="92"/>
      <c r="D911" s="94"/>
      <c r="E911" s="92"/>
      <c r="F911" s="94"/>
      <c r="G911" s="92"/>
      <c r="H911" s="94"/>
      <c r="I911" s="92"/>
      <c r="J911" s="92"/>
      <c r="K911" s="9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8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6"/>
    </row>
    <row r="912">
      <c r="A912" s="92"/>
      <c r="B912" s="93"/>
      <c r="C912" s="92"/>
      <c r="D912" s="94"/>
      <c r="E912" s="92"/>
      <c r="F912" s="94"/>
      <c r="G912" s="92"/>
      <c r="H912" s="94"/>
      <c r="I912" s="92"/>
      <c r="J912" s="92"/>
      <c r="K912" s="9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8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6"/>
    </row>
    <row r="913">
      <c r="A913" s="92"/>
      <c r="B913" s="93"/>
      <c r="C913" s="92"/>
      <c r="D913" s="94"/>
      <c r="E913" s="92"/>
      <c r="F913" s="94"/>
      <c r="G913" s="92"/>
      <c r="H913" s="94"/>
      <c r="I913" s="92"/>
      <c r="J913" s="92"/>
      <c r="K913" s="9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8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6"/>
    </row>
    <row r="914">
      <c r="A914" s="92"/>
      <c r="B914" s="93"/>
      <c r="C914" s="92"/>
      <c r="D914" s="94"/>
      <c r="E914" s="92"/>
      <c r="F914" s="94"/>
      <c r="G914" s="92"/>
      <c r="H914" s="94"/>
      <c r="I914" s="92"/>
      <c r="J914" s="92"/>
      <c r="K914" s="9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8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6"/>
    </row>
    <row r="915">
      <c r="A915" s="92"/>
      <c r="B915" s="93"/>
      <c r="C915" s="92"/>
      <c r="D915" s="94"/>
      <c r="E915" s="92"/>
      <c r="F915" s="94"/>
      <c r="G915" s="92"/>
      <c r="H915" s="94"/>
      <c r="I915" s="92"/>
      <c r="J915" s="92"/>
      <c r="K915" s="9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8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6"/>
    </row>
    <row r="916">
      <c r="A916" s="92"/>
      <c r="B916" s="93"/>
      <c r="C916" s="92"/>
      <c r="D916" s="94"/>
      <c r="E916" s="92"/>
      <c r="F916" s="94"/>
      <c r="G916" s="92"/>
      <c r="H916" s="94"/>
      <c r="I916" s="92"/>
      <c r="J916" s="92"/>
      <c r="K916" s="9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8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6"/>
    </row>
    <row r="917">
      <c r="A917" s="92"/>
      <c r="B917" s="93"/>
      <c r="C917" s="92"/>
      <c r="D917" s="94"/>
      <c r="E917" s="92"/>
      <c r="F917" s="94"/>
      <c r="G917" s="92"/>
      <c r="H917" s="94"/>
      <c r="I917" s="92"/>
      <c r="J917" s="92"/>
      <c r="K917" s="9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8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6"/>
    </row>
    <row r="918">
      <c r="A918" s="92"/>
      <c r="B918" s="93"/>
      <c r="C918" s="92"/>
      <c r="D918" s="94"/>
      <c r="E918" s="92"/>
      <c r="F918" s="94"/>
      <c r="G918" s="92"/>
      <c r="H918" s="94"/>
      <c r="I918" s="92"/>
      <c r="J918" s="92"/>
      <c r="K918" s="9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8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6"/>
    </row>
    <row r="919">
      <c r="A919" s="92"/>
      <c r="B919" s="93"/>
      <c r="C919" s="92"/>
      <c r="D919" s="94"/>
      <c r="E919" s="92"/>
      <c r="F919" s="94"/>
      <c r="G919" s="92"/>
      <c r="H919" s="94"/>
      <c r="I919" s="92"/>
      <c r="J919" s="92"/>
      <c r="K919" s="9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8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6"/>
    </row>
    <row r="920">
      <c r="A920" s="92"/>
      <c r="B920" s="93"/>
      <c r="C920" s="92"/>
      <c r="D920" s="94"/>
      <c r="E920" s="92"/>
      <c r="F920" s="94"/>
      <c r="G920" s="92"/>
      <c r="H920" s="94"/>
      <c r="I920" s="92"/>
      <c r="J920" s="92"/>
      <c r="K920" s="9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8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6"/>
    </row>
    <row r="921">
      <c r="A921" s="92"/>
      <c r="B921" s="93"/>
      <c r="C921" s="92"/>
      <c r="D921" s="94"/>
      <c r="E921" s="92"/>
      <c r="F921" s="94"/>
      <c r="G921" s="92"/>
      <c r="H921" s="94"/>
      <c r="I921" s="92"/>
      <c r="J921" s="92"/>
      <c r="K921" s="9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8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6"/>
    </row>
    <row r="922">
      <c r="A922" s="92"/>
      <c r="B922" s="93"/>
      <c r="C922" s="92"/>
      <c r="D922" s="94"/>
      <c r="E922" s="92"/>
      <c r="F922" s="94"/>
      <c r="G922" s="92"/>
      <c r="H922" s="94"/>
      <c r="I922" s="92"/>
      <c r="J922" s="92"/>
      <c r="K922" s="9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8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6"/>
    </row>
    <row r="923">
      <c r="A923" s="92"/>
      <c r="B923" s="93"/>
      <c r="C923" s="92"/>
      <c r="D923" s="94"/>
      <c r="E923" s="92"/>
      <c r="F923" s="94"/>
      <c r="G923" s="92"/>
      <c r="H923" s="94"/>
      <c r="I923" s="92"/>
      <c r="J923" s="92"/>
      <c r="K923" s="9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8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6"/>
    </row>
    <row r="924">
      <c r="A924" s="92"/>
      <c r="B924" s="93"/>
      <c r="C924" s="92"/>
      <c r="D924" s="94"/>
      <c r="E924" s="92"/>
      <c r="F924" s="94"/>
      <c r="G924" s="92"/>
      <c r="H924" s="94"/>
      <c r="I924" s="92"/>
      <c r="J924" s="92"/>
      <c r="K924" s="9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8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6"/>
    </row>
    <row r="925">
      <c r="A925" s="92"/>
      <c r="B925" s="93"/>
      <c r="C925" s="92"/>
      <c r="D925" s="94"/>
      <c r="E925" s="92"/>
      <c r="F925" s="94"/>
      <c r="G925" s="92"/>
      <c r="H925" s="94"/>
      <c r="I925" s="92"/>
      <c r="J925" s="92"/>
      <c r="K925" s="9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8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6"/>
    </row>
    <row r="926">
      <c r="A926" s="92"/>
      <c r="B926" s="93"/>
      <c r="C926" s="92"/>
      <c r="D926" s="94"/>
      <c r="E926" s="92"/>
      <c r="F926" s="94"/>
      <c r="G926" s="92"/>
      <c r="H926" s="94"/>
      <c r="I926" s="92"/>
      <c r="J926" s="92"/>
      <c r="K926" s="9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8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6"/>
    </row>
    <row r="927">
      <c r="A927" s="92"/>
      <c r="B927" s="93"/>
      <c r="C927" s="92"/>
      <c r="D927" s="94"/>
      <c r="E927" s="92"/>
      <c r="F927" s="94"/>
      <c r="G927" s="92"/>
      <c r="H927" s="94"/>
      <c r="I927" s="92"/>
      <c r="J927" s="92"/>
      <c r="K927" s="9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8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6"/>
    </row>
    <row r="928">
      <c r="A928" s="92"/>
      <c r="B928" s="93"/>
      <c r="C928" s="92"/>
      <c r="D928" s="94"/>
      <c r="E928" s="92"/>
      <c r="F928" s="94"/>
      <c r="G928" s="92"/>
      <c r="H928" s="94"/>
      <c r="I928" s="92"/>
      <c r="J928" s="92"/>
      <c r="K928" s="9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8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6"/>
    </row>
    <row r="929">
      <c r="A929" s="92"/>
      <c r="B929" s="93"/>
      <c r="C929" s="92"/>
      <c r="D929" s="94"/>
      <c r="E929" s="92"/>
      <c r="F929" s="94"/>
      <c r="G929" s="92"/>
      <c r="H929" s="94"/>
      <c r="I929" s="92"/>
      <c r="J929" s="92"/>
      <c r="K929" s="9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8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6"/>
    </row>
    <row r="930">
      <c r="A930" s="92"/>
      <c r="B930" s="93"/>
      <c r="C930" s="92"/>
      <c r="D930" s="94"/>
      <c r="E930" s="92"/>
      <c r="F930" s="94"/>
      <c r="G930" s="92"/>
      <c r="H930" s="94"/>
      <c r="I930" s="92"/>
      <c r="J930" s="92"/>
      <c r="K930" s="9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8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6"/>
    </row>
    <row r="931">
      <c r="A931" s="92"/>
      <c r="B931" s="93"/>
      <c r="C931" s="92"/>
      <c r="D931" s="94"/>
      <c r="E931" s="92"/>
      <c r="F931" s="94"/>
      <c r="G931" s="92"/>
      <c r="H931" s="94"/>
      <c r="I931" s="92"/>
      <c r="J931" s="92"/>
      <c r="K931" s="9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8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6"/>
    </row>
    <row r="932">
      <c r="A932" s="92"/>
      <c r="B932" s="93"/>
      <c r="C932" s="92"/>
      <c r="D932" s="94"/>
      <c r="E932" s="92"/>
      <c r="F932" s="94"/>
      <c r="G932" s="92"/>
      <c r="H932" s="94"/>
      <c r="I932" s="92"/>
      <c r="J932" s="92"/>
      <c r="K932" s="9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8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6"/>
    </row>
    <row r="933">
      <c r="A933" s="92"/>
      <c r="B933" s="93"/>
      <c r="C933" s="92"/>
      <c r="D933" s="94"/>
      <c r="E933" s="92"/>
      <c r="F933" s="94"/>
      <c r="G933" s="92"/>
      <c r="H933" s="94"/>
      <c r="I933" s="92"/>
      <c r="J933" s="92"/>
      <c r="K933" s="9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8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6"/>
    </row>
    <row r="934">
      <c r="A934" s="92"/>
      <c r="B934" s="93"/>
      <c r="C934" s="92"/>
      <c r="D934" s="94"/>
      <c r="E934" s="92"/>
      <c r="F934" s="94"/>
      <c r="G934" s="92"/>
      <c r="H934" s="94"/>
      <c r="I934" s="92"/>
      <c r="J934" s="92"/>
      <c r="K934" s="9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8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6"/>
    </row>
    <row r="935">
      <c r="A935" s="92"/>
      <c r="B935" s="93"/>
      <c r="C935" s="92"/>
      <c r="D935" s="94"/>
      <c r="E935" s="92"/>
      <c r="F935" s="94"/>
      <c r="G935" s="92"/>
      <c r="H935" s="94"/>
      <c r="I935" s="92"/>
      <c r="J935" s="92"/>
      <c r="K935" s="9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8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6"/>
    </row>
    <row r="936">
      <c r="A936" s="92"/>
      <c r="B936" s="93"/>
      <c r="C936" s="92"/>
      <c r="D936" s="94"/>
      <c r="E936" s="92"/>
      <c r="F936" s="94"/>
      <c r="G936" s="92"/>
      <c r="H936" s="94"/>
      <c r="I936" s="92"/>
      <c r="J936" s="92"/>
      <c r="K936" s="9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8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6"/>
    </row>
    <row r="937">
      <c r="A937" s="92"/>
      <c r="B937" s="93"/>
      <c r="C937" s="92"/>
      <c r="D937" s="94"/>
      <c r="E937" s="92"/>
      <c r="F937" s="94"/>
      <c r="G937" s="92"/>
      <c r="H937" s="94"/>
      <c r="I937" s="92"/>
      <c r="J937" s="92"/>
      <c r="K937" s="9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8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6"/>
    </row>
    <row r="938">
      <c r="A938" s="92"/>
      <c r="B938" s="93"/>
      <c r="C938" s="92"/>
      <c r="D938" s="94"/>
      <c r="E938" s="92"/>
      <c r="F938" s="94"/>
      <c r="G938" s="92"/>
      <c r="H938" s="94"/>
      <c r="I938" s="92"/>
      <c r="J938" s="92"/>
      <c r="K938" s="9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8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6"/>
    </row>
    <row r="939">
      <c r="A939" s="92"/>
      <c r="B939" s="93"/>
      <c r="C939" s="92"/>
      <c r="D939" s="94"/>
      <c r="E939" s="92"/>
      <c r="F939" s="94"/>
      <c r="G939" s="92"/>
      <c r="H939" s="94"/>
      <c r="I939" s="92"/>
      <c r="J939" s="92"/>
      <c r="K939" s="9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8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6"/>
    </row>
    <row r="940">
      <c r="A940" s="92"/>
      <c r="B940" s="93"/>
      <c r="C940" s="92"/>
      <c r="D940" s="94"/>
      <c r="E940" s="92"/>
      <c r="F940" s="94"/>
      <c r="G940" s="92"/>
      <c r="H940" s="94"/>
      <c r="I940" s="92"/>
      <c r="J940" s="92"/>
      <c r="K940" s="9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8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6"/>
    </row>
    <row r="941">
      <c r="A941" s="92"/>
      <c r="B941" s="93"/>
      <c r="C941" s="92"/>
      <c r="D941" s="94"/>
      <c r="E941" s="92"/>
      <c r="F941" s="94"/>
      <c r="G941" s="92"/>
      <c r="H941" s="94"/>
      <c r="I941" s="92"/>
      <c r="J941" s="92"/>
      <c r="K941" s="9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8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6"/>
    </row>
    <row r="942">
      <c r="A942" s="92"/>
      <c r="B942" s="93"/>
      <c r="C942" s="92"/>
      <c r="D942" s="94"/>
      <c r="E942" s="92"/>
      <c r="F942" s="94"/>
      <c r="G942" s="92"/>
      <c r="H942" s="94"/>
      <c r="I942" s="92"/>
      <c r="J942" s="92"/>
      <c r="K942" s="9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8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6"/>
    </row>
    <row r="943">
      <c r="A943" s="92"/>
      <c r="B943" s="93"/>
      <c r="C943" s="92"/>
      <c r="D943" s="94"/>
      <c r="E943" s="92"/>
      <c r="F943" s="94"/>
      <c r="G943" s="92"/>
      <c r="H943" s="94"/>
      <c r="I943" s="92"/>
      <c r="J943" s="92"/>
      <c r="K943" s="9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8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6"/>
    </row>
    <row r="944">
      <c r="A944" s="92"/>
      <c r="B944" s="93"/>
      <c r="C944" s="92"/>
      <c r="D944" s="94"/>
      <c r="E944" s="92"/>
      <c r="F944" s="94"/>
      <c r="G944" s="92"/>
      <c r="H944" s="94"/>
      <c r="I944" s="92"/>
      <c r="J944" s="92"/>
      <c r="K944" s="9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8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6"/>
    </row>
    <row r="945">
      <c r="A945" s="92"/>
      <c r="B945" s="93"/>
      <c r="C945" s="92"/>
      <c r="D945" s="94"/>
      <c r="E945" s="92"/>
      <c r="F945" s="94"/>
      <c r="G945" s="92"/>
      <c r="H945" s="94"/>
      <c r="I945" s="92"/>
      <c r="J945" s="92"/>
      <c r="K945" s="9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8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6"/>
    </row>
    <row r="946">
      <c r="A946" s="92"/>
      <c r="B946" s="93"/>
      <c r="C946" s="92"/>
      <c r="D946" s="94"/>
      <c r="E946" s="92"/>
      <c r="F946" s="94"/>
      <c r="G946" s="92"/>
      <c r="H946" s="94"/>
      <c r="I946" s="92"/>
      <c r="J946" s="92"/>
      <c r="K946" s="9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8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6"/>
    </row>
    <row r="947">
      <c r="A947" s="92"/>
      <c r="B947" s="93"/>
      <c r="C947" s="92"/>
      <c r="D947" s="94"/>
      <c r="E947" s="92"/>
      <c r="F947" s="94"/>
      <c r="G947" s="92"/>
      <c r="H947" s="94"/>
      <c r="I947" s="92"/>
      <c r="J947" s="92"/>
      <c r="K947" s="9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8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6"/>
    </row>
    <row r="948">
      <c r="A948" s="92"/>
      <c r="B948" s="93"/>
      <c r="C948" s="92"/>
      <c r="D948" s="94"/>
      <c r="E948" s="92"/>
      <c r="F948" s="94"/>
      <c r="G948" s="92"/>
      <c r="H948" s="94"/>
      <c r="I948" s="92"/>
      <c r="J948" s="92"/>
      <c r="K948" s="9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8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6"/>
    </row>
    <row r="949">
      <c r="A949" s="92"/>
      <c r="B949" s="93"/>
      <c r="C949" s="92"/>
      <c r="D949" s="94"/>
      <c r="E949" s="92"/>
      <c r="F949" s="94"/>
      <c r="G949" s="92"/>
      <c r="H949" s="94"/>
      <c r="I949" s="92"/>
      <c r="J949" s="92"/>
      <c r="K949" s="9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8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6"/>
    </row>
    <row r="950">
      <c r="A950" s="92"/>
      <c r="B950" s="93"/>
      <c r="C950" s="92"/>
      <c r="D950" s="94"/>
      <c r="E950" s="92"/>
      <c r="F950" s="94"/>
      <c r="G950" s="92"/>
      <c r="H950" s="94"/>
      <c r="I950" s="92"/>
      <c r="J950" s="92"/>
      <c r="K950" s="9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8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6"/>
    </row>
    <row r="951">
      <c r="A951" s="92"/>
      <c r="B951" s="93"/>
      <c r="C951" s="92"/>
      <c r="D951" s="94"/>
      <c r="E951" s="92"/>
      <c r="F951" s="94"/>
      <c r="G951" s="92"/>
      <c r="H951" s="94"/>
      <c r="I951" s="92"/>
      <c r="J951" s="92"/>
      <c r="K951" s="9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8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6"/>
    </row>
    <row r="952">
      <c r="A952" s="92"/>
      <c r="B952" s="93"/>
      <c r="C952" s="92"/>
      <c r="D952" s="94"/>
      <c r="E952" s="92"/>
      <c r="F952" s="94"/>
      <c r="G952" s="92"/>
      <c r="H952" s="94"/>
      <c r="I952" s="92"/>
      <c r="J952" s="92"/>
      <c r="K952" s="9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8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6"/>
    </row>
    <row r="953">
      <c r="A953" s="92"/>
      <c r="B953" s="93"/>
      <c r="C953" s="92"/>
      <c r="D953" s="94"/>
      <c r="E953" s="92"/>
      <c r="F953" s="94"/>
      <c r="G953" s="92"/>
      <c r="H953" s="94"/>
      <c r="I953" s="92"/>
      <c r="J953" s="92"/>
      <c r="K953" s="9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8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6"/>
    </row>
    <row r="954">
      <c r="A954" s="92"/>
      <c r="B954" s="93"/>
      <c r="C954" s="92"/>
      <c r="D954" s="94"/>
      <c r="E954" s="92"/>
      <c r="F954" s="94"/>
      <c r="G954" s="92"/>
      <c r="H954" s="94"/>
      <c r="I954" s="92"/>
      <c r="J954" s="92"/>
      <c r="K954" s="9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8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6"/>
    </row>
    <row r="955">
      <c r="A955" s="92"/>
      <c r="B955" s="93"/>
      <c r="C955" s="92"/>
      <c r="D955" s="94"/>
      <c r="E955" s="92"/>
      <c r="F955" s="94"/>
      <c r="G955" s="92"/>
      <c r="H955" s="94"/>
      <c r="I955" s="92"/>
      <c r="J955" s="92"/>
      <c r="K955" s="9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8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6"/>
    </row>
    <row r="956">
      <c r="A956" s="92"/>
      <c r="B956" s="93"/>
      <c r="C956" s="92"/>
      <c r="D956" s="94"/>
      <c r="E956" s="92"/>
      <c r="F956" s="94"/>
      <c r="G956" s="92"/>
      <c r="H956" s="94"/>
      <c r="I956" s="92"/>
      <c r="J956" s="92"/>
      <c r="K956" s="9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8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6"/>
    </row>
    <row r="957">
      <c r="A957" s="92"/>
      <c r="B957" s="93"/>
      <c r="C957" s="92"/>
      <c r="D957" s="94"/>
      <c r="E957" s="92"/>
      <c r="F957" s="94"/>
      <c r="G957" s="92"/>
      <c r="H957" s="94"/>
      <c r="I957" s="92"/>
      <c r="J957" s="92"/>
      <c r="K957" s="9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8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6"/>
    </row>
    <row r="958">
      <c r="A958" s="92"/>
      <c r="B958" s="93"/>
      <c r="C958" s="92"/>
      <c r="D958" s="94"/>
      <c r="E958" s="92"/>
      <c r="F958" s="94"/>
      <c r="G958" s="92"/>
      <c r="H958" s="94"/>
      <c r="I958" s="92"/>
      <c r="J958" s="92"/>
      <c r="K958" s="9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8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6"/>
    </row>
    <row r="959">
      <c r="A959" s="92"/>
      <c r="B959" s="93"/>
      <c r="C959" s="92"/>
      <c r="D959" s="94"/>
      <c r="E959" s="92"/>
      <c r="F959" s="94"/>
      <c r="G959" s="92"/>
      <c r="H959" s="94"/>
      <c r="I959" s="92"/>
      <c r="J959" s="92"/>
      <c r="K959" s="9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8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6"/>
    </row>
    <row r="960">
      <c r="A960" s="92"/>
      <c r="B960" s="93"/>
      <c r="C960" s="92"/>
      <c r="D960" s="94"/>
      <c r="E960" s="92"/>
      <c r="F960" s="94"/>
      <c r="G960" s="92"/>
      <c r="H960" s="94"/>
      <c r="I960" s="92"/>
      <c r="J960" s="92"/>
      <c r="K960" s="9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8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6"/>
    </row>
    <row r="961">
      <c r="A961" s="92"/>
      <c r="B961" s="93"/>
      <c r="C961" s="92"/>
      <c r="D961" s="94"/>
      <c r="E961" s="92"/>
      <c r="F961" s="94"/>
      <c r="G961" s="92"/>
      <c r="H961" s="94"/>
      <c r="I961" s="92"/>
      <c r="J961" s="92"/>
      <c r="K961" s="9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8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6"/>
    </row>
    <row r="962">
      <c r="A962" s="92"/>
      <c r="B962" s="93"/>
      <c r="C962" s="92"/>
      <c r="D962" s="94"/>
      <c r="E962" s="92"/>
      <c r="F962" s="94"/>
      <c r="G962" s="92"/>
      <c r="H962" s="94"/>
      <c r="I962" s="92"/>
      <c r="J962" s="92"/>
      <c r="K962" s="9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8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6"/>
    </row>
    <row r="963">
      <c r="A963" s="92"/>
      <c r="B963" s="93"/>
      <c r="C963" s="92"/>
      <c r="D963" s="94"/>
      <c r="E963" s="92"/>
      <c r="F963" s="94"/>
      <c r="G963" s="92"/>
      <c r="H963" s="94"/>
      <c r="I963" s="92"/>
      <c r="J963" s="92"/>
      <c r="K963" s="9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8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6"/>
    </row>
    <row r="964">
      <c r="A964" s="92"/>
      <c r="B964" s="93"/>
      <c r="C964" s="92"/>
      <c r="D964" s="94"/>
      <c r="E964" s="92"/>
      <c r="F964" s="94"/>
      <c r="G964" s="92"/>
      <c r="H964" s="94"/>
      <c r="I964" s="92"/>
      <c r="J964" s="92"/>
      <c r="K964" s="9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8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6"/>
    </row>
    <row r="965">
      <c r="A965" s="92"/>
      <c r="B965" s="93"/>
      <c r="C965" s="92"/>
      <c r="D965" s="94"/>
      <c r="E965" s="92"/>
      <c r="F965" s="94"/>
      <c r="G965" s="92"/>
      <c r="H965" s="94"/>
      <c r="I965" s="92"/>
      <c r="J965" s="92"/>
      <c r="K965" s="9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8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6"/>
    </row>
    <row r="966">
      <c r="A966" s="92"/>
      <c r="B966" s="93"/>
      <c r="C966" s="92"/>
      <c r="D966" s="94"/>
      <c r="E966" s="92"/>
      <c r="F966" s="94"/>
      <c r="G966" s="92"/>
      <c r="H966" s="94"/>
      <c r="I966" s="92"/>
      <c r="J966" s="92"/>
      <c r="K966" s="9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8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6"/>
    </row>
    <row r="967">
      <c r="A967" s="92"/>
      <c r="B967" s="93"/>
      <c r="C967" s="92"/>
      <c r="D967" s="94"/>
      <c r="E967" s="92"/>
      <c r="F967" s="94"/>
      <c r="G967" s="92"/>
      <c r="H967" s="94"/>
      <c r="I967" s="92"/>
      <c r="J967" s="92"/>
      <c r="K967" s="9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8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6"/>
    </row>
    <row r="968">
      <c r="A968" s="92"/>
      <c r="B968" s="93"/>
      <c r="C968" s="92"/>
      <c r="D968" s="94"/>
      <c r="E968" s="92"/>
      <c r="F968" s="94"/>
      <c r="G968" s="92"/>
      <c r="H968" s="94"/>
      <c r="I968" s="92"/>
      <c r="J968" s="92"/>
      <c r="K968" s="9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8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6"/>
    </row>
    <row r="969">
      <c r="A969" s="92"/>
      <c r="B969" s="93"/>
      <c r="C969" s="92"/>
      <c r="D969" s="94"/>
      <c r="E969" s="92"/>
      <c r="F969" s="94"/>
      <c r="G969" s="92"/>
      <c r="H969" s="94"/>
      <c r="I969" s="92"/>
      <c r="J969" s="92"/>
      <c r="K969" s="9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8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6"/>
    </row>
    <row r="970">
      <c r="A970" s="92"/>
      <c r="B970" s="93"/>
      <c r="C970" s="92"/>
      <c r="D970" s="94"/>
      <c r="E970" s="92"/>
      <c r="F970" s="94"/>
      <c r="G970" s="92"/>
      <c r="H970" s="94"/>
      <c r="I970" s="92"/>
      <c r="J970" s="92"/>
      <c r="K970" s="9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8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6"/>
    </row>
    <row r="971">
      <c r="A971" s="92"/>
      <c r="B971" s="93"/>
      <c r="C971" s="92"/>
      <c r="D971" s="94"/>
      <c r="E971" s="92"/>
      <c r="F971" s="94"/>
      <c r="G971" s="92"/>
      <c r="H971" s="94"/>
      <c r="I971" s="92"/>
      <c r="J971" s="92"/>
      <c r="K971" s="9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8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6"/>
    </row>
    <row r="972">
      <c r="A972" s="92"/>
      <c r="B972" s="93"/>
      <c r="C972" s="92"/>
      <c r="D972" s="94"/>
      <c r="E972" s="92"/>
      <c r="F972" s="94"/>
      <c r="G972" s="92"/>
      <c r="H972" s="94"/>
      <c r="I972" s="92"/>
      <c r="J972" s="92"/>
      <c r="K972" s="9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8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6"/>
    </row>
    <row r="973">
      <c r="A973" s="92"/>
      <c r="B973" s="93"/>
      <c r="C973" s="92"/>
      <c r="D973" s="94"/>
      <c r="E973" s="92"/>
      <c r="F973" s="94"/>
      <c r="G973" s="92"/>
      <c r="H973" s="94"/>
      <c r="I973" s="92"/>
      <c r="J973" s="92"/>
      <c r="K973" s="9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8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6"/>
    </row>
    <row r="974">
      <c r="A974" s="92"/>
      <c r="B974" s="93"/>
      <c r="C974" s="92"/>
      <c r="D974" s="94"/>
      <c r="E974" s="92"/>
      <c r="F974" s="94"/>
      <c r="G974" s="92"/>
      <c r="H974" s="94"/>
      <c r="I974" s="92"/>
      <c r="J974" s="92"/>
      <c r="K974" s="9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8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6"/>
    </row>
    <row r="975">
      <c r="A975" s="92"/>
      <c r="B975" s="93"/>
      <c r="C975" s="92"/>
      <c r="D975" s="94"/>
      <c r="E975" s="92"/>
      <c r="F975" s="94"/>
      <c r="G975" s="92"/>
      <c r="H975" s="94"/>
      <c r="I975" s="92"/>
      <c r="J975" s="92"/>
      <c r="K975" s="9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8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6"/>
    </row>
    <row r="976">
      <c r="A976" s="92"/>
      <c r="B976" s="93"/>
      <c r="C976" s="92"/>
      <c r="D976" s="94"/>
      <c r="E976" s="92"/>
      <c r="F976" s="94"/>
      <c r="G976" s="92"/>
      <c r="H976" s="94"/>
      <c r="I976" s="92"/>
      <c r="J976" s="92"/>
      <c r="K976" s="9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8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6"/>
    </row>
    <row r="977">
      <c r="A977" s="92"/>
      <c r="B977" s="93"/>
      <c r="C977" s="92"/>
      <c r="D977" s="94"/>
      <c r="E977" s="92"/>
      <c r="F977" s="94"/>
      <c r="G977" s="92"/>
      <c r="H977" s="94"/>
      <c r="I977" s="92"/>
      <c r="J977" s="92"/>
      <c r="K977" s="9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8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6"/>
    </row>
    <row r="978">
      <c r="A978" s="92"/>
      <c r="B978" s="93"/>
      <c r="C978" s="92"/>
      <c r="D978" s="94"/>
      <c r="E978" s="92"/>
      <c r="F978" s="94"/>
      <c r="G978" s="92"/>
      <c r="H978" s="94"/>
      <c r="I978" s="92"/>
      <c r="J978" s="92"/>
      <c r="K978" s="9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8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6"/>
    </row>
    <row r="979">
      <c r="A979" s="92"/>
      <c r="B979" s="93"/>
      <c r="C979" s="92"/>
      <c r="D979" s="94"/>
      <c r="E979" s="92"/>
      <c r="F979" s="94"/>
      <c r="G979" s="92"/>
      <c r="H979" s="94"/>
      <c r="I979" s="92"/>
      <c r="J979" s="92"/>
      <c r="K979" s="9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8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6"/>
    </row>
    <row r="980">
      <c r="A980" s="92"/>
      <c r="B980" s="93"/>
      <c r="C980" s="92"/>
      <c r="D980" s="94"/>
      <c r="E980" s="92"/>
      <c r="F980" s="94"/>
      <c r="G980" s="92"/>
      <c r="H980" s="94"/>
      <c r="I980" s="92"/>
      <c r="J980" s="92"/>
      <c r="K980" s="9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8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6"/>
    </row>
    <row r="981">
      <c r="A981" s="92"/>
      <c r="B981" s="93"/>
      <c r="C981" s="92"/>
      <c r="D981" s="94"/>
      <c r="E981" s="92"/>
      <c r="F981" s="94"/>
      <c r="G981" s="92"/>
      <c r="H981" s="94"/>
      <c r="I981" s="92"/>
      <c r="J981" s="92"/>
      <c r="K981" s="9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8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6"/>
    </row>
    <row r="982">
      <c r="A982" s="92"/>
      <c r="B982" s="93"/>
      <c r="C982" s="92"/>
      <c r="D982" s="94"/>
      <c r="E982" s="92"/>
      <c r="F982" s="94"/>
      <c r="G982" s="92"/>
      <c r="H982" s="94"/>
      <c r="I982" s="92"/>
      <c r="J982" s="92"/>
      <c r="K982" s="9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8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6"/>
    </row>
    <row r="983">
      <c r="A983" s="92"/>
      <c r="B983" s="93"/>
      <c r="C983" s="92"/>
      <c r="D983" s="94"/>
      <c r="E983" s="92"/>
      <c r="F983" s="94"/>
      <c r="G983" s="92"/>
      <c r="H983" s="94"/>
      <c r="I983" s="92"/>
      <c r="J983" s="92"/>
      <c r="K983" s="9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8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6"/>
    </row>
    <row r="984">
      <c r="A984" s="92"/>
      <c r="B984" s="93"/>
      <c r="C984" s="92"/>
      <c r="D984" s="94"/>
      <c r="E984" s="92"/>
      <c r="F984" s="94"/>
      <c r="G984" s="92"/>
      <c r="H984" s="94"/>
      <c r="I984" s="92"/>
      <c r="J984" s="92"/>
      <c r="K984" s="94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8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6"/>
    </row>
    <row r="985">
      <c r="A985" s="92"/>
      <c r="B985" s="93"/>
      <c r="C985" s="92"/>
      <c r="D985" s="94"/>
      <c r="E985" s="92"/>
      <c r="F985" s="94"/>
      <c r="G985" s="92"/>
      <c r="H985" s="94"/>
      <c r="I985" s="92"/>
      <c r="J985" s="92"/>
      <c r="K985" s="94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8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6"/>
    </row>
    <row r="986">
      <c r="A986" s="92"/>
      <c r="B986" s="93"/>
      <c r="C986" s="92"/>
      <c r="D986" s="94"/>
      <c r="E986" s="92"/>
      <c r="F986" s="94"/>
      <c r="G986" s="92"/>
      <c r="H986" s="94"/>
      <c r="I986" s="92"/>
      <c r="J986" s="92"/>
      <c r="K986" s="94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8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6"/>
    </row>
    <row r="987">
      <c r="A987" s="92"/>
      <c r="B987" s="93"/>
      <c r="C987" s="92"/>
      <c r="D987" s="94"/>
      <c r="E987" s="92"/>
      <c r="F987" s="94"/>
      <c r="G987" s="92"/>
      <c r="H987" s="94"/>
      <c r="I987" s="92"/>
      <c r="J987" s="92"/>
      <c r="K987" s="94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8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6"/>
    </row>
    <row r="988">
      <c r="A988" s="92"/>
      <c r="B988" s="93"/>
      <c r="C988" s="92"/>
      <c r="D988" s="94"/>
      <c r="E988" s="92"/>
      <c r="F988" s="94"/>
      <c r="G988" s="92"/>
      <c r="H988" s="94"/>
      <c r="I988" s="92"/>
      <c r="J988" s="92"/>
      <c r="K988" s="94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8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6"/>
    </row>
    <row r="989">
      <c r="A989" s="92"/>
      <c r="B989" s="93"/>
      <c r="C989" s="92"/>
      <c r="D989" s="94"/>
      <c r="E989" s="92"/>
      <c r="F989" s="94"/>
      <c r="G989" s="92"/>
      <c r="H989" s="94"/>
      <c r="I989" s="92"/>
      <c r="J989" s="92"/>
      <c r="K989" s="94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8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6"/>
    </row>
    <row r="990">
      <c r="A990" s="92"/>
      <c r="B990" s="93"/>
      <c r="C990" s="92"/>
      <c r="D990" s="94"/>
      <c r="E990" s="92"/>
      <c r="F990" s="94"/>
      <c r="G990" s="92"/>
      <c r="H990" s="94"/>
      <c r="I990" s="92"/>
      <c r="J990" s="92"/>
      <c r="K990" s="94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8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6"/>
    </row>
    <row r="991">
      <c r="A991" s="92"/>
      <c r="B991" s="93"/>
      <c r="C991" s="92"/>
      <c r="D991" s="94"/>
      <c r="E991" s="92"/>
      <c r="F991" s="94"/>
      <c r="G991" s="92"/>
      <c r="H991" s="94"/>
      <c r="I991" s="92"/>
      <c r="J991" s="92"/>
      <c r="K991" s="94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8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6"/>
    </row>
    <row r="992">
      <c r="A992" s="92"/>
      <c r="B992" s="93"/>
      <c r="C992" s="92"/>
      <c r="D992" s="94"/>
      <c r="E992" s="92"/>
      <c r="F992" s="94"/>
      <c r="G992" s="92"/>
      <c r="H992" s="94"/>
      <c r="I992" s="92"/>
      <c r="J992" s="92"/>
      <c r="K992" s="94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8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6"/>
    </row>
    <row r="993">
      <c r="A993" s="92"/>
      <c r="B993" s="93"/>
      <c r="C993" s="92"/>
      <c r="D993" s="94"/>
      <c r="E993" s="92"/>
      <c r="F993" s="94"/>
      <c r="G993" s="92"/>
      <c r="H993" s="94"/>
      <c r="I993" s="92"/>
      <c r="J993" s="92"/>
      <c r="K993" s="94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8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6"/>
    </row>
    <row r="994">
      <c r="A994" s="92"/>
      <c r="B994" s="93"/>
      <c r="C994" s="92"/>
      <c r="D994" s="94"/>
      <c r="E994" s="92"/>
      <c r="F994" s="94"/>
      <c r="G994" s="92"/>
      <c r="H994" s="94"/>
      <c r="I994" s="92"/>
      <c r="J994" s="92"/>
      <c r="K994" s="94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8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6"/>
    </row>
    <row r="995">
      <c r="A995" s="92"/>
      <c r="B995" s="93"/>
      <c r="C995" s="92"/>
      <c r="D995" s="94"/>
      <c r="E995" s="92"/>
      <c r="F995" s="94"/>
      <c r="G995" s="92"/>
      <c r="H995" s="94"/>
      <c r="I995" s="92"/>
      <c r="J995" s="92"/>
      <c r="K995" s="94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8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6"/>
    </row>
    <row r="996">
      <c r="A996" s="92"/>
      <c r="B996" s="93"/>
      <c r="C996" s="92"/>
      <c r="D996" s="94"/>
      <c r="E996" s="92"/>
      <c r="F996" s="94"/>
      <c r="G996" s="92"/>
      <c r="H996" s="94"/>
      <c r="I996" s="92"/>
      <c r="J996" s="92"/>
      <c r="K996" s="94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8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6"/>
    </row>
    <row r="997">
      <c r="A997" s="92"/>
      <c r="B997" s="93"/>
      <c r="C997" s="92"/>
      <c r="D997" s="94"/>
      <c r="E997" s="92"/>
      <c r="F997" s="94"/>
      <c r="G997" s="92"/>
      <c r="H997" s="94"/>
      <c r="I997" s="92"/>
      <c r="J997" s="92"/>
      <c r="K997" s="94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8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6"/>
    </row>
    <row r="998">
      <c r="A998" s="92"/>
      <c r="B998" s="93"/>
      <c r="C998" s="92"/>
      <c r="D998" s="94"/>
      <c r="E998" s="92"/>
      <c r="F998" s="94"/>
      <c r="G998" s="92"/>
      <c r="H998" s="94"/>
      <c r="I998" s="92"/>
      <c r="J998" s="92"/>
      <c r="K998" s="94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8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6"/>
    </row>
    <row r="999">
      <c r="A999" s="92"/>
      <c r="B999" s="93"/>
      <c r="C999" s="92"/>
      <c r="D999" s="94"/>
      <c r="E999" s="92"/>
      <c r="F999" s="94"/>
      <c r="G999" s="92"/>
      <c r="H999" s="94"/>
      <c r="I999" s="92"/>
      <c r="J999" s="92"/>
      <c r="K999" s="94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8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6"/>
    </row>
    <row r="1000">
      <c r="A1000" s="92"/>
      <c r="B1000" s="93"/>
      <c r="C1000" s="92"/>
      <c r="D1000" s="94"/>
      <c r="E1000" s="92"/>
      <c r="F1000" s="94"/>
      <c r="G1000" s="92"/>
      <c r="H1000" s="94"/>
      <c r="I1000" s="92"/>
      <c r="J1000" s="92"/>
      <c r="K1000" s="94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8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6"/>
    </row>
    <row r="1001">
      <c r="A1001" s="92"/>
      <c r="B1001" s="93"/>
      <c r="C1001" s="92"/>
      <c r="D1001" s="94"/>
      <c r="E1001" s="92"/>
      <c r="F1001" s="94"/>
      <c r="G1001" s="92"/>
      <c r="H1001" s="94"/>
      <c r="I1001" s="92"/>
      <c r="J1001" s="92"/>
      <c r="K1001" s="94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8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6"/>
    </row>
    <row r="1002">
      <c r="A1002" s="92"/>
      <c r="B1002" s="93"/>
      <c r="C1002" s="92"/>
      <c r="D1002" s="94"/>
      <c r="E1002" s="92"/>
      <c r="F1002" s="94"/>
      <c r="G1002" s="92"/>
      <c r="H1002" s="94"/>
      <c r="I1002" s="92"/>
      <c r="J1002" s="92"/>
      <c r="K1002" s="94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8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6"/>
    </row>
    <row r="1003">
      <c r="A1003" s="92"/>
      <c r="B1003" s="93"/>
      <c r="C1003" s="92"/>
      <c r="D1003" s="94"/>
      <c r="E1003" s="92"/>
      <c r="F1003" s="94"/>
      <c r="G1003" s="92"/>
      <c r="H1003" s="94"/>
      <c r="I1003" s="92"/>
      <c r="J1003" s="92"/>
      <c r="K1003" s="94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8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6"/>
    </row>
    <row r="1004">
      <c r="A1004" s="92"/>
      <c r="B1004" s="93"/>
      <c r="C1004" s="92"/>
      <c r="D1004" s="94"/>
      <c r="E1004" s="92"/>
      <c r="F1004" s="94"/>
      <c r="G1004" s="92"/>
      <c r="H1004" s="94"/>
      <c r="I1004" s="92"/>
      <c r="J1004" s="92"/>
      <c r="K1004" s="94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8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6"/>
    </row>
    <row r="1005">
      <c r="A1005" s="92"/>
      <c r="B1005" s="93"/>
      <c r="C1005" s="92"/>
      <c r="D1005" s="94"/>
      <c r="E1005" s="92"/>
      <c r="F1005" s="94"/>
      <c r="G1005" s="92"/>
      <c r="H1005" s="94"/>
      <c r="I1005" s="92"/>
      <c r="J1005" s="92"/>
      <c r="K1005" s="94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8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6"/>
    </row>
    <row r="1006">
      <c r="A1006" s="92"/>
      <c r="B1006" s="93"/>
      <c r="C1006" s="92"/>
      <c r="D1006" s="94"/>
      <c r="E1006" s="92"/>
      <c r="F1006" s="94"/>
      <c r="G1006" s="92"/>
      <c r="H1006" s="94"/>
      <c r="I1006" s="92"/>
      <c r="J1006" s="92"/>
      <c r="K1006" s="94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8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6"/>
    </row>
    <row r="1007">
      <c r="A1007" s="92"/>
      <c r="B1007" s="93"/>
      <c r="C1007" s="92"/>
      <c r="D1007" s="94"/>
      <c r="E1007" s="92"/>
      <c r="F1007" s="94"/>
      <c r="G1007" s="92"/>
      <c r="H1007" s="94"/>
      <c r="I1007" s="92"/>
      <c r="J1007" s="92"/>
      <c r="K1007" s="94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8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6"/>
    </row>
    <row r="1008">
      <c r="A1008" s="92"/>
      <c r="B1008" s="93"/>
      <c r="C1008" s="92"/>
      <c r="D1008" s="94"/>
      <c r="E1008" s="92"/>
      <c r="F1008" s="94"/>
      <c r="G1008" s="92"/>
      <c r="H1008" s="94"/>
      <c r="I1008" s="92"/>
      <c r="J1008" s="92"/>
      <c r="K1008" s="94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8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6"/>
    </row>
    <row r="1009">
      <c r="A1009" s="92"/>
      <c r="B1009" s="93"/>
      <c r="C1009" s="92"/>
      <c r="D1009" s="94"/>
      <c r="E1009" s="92"/>
      <c r="F1009" s="94"/>
      <c r="G1009" s="92"/>
      <c r="H1009" s="94"/>
      <c r="I1009" s="92"/>
      <c r="J1009" s="92"/>
      <c r="K1009" s="94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8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6"/>
    </row>
    <row r="1010">
      <c r="A1010" s="92"/>
      <c r="B1010" s="93"/>
      <c r="C1010" s="92"/>
      <c r="D1010" s="94"/>
      <c r="E1010" s="92"/>
      <c r="F1010" s="94"/>
      <c r="G1010" s="92"/>
      <c r="H1010" s="94"/>
      <c r="I1010" s="92"/>
      <c r="J1010" s="92"/>
      <c r="K1010" s="94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8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6"/>
    </row>
    <row r="1011">
      <c r="A1011" s="92"/>
      <c r="B1011" s="93"/>
      <c r="C1011" s="92"/>
      <c r="D1011" s="94"/>
      <c r="E1011" s="92"/>
      <c r="F1011" s="94"/>
      <c r="G1011" s="92"/>
      <c r="H1011" s="94"/>
      <c r="I1011" s="92"/>
      <c r="J1011" s="92"/>
      <c r="K1011" s="94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8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6"/>
    </row>
    <row r="1012">
      <c r="A1012" s="92"/>
      <c r="B1012" s="93"/>
      <c r="C1012" s="92"/>
      <c r="D1012" s="94"/>
      <c r="E1012" s="92"/>
      <c r="F1012" s="94"/>
      <c r="G1012" s="92"/>
      <c r="H1012" s="94"/>
      <c r="I1012" s="92"/>
      <c r="J1012" s="92"/>
      <c r="K1012" s="94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8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6"/>
    </row>
    <row r="1013">
      <c r="A1013" s="92"/>
      <c r="B1013" s="93"/>
      <c r="C1013" s="92"/>
      <c r="D1013" s="94"/>
      <c r="E1013" s="92"/>
      <c r="F1013" s="94"/>
      <c r="G1013" s="92"/>
      <c r="H1013" s="94"/>
      <c r="I1013" s="92"/>
      <c r="J1013" s="92"/>
      <c r="K1013" s="94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8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6"/>
    </row>
    <row r="1014">
      <c r="A1014" s="92"/>
      <c r="B1014" s="93"/>
      <c r="C1014" s="92"/>
      <c r="D1014" s="94"/>
      <c r="E1014" s="92"/>
      <c r="F1014" s="94"/>
      <c r="G1014" s="92"/>
      <c r="H1014" s="94"/>
      <c r="I1014" s="92"/>
      <c r="J1014" s="92"/>
      <c r="K1014" s="94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8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6"/>
    </row>
    <row r="1015">
      <c r="A1015" s="92"/>
      <c r="B1015" s="93"/>
      <c r="C1015" s="92"/>
      <c r="D1015" s="94"/>
      <c r="E1015" s="92"/>
      <c r="F1015" s="94"/>
      <c r="G1015" s="92"/>
      <c r="H1015" s="94"/>
      <c r="I1015" s="92"/>
      <c r="J1015" s="92"/>
      <c r="K1015" s="94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8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6"/>
    </row>
    <row r="1016">
      <c r="A1016" s="92"/>
      <c r="B1016" s="93"/>
      <c r="C1016" s="92"/>
      <c r="D1016" s="94"/>
      <c r="E1016" s="92"/>
      <c r="F1016" s="94"/>
      <c r="G1016" s="92"/>
      <c r="H1016" s="94"/>
      <c r="I1016" s="92"/>
      <c r="J1016" s="92"/>
      <c r="K1016" s="94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8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6"/>
    </row>
    <row r="1017">
      <c r="A1017" s="92"/>
      <c r="B1017" s="93"/>
      <c r="C1017" s="92"/>
      <c r="D1017" s="94"/>
      <c r="E1017" s="92"/>
      <c r="F1017" s="94"/>
      <c r="G1017" s="92"/>
      <c r="H1017" s="94"/>
      <c r="I1017" s="92"/>
      <c r="J1017" s="92"/>
      <c r="K1017" s="94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8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6"/>
    </row>
    <row r="1018">
      <c r="A1018" s="92"/>
      <c r="B1018" s="93"/>
      <c r="C1018" s="92"/>
      <c r="D1018" s="94"/>
      <c r="E1018" s="92"/>
      <c r="F1018" s="94"/>
      <c r="G1018" s="92"/>
      <c r="H1018" s="94"/>
      <c r="I1018" s="92"/>
      <c r="J1018" s="92"/>
      <c r="K1018" s="94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8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6"/>
    </row>
    <row r="1019">
      <c r="A1019" s="92"/>
      <c r="B1019" s="93"/>
      <c r="C1019" s="92"/>
      <c r="D1019" s="94"/>
      <c r="E1019" s="92"/>
      <c r="F1019" s="94"/>
      <c r="G1019" s="92"/>
      <c r="H1019" s="94"/>
      <c r="I1019" s="92"/>
      <c r="J1019" s="92"/>
      <c r="K1019" s="94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8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6"/>
    </row>
    <row r="1020">
      <c r="A1020" s="92"/>
      <c r="B1020" s="93"/>
      <c r="C1020" s="92"/>
      <c r="D1020" s="94"/>
      <c r="E1020" s="92"/>
      <c r="F1020" s="94"/>
      <c r="G1020" s="92"/>
      <c r="H1020" s="94"/>
      <c r="I1020" s="92"/>
      <c r="J1020" s="92"/>
      <c r="K1020" s="94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8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6"/>
    </row>
    <row r="1021">
      <c r="A1021" s="92"/>
      <c r="B1021" s="93"/>
      <c r="C1021" s="92"/>
      <c r="D1021" s="94"/>
      <c r="E1021" s="92"/>
      <c r="F1021" s="94"/>
      <c r="G1021" s="92"/>
      <c r="H1021" s="94"/>
      <c r="I1021" s="92"/>
      <c r="J1021" s="92"/>
      <c r="K1021" s="94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8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6"/>
    </row>
    <row r="1022">
      <c r="A1022" s="92"/>
      <c r="B1022" s="93"/>
      <c r="C1022" s="92"/>
      <c r="D1022" s="94"/>
      <c r="E1022" s="92"/>
      <c r="F1022" s="94"/>
      <c r="G1022" s="92"/>
      <c r="H1022" s="94"/>
      <c r="I1022" s="92"/>
      <c r="J1022" s="92"/>
      <c r="K1022" s="94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8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6"/>
    </row>
    <row r="1023">
      <c r="A1023" s="92"/>
      <c r="B1023" s="93"/>
      <c r="C1023" s="92"/>
      <c r="D1023" s="94"/>
      <c r="E1023" s="92"/>
      <c r="F1023" s="94"/>
      <c r="G1023" s="92"/>
      <c r="H1023" s="94"/>
      <c r="I1023" s="92"/>
      <c r="J1023" s="92"/>
      <c r="K1023" s="94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8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6"/>
    </row>
    <row r="1024">
      <c r="A1024" s="92"/>
      <c r="B1024" s="93"/>
      <c r="C1024" s="92"/>
      <c r="D1024" s="94"/>
      <c r="E1024" s="92"/>
      <c r="F1024" s="94"/>
      <c r="G1024" s="92"/>
      <c r="H1024" s="94"/>
      <c r="I1024" s="92"/>
      <c r="J1024" s="92"/>
      <c r="K1024" s="94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8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6"/>
    </row>
    <row r="1025">
      <c r="A1025" s="92"/>
      <c r="B1025" s="93"/>
      <c r="C1025" s="92"/>
      <c r="D1025" s="94"/>
      <c r="E1025" s="92"/>
      <c r="F1025" s="94"/>
      <c r="G1025" s="92"/>
      <c r="H1025" s="94"/>
      <c r="I1025" s="92"/>
      <c r="J1025" s="92"/>
      <c r="K1025" s="94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8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6"/>
    </row>
    <row r="1026">
      <c r="A1026" s="92"/>
      <c r="B1026" s="93"/>
      <c r="C1026" s="92"/>
      <c r="D1026" s="94"/>
      <c r="E1026" s="92"/>
      <c r="F1026" s="94"/>
      <c r="G1026" s="92"/>
      <c r="H1026" s="94"/>
      <c r="I1026" s="92"/>
      <c r="J1026" s="92"/>
      <c r="K1026" s="94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8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6"/>
    </row>
    <row r="1027">
      <c r="A1027" s="92"/>
      <c r="B1027" s="93"/>
      <c r="C1027" s="92"/>
      <c r="D1027" s="94"/>
      <c r="E1027" s="92"/>
      <c r="F1027" s="94"/>
      <c r="G1027" s="92"/>
      <c r="H1027" s="94"/>
      <c r="I1027" s="92"/>
      <c r="J1027" s="92"/>
      <c r="K1027" s="94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8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6"/>
    </row>
    <row r="1028">
      <c r="A1028" s="92"/>
      <c r="B1028" s="93"/>
      <c r="C1028" s="92"/>
      <c r="D1028" s="94"/>
      <c r="E1028" s="92"/>
      <c r="F1028" s="94"/>
      <c r="G1028" s="92"/>
      <c r="H1028" s="94"/>
      <c r="I1028" s="92"/>
      <c r="J1028" s="92"/>
      <c r="K1028" s="94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8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6"/>
    </row>
    <row r="1029">
      <c r="A1029" s="92"/>
      <c r="B1029" s="93"/>
      <c r="C1029" s="92"/>
      <c r="D1029" s="94"/>
      <c r="E1029" s="92"/>
      <c r="F1029" s="94"/>
      <c r="G1029" s="92"/>
      <c r="H1029" s="94"/>
      <c r="I1029" s="92"/>
      <c r="J1029" s="92"/>
      <c r="K1029" s="94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8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6"/>
    </row>
    <row r="1030">
      <c r="A1030" s="92"/>
      <c r="B1030" s="93"/>
      <c r="C1030" s="92"/>
      <c r="D1030" s="94"/>
      <c r="E1030" s="92"/>
      <c r="F1030" s="94"/>
      <c r="G1030" s="92"/>
      <c r="H1030" s="94"/>
      <c r="I1030" s="92"/>
      <c r="J1030" s="92"/>
      <c r="K1030" s="94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8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6"/>
    </row>
    <row r="1031">
      <c r="A1031" s="92"/>
      <c r="B1031" s="93"/>
      <c r="C1031" s="92"/>
      <c r="D1031" s="94"/>
      <c r="E1031" s="92"/>
      <c r="F1031" s="94"/>
      <c r="G1031" s="92"/>
      <c r="H1031" s="94"/>
      <c r="I1031" s="92"/>
      <c r="J1031" s="92"/>
      <c r="K1031" s="94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8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6"/>
    </row>
    <row r="1032">
      <c r="A1032" s="92"/>
      <c r="B1032" s="93"/>
      <c r="C1032" s="92"/>
      <c r="D1032" s="94"/>
      <c r="E1032" s="92"/>
      <c r="F1032" s="94"/>
      <c r="G1032" s="92"/>
      <c r="H1032" s="94"/>
      <c r="I1032" s="92"/>
      <c r="J1032" s="92"/>
      <c r="K1032" s="94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8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6"/>
    </row>
    <row r="1033">
      <c r="A1033" s="92"/>
      <c r="B1033" s="93"/>
      <c r="C1033" s="92"/>
      <c r="D1033" s="94"/>
      <c r="E1033" s="92"/>
      <c r="F1033" s="94"/>
      <c r="G1033" s="92"/>
      <c r="H1033" s="94"/>
      <c r="I1033" s="92"/>
      <c r="J1033" s="92"/>
      <c r="K1033" s="94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8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6"/>
    </row>
    <row r="1034">
      <c r="A1034" s="92"/>
      <c r="B1034" s="93"/>
      <c r="C1034" s="92"/>
      <c r="D1034" s="94"/>
      <c r="E1034" s="92"/>
      <c r="F1034" s="94"/>
      <c r="G1034" s="92"/>
      <c r="H1034" s="94"/>
      <c r="I1034" s="92"/>
      <c r="J1034" s="92"/>
      <c r="K1034" s="94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8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6"/>
    </row>
    <row r="1035">
      <c r="A1035" s="92"/>
      <c r="B1035" s="93"/>
      <c r="C1035" s="92"/>
      <c r="D1035" s="94"/>
      <c r="E1035" s="92"/>
      <c r="F1035" s="94"/>
      <c r="G1035" s="92"/>
      <c r="H1035" s="94"/>
      <c r="I1035" s="92"/>
      <c r="J1035" s="92"/>
      <c r="K1035" s="94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8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6"/>
    </row>
    <row r="1036">
      <c r="A1036" s="92"/>
      <c r="B1036" s="93"/>
      <c r="C1036" s="92"/>
      <c r="D1036" s="94"/>
      <c r="E1036" s="92"/>
      <c r="F1036" s="94"/>
      <c r="G1036" s="92"/>
      <c r="H1036" s="94"/>
      <c r="I1036" s="92"/>
      <c r="J1036" s="92"/>
      <c r="K1036" s="94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8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6"/>
    </row>
    <row r="1037">
      <c r="A1037" s="92"/>
      <c r="B1037" s="93"/>
      <c r="C1037" s="92"/>
      <c r="D1037" s="94"/>
      <c r="E1037" s="92"/>
      <c r="F1037" s="94"/>
      <c r="G1037" s="92"/>
      <c r="H1037" s="94"/>
      <c r="I1037" s="92"/>
      <c r="J1037" s="92"/>
      <c r="K1037" s="94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8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6"/>
    </row>
    <row r="1038">
      <c r="A1038" s="92"/>
      <c r="B1038" s="93"/>
      <c r="C1038" s="92"/>
      <c r="D1038" s="94"/>
      <c r="E1038" s="92"/>
      <c r="F1038" s="94"/>
      <c r="G1038" s="92"/>
      <c r="H1038" s="94"/>
      <c r="I1038" s="92"/>
      <c r="J1038" s="92"/>
      <c r="K1038" s="94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8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6"/>
    </row>
    <row r="1039">
      <c r="A1039" s="92"/>
      <c r="B1039" s="93"/>
      <c r="C1039" s="92"/>
      <c r="D1039" s="94"/>
      <c r="E1039" s="92"/>
      <c r="F1039" s="94"/>
      <c r="G1039" s="92"/>
      <c r="H1039" s="94"/>
      <c r="I1039" s="92"/>
      <c r="J1039" s="92"/>
      <c r="K1039" s="94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8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6"/>
    </row>
    <row r="1040">
      <c r="A1040" s="92"/>
      <c r="B1040" s="93"/>
      <c r="C1040" s="92"/>
      <c r="D1040" s="94"/>
      <c r="E1040" s="92"/>
      <c r="F1040" s="94"/>
      <c r="G1040" s="92"/>
      <c r="H1040" s="94"/>
      <c r="I1040" s="92"/>
      <c r="J1040" s="92"/>
      <c r="K1040" s="94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8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6"/>
    </row>
    <row r="1041">
      <c r="A1041" s="92"/>
      <c r="B1041" s="93"/>
      <c r="C1041" s="92"/>
      <c r="D1041" s="94"/>
      <c r="E1041" s="92"/>
      <c r="F1041" s="94"/>
      <c r="G1041" s="92"/>
      <c r="H1041" s="94"/>
      <c r="I1041" s="92"/>
      <c r="J1041" s="92"/>
      <c r="K1041" s="94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8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6"/>
    </row>
    <row r="1042">
      <c r="A1042" s="92"/>
      <c r="B1042" s="93"/>
      <c r="C1042" s="92"/>
      <c r="D1042" s="94"/>
      <c r="E1042" s="92"/>
      <c r="F1042" s="94"/>
      <c r="G1042" s="92"/>
      <c r="H1042" s="94"/>
      <c r="I1042" s="92"/>
      <c r="J1042" s="92"/>
      <c r="K1042" s="94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8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6"/>
    </row>
    <row r="1043">
      <c r="A1043" s="92"/>
      <c r="B1043" s="93"/>
      <c r="C1043" s="92"/>
      <c r="D1043" s="94"/>
      <c r="E1043" s="92"/>
      <c r="F1043" s="94"/>
      <c r="G1043" s="92"/>
      <c r="H1043" s="94"/>
      <c r="I1043" s="92"/>
      <c r="J1043" s="92"/>
      <c r="K1043" s="94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9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6"/>
    </row>
  </sheetData>
  <mergeCells count="3">
    <mergeCell ref="Z2:Z84"/>
    <mergeCell ref="A85:A86"/>
    <mergeCell ref="B85:Z86"/>
  </mergeCells>
  <hyperlinks>
    <hyperlink r:id="rId1" location="gid=2071355684" ref="AA3"/>
    <hyperlink r:id="rId2" location="gid=0" ref="AA4"/>
    <hyperlink r:id="rId3" ref="AA7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