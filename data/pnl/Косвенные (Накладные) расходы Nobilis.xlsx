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<sst xmlns="http://schemas.openxmlformats.org/spreadsheetml/2006/main" count="1061" uniqueCount="574">
  <si>
    <t xml:space="preserve"> 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</si>
  <si>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</si>
  <si>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</si>
  <si>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</si>
  <si>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</si>
  <si>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</si>
  <si>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</si>
  <si>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</si>
  <si>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Январь</t>
  </si>
  <si>
    <t>Февраль</t>
  </si>
  <si>
    <t>Март</t>
  </si>
  <si>
    <t>Апрель</t>
  </si>
  <si>
    <t>Май</t>
  </si>
  <si>
    <t xml:space="preserve">Дата </t>
  </si>
  <si>
    <t xml:space="preserve">Сумма </t>
  </si>
  <si>
    <t xml:space="preserve">Цель </t>
  </si>
  <si>
    <t xml:space="preserve">Итоговая сумма </t>
  </si>
  <si>
    <t>долг</t>
  </si>
  <si>
    <t xml:space="preserve">Ноутбук для ОП </t>
  </si>
  <si>
    <t>тикток</t>
  </si>
  <si>
    <t>каспи обслуж</t>
  </si>
  <si>
    <t>Налог за снятие</t>
  </si>
  <si>
    <t>наушники для ОП</t>
  </si>
  <si>
    <t>покраска</t>
  </si>
  <si>
    <t>билет Темир</t>
  </si>
  <si>
    <t>вода</t>
  </si>
  <si>
    <t>полиграфия</t>
  </si>
  <si>
    <t>алтел единица</t>
  </si>
  <si>
    <t>ваззап</t>
  </si>
  <si>
    <t>доставка</t>
  </si>
  <si>
    <t>алтел телефония</t>
  </si>
  <si>
    <t>таза жер капитал</t>
  </si>
  <si>
    <t>Бумага</t>
  </si>
  <si>
    <t>Вывеска пред оплата</t>
  </si>
  <si>
    <t>Налог за вывод с тоо</t>
  </si>
  <si>
    <t>Каспи Аружан</t>
  </si>
  <si>
    <t>Ноутбук</t>
  </si>
  <si>
    <t>пицца</t>
  </si>
  <si>
    <t>такси Нуртилеу</t>
  </si>
  <si>
    <t>Налог на снятие</t>
  </si>
  <si>
    <t>Жусан</t>
  </si>
  <si>
    <t>распечатка</t>
  </si>
  <si>
    <t>такси</t>
  </si>
  <si>
    <t>телефония</t>
  </si>
  <si>
    <t>ремонт принтера</t>
  </si>
  <si>
    <t>абон плата</t>
  </si>
  <si>
    <t>Обучение</t>
  </si>
  <si>
    <t>Торт Нурыму</t>
  </si>
  <si>
    <t>цветы Тамирис</t>
  </si>
  <si>
    <t>Парк пикник</t>
  </si>
  <si>
    <t>Гульмира А4</t>
  </si>
  <si>
    <t>разница пленки</t>
  </si>
  <si>
    <t>курьер</t>
  </si>
  <si>
    <t>квартира Темирлан</t>
  </si>
  <si>
    <t xml:space="preserve">вода </t>
  </si>
  <si>
    <t>2,4 нурт</t>
  </si>
  <si>
    <t>склад</t>
  </si>
  <si>
    <t>сантехник</t>
  </si>
  <si>
    <t>нотариус</t>
  </si>
  <si>
    <t>каспи абонплата</t>
  </si>
  <si>
    <t>бумага</t>
  </si>
  <si>
    <t>сварщик</t>
  </si>
  <si>
    <t>вывеска пред оплата</t>
  </si>
  <si>
    <t>Салтанат такси</t>
  </si>
  <si>
    <t xml:space="preserve">полиграфия </t>
  </si>
  <si>
    <t>Тикток</t>
  </si>
  <si>
    <t>курьер блокнот</t>
  </si>
  <si>
    <t>краски</t>
  </si>
  <si>
    <t>закуп прод</t>
  </si>
  <si>
    <t>билет Аружан</t>
  </si>
  <si>
    <t>нур 8 март</t>
  </si>
  <si>
    <t>1 аруж</t>
  </si>
  <si>
    <t>Долг Аружан</t>
  </si>
  <si>
    <t>Возврат Нурай</t>
  </si>
  <si>
    <t>ремонт камеры</t>
  </si>
  <si>
    <t>резка для бумаги</t>
  </si>
  <si>
    <t>цветы Олжас</t>
  </si>
  <si>
    <t>хедхантр</t>
  </si>
  <si>
    <t xml:space="preserve">сладости </t>
  </si>
  <si>
    <t>такси Бухар Жырау</t>
  </si>
  <si>
    <t xml:space="preserve">пицца доплата </t>
  </si>
  <si>
    <t xml:space="preserve">такси  </t>
  </si>
  <si>
    <t>билет Нуртилеу</t>
  </si>
  <si>
    <t>пред опл цветы</t>
  </si>
  <si>
    <t>тильда</t>
  </si>
  <si>
    <t>Кред салта</t>
  </si>
  <si>
    <t>возврат алимаргулан</t>
  </si>
  <si>
    <t>Алимаргулан возврат</t>
  </si>
  <si>
    <t>Блок питания</t>
  </si>
  <si>
    <t>хэдхантер</t>
  </si>
  <si>
    <t>журналист Мадо</t>
  </si>
  <si>
    <t>печать факсимиле</t>
  </si>
  <si>
    <t>удлинитель</t>
  </si>
  <si>
    <t>такси Нуртилеу Ехпо</t>
  </si>
  <si>
    <t>напитки</t>
  </si>
  <si>
    <t>млн-50 риксос-100 зп Бейбит-100 Аманжол</t>
  </si>
  <si>
    <t>елка</t>
  </si>
  <si>
    <t>вода Атырау</t>
  </si>
  <si>
    <t>обед</t>
  </si>
  <si>
    <t>подарок 8 март</t>
  </si>
  <si>
    <t>Мирас школа</t>
  </si>
  <si>
    <t>поллиргафия</t>
  </si>
  <si>
    <t>печать</t>
  </si>
  <si>
    <t>конц товары</t>
  </si>
  <si>
    <t>трубы</t>
  </si>
  <si>
    <t>аванс СММ</t>
  </si>
  <si>
    <t>Риксос</t>
  </si>
  <si>
    <t>роутер</t>
  </si>
  <si>
    <t>за такси школа</t>
  </si>
  <si>
    <t>магазин</t>
  </si>
  <si>
    <t>цветы доплата</t>
  </si>
  <si>
    <t>возврат курсы</t>
  </si>
  <si>
    <t>цон переоформление</t>
  </si>
  <si>
    <t>Возрат Асельхан</t>
  </si>
  <si>
    <t>оплата на ТОО</t>
  </si>
  <si>
    <t>электрик</t>
  </si>
  <si>
    <t>журнал</t>
  </si>
  <si>
    <t xml:space="preserve">такси Нуртилеу </t>
  </si>
  <si>
    <t>гирлянды</t>
  </si>
  <si>
    <t>диас сат</t>
  </si>
  <si>
    <t>еда</t>
  </si>
  <si>
    <t>налог за снятие</t>
  </si>
  <si>
    <t>конц товры</t>
  </si>
  <si>
    <t>А4 бумага</t>
  </si>
  <si>
    <t>принтер</t>
  </si>
  <si>
    <t>пробный урок препод</t>
  </si>
  <si>
    <t>распечатка пред оплата 50проц</t>
  </si>
  <si>
    <t>концелярия</t>
  </si>
  <si>
    <t>Конц товары</t>
  </si>
  <si>
    <t>Асылхан за уч</t>
  </si>
  <si>
    <t>молоко</t>
  </si>
  <si>
    <t>грузчики</t>
  </si>
  <si>
    <t>бумага А4</t>
  </si>
  <si>
    <t>Возврат Айнур</t>
  </si>
  <si>
    <t>ершики</t>
  </si>
  <si>
    <t>2 часа айлтс</t>
  </si>
  <si>
    <t>камеры и юбка для флага</t>
  </si>
  <si>
    <t>кабель для принтера</t>
  </si>
  <si>
    <t>райдер кальян</t>
  </si>
  <si>
    <t>Мебель для Каб встречи</t>
  </si>
  <si>
    <t>Асылхан Мирас</t>
  </si>
  <si>
    <t>курьер еда</t>
  </si>
  <si>
    <t>седушки для туалета</t>
  </si>
  <si>
    <t>кред нобилис</t>
  </si>
  <si>
    <t>отвертка</t>
  </si>
  <si>
    <t>Пред оплата неон</t>
  </si>
  <si>
    <t>комиссия перевода 3800</t>
  </si>
  <si>
    <t>Депозит офис астана</t>
  </si>
  <si>
    <t>возврат пред оплаты</t>
  </si>
  <si>
    <t>фрион кондер</t>
  </si>
  <si>
    <t>Видегораф и студия</t>
  </si>
  <si>
    <t>вывеска остаток</t>
  </si>
  <si>
    <t>адоб подписка</t>
  </si>
  <si>
    <t>Пополнение Жусан</t>
  </si>
  <si>
    <t>такси РУВД</t>
  </si>
  <si>
    <t xml:space="preserve">молоко </t>
  </si>
  <si>
    <t>кофебум еда</t>
  </si>
  <si>
    <t>тарелки</t>
  </si>
  <si>
    <t>Камила лекарство</t>
  </si>
  <si>
    <t>ремон уборный</t>
  </si>
  <si>
    <t>чатгпт</t>
  </si>
  <si>
    <t>сертификат</t>
  </si>
  <si>
    <t>Аванс Бейбут</t>
  </si>
  <si>
    <t>офис эксперт</t>
  </si>
  <si>
    <t>такси Квантум Асхат Дархан</t>
  </si>
  <si>
    <t>картридж</t>
  </si>
  <si>
    <t>шкаф ключ</t>
  </si>
  <si>
    <t>соки</t>
  </si>
  <si>
    <t>заправка картриджа</t>
  </si>
  <si>
    <t>налог</t>
  </si>
  <si>
    <t>краски строймат</t>
  </si>
  <si>
    <t>принтер и краска</t>
  </si>
  <si>
    <t>зп за май Асхат</t>
  </si>
  <si>
    <t>стикер</t>
  </si>
  <si>
    <t>Оплата услуг каспи</t>
  </si>
  <si>
    <t>Возврат Марат</t>
  </si>
  <si>
    <t>такси помещение</t>
  </si>
  <si>
    <t>остаток</t>
  </si>
  <si>
    <t>вайлбериз</t>
  </si>
  <si>
    <t>квартира за 2 дня с депоз 10к</t>
  </si>
  <si>
    <t>кофе долг</t>
  </si>
  <si>
    <t>доставка со склада</t>
  </si>
  <si>
    <t>зп за май салтанат</t>
  </si>
  <si>
    <t>Теннисный набор</t>
  </si>
  <si>
    <t>Наушники</t>
  </si>
  <si>
    <t>магнум салфетки, конфеты</t>
  </si>
  <si>
    <t xml:space="preserve">курьер </t>
  </si>
  <si>
    <t>стакан печенье</t>
  </si>
  <si>
    <t>за снятие вывески</t>
  </si>
  <si>
    <t>за АстанаСу</t>
  </si>
  <si>
    <t>Офис эксперт концелярия</t>
  </si>
  <si>
    <t>тильда год</t>
  </si>
  <si>
    <t>выключатели</t>
  </si>
  <si>
    <t>31.09.2025</t>
  </si>
  <si>
    <t>еда хэллоуин</t>
  </si>
  <si>
    <t>Аванс Салтанат за июнь</t>
  </si>
  <si>
    <t>Macbook</t>
  </si>
  <si>
    <t>Дархан школы</t>
  </si>
  <si>
    <t>тряпка хлор</t>
  </si>
  <si>
    <t>Аманат долг</t>
  </si>
  <si>
    <t>видеорегистратор</t>
  </si>
  <si>
    <t>конфеты хэлоуин</t>
  </si>
  <si>
    <t>зп Кундызай юрист</t>
  </si>
  <si>
    <t>пленка</t>
  </si>
  <si>
    <t>Асхат уни</t>
  </si>
  <si>
    <t>пицца суши</t>
  </si>
  <si>
    <t>пред оплата неон</t>
  </si>
  <si>
    <t>2 кресла</t>
  </si>
  <si>
    <t>лопата</t>
  </si>
  <si>
    <t>стройматер</t>
  </si>
  <si>
    <t>Аванс Кундызай</t>
  </si>
  <si>
    <t>табличка</t>
  </si>
  <si>
    <t>Одежда</t>
  </si>
  <si>
    <t>Аманат</t>
  </si>
  <si>
    <t>снимем у сотр</t>
  </si>
  <si>
    <t>Торт для крео</t>
  </si>
  <si>
    <t>замок для шкафа</t>
  </si>
  <si>
    <t xml:space="preserve">сим карта </t>
  </si>
  <si>
    <t>диффузор 3шт</t>
  </si>
  <si>
    <t>Jusan Marketing</t>
  </si>
  <si>
    <t>наклейки</t>
  </si>
  <si>
    <t>курьер лампочки</t>
  </si>
  <si>
    <t>Картридж</t>
  </si>
  <si>
    <t>полки</t>
  </si>
  <si>
    <t>студия</t>
  </si>
  <si>
    <t>смеситель</t>
  </si>
  <si>
    <t>Kaspi Pay</t>
  </si>
  <si>
    <t>неон пред оплата</t>
  </si>
  <si>
    <t>Бейджики</t>
  </si>
  <si>
    <t>курьер ноут</t>
  </si>
  <si>
    <t>молоко печенье</t>
  </si>
  <si>
    <t>Темир</t>
  </si>
  <si>
    <t>за квартиру</t>
  </si>
  <si>
    <t>модель Данеля</t>
  </si>
  <si>
    <t>ком усл кунаева</t>
  </si>
  <si>
    <t>Султан за покраску</t>
  </si>
  <si>
    <t>Асхат блогер</t>
  </si>
  <si>
    <t>Неон доплата</t>
  </si>
  <si>
    <t>Бекмухамбет зп остаток</t>
  </si>
  <si>
    <t>за воду Салта</t>
  </si>
  <si>
    <t>магазин стик</t>
  </si>
  <si>
    <t>аренда склад</t>
  </si>
  <si>
    <t>нурт</t>
  </si>
  <si>
    <t>альфасрм</t>
  </si>
  <si>
    <t>Билет Самолет</t>
  </si>
  <si>
    <t>Краник муж туалет</t>
  </si>
  <si>
    <t>Адиль спикер обед</t>
  </si>
  <si>
    <t>Ресепшн пред оплата</t>
  </si>
  <si>
    <t>замок</t>
  </si>
  <si>
    <t>Картриджи</t>
  </si>
  <si>
    <t>кск кунаева за вывеску</t>
  </si>
  <si>
    <t>анель каспимагаз</t>
  </si>
  <si>
    <t>Мадияр аванс</t>
  </si>
  <si>
    <t>Книги и Ежедневники</t>
  </si>
  <si>
    <t>Нават профессора</t>
  </si>
  <si>
    <t>Инста галочка</t>
  </si>
  <si>
    <t>цветы</t>
  </si>
  <si>
    <t>аванс Темир</t>
  </si>
  <si>
    <t>грузсчики и газель</t>
  </si>
  <si>
    <t>возврат курсы индивид</t>
  </si>
  <si>
    <t>расходы</t>
  </si>
  <si>
    <t>обед журналист</t>
  </si>
  <si>
    <t>такси за турк</t>
  </si>
  <si>
    <t>Стол кухня</t>
  </si>
  <si>
    <t>Нуртилеу</t>
  </si>
  <si>
    <t>1С</t>
  </si>
  <si>
    <t xml:space="preserve">петличка </t>
  </si>
  <si>
    <t>пред оплата Стаканы</t>
  </si>
  <si>
    <t>Асхату от комп</t>
  </si>
  <si>
    <t>жусан</t>
  </si>
  <si>
    <t>магазин вода</t>
  </si>
  <si>
    <t>мама Динары</t>
  </si>
  <si>
    <t>фототовары</t>
  </si>
  <si>
    <t>Асхат SАТ</t>
  </si>
  <si>
    <t>Офис эксперт</t>
  </si>
  <si>
    <t xml:space="preserve">планшет </t>
  </si>
  <si>
    <t>такси школа</t>
  </si>
  <si>
    <t>игры</t>
  </si>
  <si>
    <t>курьер ноутбук</t>
  </si>
  <si>
    <t>камила такси</t>
  </si>
  <si>
    <t>алиса</t>
  </si>
  <si>
    <t>такси в школы Дархан Аружан</t>
  </si>
  <si>
    <t>мус ведро</t>
  </si>
  <si>
    <t>домик</t>
  </si>
  <si>
    <t>курьер зарядка для ноутбук</t>
  </si>
  <si>
    <t xml:space="preserve">такси </t>
  </si>
  <si>
    <t>гив</t>
  </si>
  <si>
    <t>Доставка картриджей</t>
  </si>
  <si>
    <t>за такси</t>
  </si>
  <si>
    <t>курьер моноблок</t>
  </si>
  <si>
    <t>подстаканник</t>
  </si>
  <si>
    <t>распечатка Атырау</t>
  </si>
  <si>
    <t>Тепловизор трубы</t>
  </si>
  <si>
    <t>Самолет дархан</t>
  </si>
  <si>
    <t>доплата Стаканы</t>
  </si>
  <si>
    <t xml:space="preserve">ремонт стульев </t>
  </si>
  <si>
    <t>парты атырау</t>
  </si>
  <si>
    <t>Тикток таргет</t>
  </si>
  <si>
    <t>коммиссия банка</t>
  </si>
  <si>
    <t>2гис отзыв удаление</t>
  </si>
  <si>
    <t>Флаг</t>
  </si>
  <si>
    <t>электричество</t>
  </si>
  <si>
    <t>зета мебель атырау</t>
  </si>
  <si>
    <t>билет</t>
  </si>
  <si>
    <t>ДР Асель</t>
  </si>
  <si>
    <t>Перегородка</t>
  </si>
  <si>
    <t>парты доплата</t>
  </si>
  <si>
    <t>кымыз коже самса</t>
  </si>
  <si>
    <t>Хоум кредит активация счета</t>
  </si>
  <si>
    <t>Аптечка</t>
  </si>
  <si>
    <t>за диагностику</t>
  </si>
  <si>
    <t>бейдж</t>
  </si>
  <si>
    <t>реклама Атырау</t>
  </si>
  <si>
    <t>Эльвира бумаж полот</t>
  </si>
  <si>
    <t>1 блок А4</t>
  </si>
  <si>
    <t>Концелярия офис эксперт</t>
  </si>
  <si>
    <t>Асхат обед</t>
  </si>
  <si>
    <t>кофе офис</t>
  </si>
  <si>
    <t>учи зп</t>
  </si>
  <si>
    <t>Малика</t>
  </si>
  <si>
    <t>обучение 999</t>
  </si>
  <si>
    <t>Снятие</t>
  </si>
  <si>
    <t>чайник</t>
  </si>
  <si>
    <t>битрикс</t>
  </si>
  <si>
    <t>аружан смм зп</t>
  </si>
  <si>
    <t>доставка флага</t>
  </si>
  <si>
    <t>Препод стажировка</t>
  </si>
  <si>
    <t>ДР Алмат</t>
  </si>
  <si>
    <t>Риэлтор</t>
  </si>
  <si>
    <t>блокноты</t>
  </si>
  <si>
    <t>Газель</t>
  </si>
  <si>
    <t xml:space="preserve">Оркен </t>
  </si>
  <si>
    <t>Курьер</t>
  </si>
  <si>
    <t>Макбук</t>
  </si>
  <si>
    <t>холодильник</t>
  </si>
  <si>
    <t>починка</t>
  </si>
  <si>
    <t>Грузчики</t>
  </si>
  <si>
    <t>кисточка для краски</t>
  </si>
  <si>
    <t>тикток таргет</t>
  </si>
  <si>
    <t>Визитки</t>
  </si>
  <si>
    <t>Книги</t>
  </si>
  <si>
    <t>коврик доставка</t>
  </si>
  <si>
    <t xml:space="preserve">Темирлан за квартиру </t>
  </si>
  <si>
    <t>Стаканы</t>
  </si>
  <si>
    <t>макбук</t>
  </si>
  <si>
    <t>Алмат</t>
  </si>
  <si>
    <t>хз</t>
  </si>
  <si>
    <t>НУ Асхат</t>
  </si>
  <si>
    <t>вешалки</t>
  </si>
  <si>
    <t>Учет бухгалтерия</t>
  </si>
  <si>
    <t>доставка Атырау</t>
  </si>
  <si>
    <t>Книги и Ежедневники доплата</t>
  </si>
  <si>
    <t>обед кванум</t>
  </si>
  <si>
    <t>сейф</t>
  </si>
  <si>
    <t>сборка</t>
  </si>
  <si>
    <t>на дорогу</t>
  </si>
  <si>
    <t>пуфик 50% оплата</t>
  </si>
  <si>
    <t xml:space="preserve">конфеты молоко </t>
  </si>
  <si>
    <t>Зердели проф кофе</t>
  </si>
  <si>
    <t xml:space="preserve">принтер </t>
  </si>
  <si>
    <t>галочка инста</t>
  </si>
  <si>
    <t>полиаграфия сертификаты</t>
  </si>
  <si>
    <t>такси на 2 встречи</t>
  </si>
  <si>
    <t>реклама рассылка</t>
  </si>
  <si>
    <t>МВД РК</t>
  </si>
  <si>
    <t>Встреча Нуртилеу</t>
  </si>
  <si>
    <t>ИИ Ватсап</t>
  </si>
  <si>
    <t xml:space="preserve">коврик  </t>
  </si>
  <si>
    <t>обогреватель</t>
  </si>
  <si>
    <t xml:space="preserve">оплатить тикток </t>
  </si>
  <si>
    <t>Темирлан</t>
  </si>
  <si>
    <t>парты стулья</t>
  </si>
  <si>
    <t>кондер</t>
  </si>
  <si>
    <t xml:space="preserve">Асылхан </t>
  </si>
  <si>
    <t>Студия</t>
  </si>
  <si>
    <t>ДР Аруна</t>
  </si>
  <si>
    <t>вывеска наклейка</t>
  </si>
  <si>
    <t xml:space="preserve">Эльвира </t>
  </si>
  <si>
    <t>швабра</t>
  </si>
  <si>
    <t>Хоз товары</t>
  </si>
  <si>
    <t>мышки</t>
  </si>
  <si>
    <t>абди Атырау</t>
  </si>
  <si>
    <t>Анель</t>
  </si>
  <si>
    <t>за хоз, приборы тд</t>
  </si>
  <si>
    <t>заделывание стены нов офис</t>
  </si>
  <si>
    <t>Альфасрм</t>
  </si>
  <si>
    <t>Мышка</t>
  </si>
  <si>
    <t>бумажные салфетки</t>
  </si>
  <si>
    <t xml:space="preserve">Али </t>
  </si>
  <si>
    <t>еда на мк</t>
  </si>
  <si>
    <t>папка Меру</t>
  </si>
  <si>
    <t>аренда помещения Атырау</t>
  </si>
  <si>
    <t>интернет</t>
  </si>
  <si>
    <t>гофра сантехник</t>
  </si>
  <si>
    <t>Коммунальные услуги</t>
  </si>
  <si>
    <t>кулер Атырау</t>
  </si>
  <si>
    <t>стаканы</t>
  </si>
  <si>
    <t>Батарейки</t>
  </si>
  <si>
    <t>Озге партнерство</t>
  </si>
  <si>
    <t>такси Гульмира артем</t>
  </si>
  <si>
    <t>ресепшн Атырау</t>
  </si>
  <si>
    <t>лям</t>
  </si>
  <si>
    <t xml:space="preserve">2гис отзывы </t>
  </si>
  <si>
    <t>такси Учредитель</t>
  </si>
  <si>
    <t>Интерактивная доска</t>
  </si>
  <si>
    <t>ключи</t>
  </si>
  <si>
    <t>напитки для учеников</t>
  </si>
  <si>
    <t>кабель</t>
  </si>
  <si>
    <t>мышки Атырау</t>
  </si>
  <si>
    <t>вывеска</t>
  </si>
  <si>
    <t>Аманжол</t>
  </si>
  <si>
    <t>ковер</t>
  </si>
  <si>
    <t>хозка</t>
  </si>
  <si>
    <t>Дархан встреча</t>
  </si>
  <si>
    <t>за воду</t>
  </si>
  <si>
    <t>такси Дархан</t>
  </si>
  <si>
    <t>изг ключей</t>
  </si>
  <si>
    <t>билет Атырау</t>
  </si>
  <si>
    <t>такси УО</t>
  </si>
  <si>
    <t>ноутбук ремонт</t>
  </si>
  <si>
    <t>торт Атырау упр обр</t>
  </si>
  <si>
    <t>Алмат обед Тамос</t>
  </si>
  <si>
    <t>Пуфики и доставка</t>
  </si>
  <si>
    <t>аптечка</t>
  </si>
  <si>
    <t xml:space="preserve">пол </t>
  </si>
  <si>
    <t>такси НИШ</t>
  </si>
  <si>
    <t>каз шоколад 25шт</t>
  </si>
  <si>
    <t>курьер Озге</t>
  </si>
  <si>
    <t>блокнот</t>
  </si>
  <si>
    <t>Нурым ключ</t>
  </si>
  <si>
    <t>Актриса</t>
  </si>
  <si>
    <t>вешалка Атырау</t>
  </si>
  <si>
    <t>Доплата за вывеску</t>
  </si>
  <si>
    <t>диспенсер для бумаги</t>
  </si>
  <si>
    <t>доставка стулья</t>
  </si>
  <si>
    <t>Билет в Атырау</t>
  </si>
  <si>
    <t>шоппер</t>
  </si>
  <si>
    <t>Зеркало</t>
  </si>
  <si>
    <t>Худи Футб доплата</t>
  </si>
  <si>
    <t>доски</t>
  </si>
  <si>
    <t>Кв Атырау</t>
  </si>
  <si>
    <t>пуфики 10шт</t>
  </si>
  <si>
    <t>доставка пуфиков</t>
  </si>
  <si>
    <t>предоп аппаратура</t>
  </si>
  <si>
    <t>аренда</t>
  </si>
  <si>
    <t>Айгерим актриса</t>
  </si>
  <si>
    <t>подарки</t>
  </si>
  <si>
    <t>депоз</t>
  </si>
  <si>
    <t>Вебинар</t>
  </si>
  <si>
    <t>дифуззор</t>
  </si>
  <si>
    <t xml:space="preserve">аренда </t>
  </si>
  <si>
    <t>СММ Малазия</t>
  </si>
  <si>
    <t>Доставка Парты 1 часть</t>
  </si>
  <si>
    <t>боксы пакеты</t>
  </si>
  <si>
    <t>Вакансии ОЛХ</t>
  </si>
  <si>
    <t>Вакансия телеграм</t>
  </si>
  <si>
    <t>такси Малайзия</t>
  </si>
  <si>
    <t>строй материалы</t>
  </si>
  <si>
    <t>торт для кск</t>
  </si>
  <si>
    <t xml:space="preserve">Дика блогер </t>
  </si>
  <si>
    <t>снять вывеску</t>
  </si>
  <si>
    <t>багаж</t>
  </si>
  <si>
    <t>шруповерт</t>
  </si>
  <si>
    <t>таргет на тикток подписчики</t>
  </si>
  <si>
    <t>по налу</t>
  </si>
  <si>
    <t>Доставка Парты остаток</t>
  </si>
  <si>
    <t>комиссия</t>
  </si>
  <si>
    <t>такси до строй магаз</t>
  </si>
  <si>
    <t>дорога Темир такси школа</t>
  </si>
  <si>
    <t>донер абл и нурым за то что грузчики</t>
  </si>
  <si>
    <t>доставка худи</t>
  </si>
  <si>
    <t>Краски</t>
  </si>
  <si>
    <t>конфеты</t>
  </si>
  <si>
    <t>материалы для краски</t>
  </si>
  <si>
    <t>кафель</t>
  </si>
  <si>
    <t>такси до офиса</t>
  </si>
  <si>
    <t>сладости</t>
  </si>
  <si>
    <t>салфетки, стаканы</t>
  </si>
  <si>
    <t>закуп уд с сотрудников</t>
  </si>
  <si>
    <t>фото видео сьем 120000</t>
  </si>
  <si>
    <t>номер</t>
  </si>
  <si>
    <t>ведущий 170000</t>
  </si>
  <si>
    <t>Курьер до офиса</t>
  </si>
  <si>
    <t>интернет менеджеру</t>
  </si>
  <si>
    <t>шоппер стакан 50%</t>
  </si>
  <si>
    <t>Такси до зеты</t>
  </si>
  <si>
    <t>Балкарагай</t>
  </si>
  <si>
    <t>собрать парты</t>
  </si>
  <si>
    <t>покраска стены</t>
  </si>
  <si>
    <t>фуршет</t>
  </si>
  <si>
    <t>замена замка</t>
  </si>
  <si>
    <t>доставка пуфики</t>
  </si>
  <si>
    <t>Вынос мусора</t>
  </si>
  <si>
    <t>замена света</t>
  </si>
  <si>
    <t>телефон</t>
  </si>
  <si>
    <t>зета</t>
  </si>
  <si>
    <t>стеллажи</t>
  </si>
  <si>
    <t xml:space="preserve">Светильник </t>
  </si>
  <si>
    <t>сбор парт</t>
  </si>
  <si>
    <t>Декор для каб марк</t>
  </si>
  <si>
    <t xml:space="preserve">Ресепшн </t>
  </si>
  <si>
    <t>квартира</t>
  </si>
  <si>
    <t>доставка товаров в офис</t>
  </si>
  <si>
    <t>Замок</t>
  </si>
  <si>
    <t>стол кухня</t>
  </si>
  <si>
    <t xml:space="preserve">цветы </t>
  </si>
  <si>
    <t>доставка лампочек</t>
  </si>
  <si>
    <t>Собрать стеллаж</t>
  </si>
  <si>
    <t>Маркерные доски 6 шт</t>
  </si>
  <si>
    <t>корпорат с сотр удерж</t>
  </si>
  <si>
    <t>куллер</t>
  </si>
  <si>
    <t>квартира на 2 дня</t>
  </si>
  <si>
    <t>книги</t>
  </si>
  <si>
    <t>лампочки 12 шт</t>
  </si>
  <si>
    <t xml:space="preserve">бензин </t>
  </si>
  <si>
    <t>валик</t>
  </si>
  <si>
    <t>шары скотч</t>
  </si>
  <si>
    <t>земля</t>
  </si>
  <si>
    <t>покраска каб Проф Ориент</t>
  </si>
  <si>
    <t>парты поднять</t>
  </si>
  <si>
    <t>Вода в нов офис</t>
  </si>
  <si>
    <t>бокалы</t>
  </si>
  <si>
    <t>Эльвира уборка</t>
  </si>
  <si>
    <t xml:space="preserve">шампанское </t>
  </si>
  <si>
    <t>доп наклейки, ресепшн, сертификат</t>
  </si>
  <si>
    <t>штатиф</t>
  </si>
  <si>
    <t xml:space="preserve">скрыть провода </t>
  </si>
  <si>
    <t>блогер</t>
  </si>
  <si>
    <t>стол</t>
  </si>
  <si>
    <t>торт</t>
  </si>
  <si>
    <t>столик</t>
  </si>
  <si>
    <t>кресло</t>
  </si>
  <si>
    <t>лампа</t>
  </si>
  <si>
    <t>Строиматериалы перегородка</t>
  </si>
  <si>
    <t>за работу перегородк</t>
  </si>
  <si>
    <t>строиматериалы перегородка</t>
  </si>
  <si>
    <t xml:space="preserve">аванс Анель </t>
  </si>
  <si>
    <t xml:space="preserve">микроволновка </t>
  </si>
  <si>
    <t>Вывеска Атырау</t>
  </si>
  <si>
    <t>Bitrix</t>
  </si>
  <si>
    <t>кульер</t>
  </si>
  <si>
    <t>Возврат Малика</t>
  </si>
  <si>
    <t>краски, товары на хэллоуин</t>
  </si>
  <si>
    <t>комуналка офис астана</t>
  </si>
  <si>
    <t>Баннер Атырау</t>
  </si>
  <si>
    <t>скотч двух</t>
  </si>
  <si>
    <t>ведущий</t>
  </si>
  <si>
    <t>возврат клиенту Китай</t>
  </si>
  <si>
    <t>предоплата аппаратура</t>
  </si>
  <si>
    <t>кофе</t>
  </si>
  <si>
    <t>фотограф</t>
  </si>
  <si>
    <t xml:space="preserve">гирлянды </t>
  </si>
  <si>
    <t xml:space="preserve">скрипач </t>
  </si>
  <si>
    <t>сим карта</t>
  </si>
  <si>
    <t>видеограф</t>
  </si>
  <si>
    <t>тыква</t>
  </si>
  <si>
    <t>фотограф 2</t>
  </si>
  <si>
    <t>вешалка</t>
  </si>
  <si>
    <t>свечки</t>
  </si>
  <si>
    <t>доставка пуфик</t>
  </si>
  <si>
    <t>держ дл туал,бум полотенца тд</t>
  </si>
  <si>
    <t>Нурт продукты</t>
  </si>
  <si>
    <t>мадияру за дорогу</t>
  </si>
  <si>
    <t>под пакеты</t>
  </si>
  <si>
    <t>каз шоколад</t>
  </si>
  <si>
    <t>капкат</t>
  </si>
  <si>
    <t>пицца ссуши</t>
  </si>
  <si>
    <t xml:space="preserve">напитки </t>
  </si>
  <si>
    <t>альбини сникерс</t>
  </si>
  <si>
    <t>смм Атырау</t>
  </si>
  <si>
    <t>коркем дизайн</t>
  </si>
  <si>
    <t xml:space="preserve">распечатка,подарок </t>
  </si>
  <si>
    <t>квартира Алмат</t>
  </si>
  <si>
    <t>доставка ресепшн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</si>
</sst>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.mm"/>
    <numFmt numFmtId="165" formatCode="[$₸]#,##0"/>
    <numFmt numFmtId="166" formatCode="d.m"/>
    <numFmt numFmtId="167" formatCode="dd.mm.yyyy"/>
  </numFmts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  <font>
      <sz val="9.0"/>
      <color rgb="FF000000"/>
      <name val="&quot;Google Sans Mono&quot;"/>
    </font>
    <font>
      <sz val="9.0"/>
      <color theme="1"/>
      <name val="Google Sans Mono"/>
    </font>
    <font>
      <color rgb="FF000000"/>
      <name val="Arial"/>
      <scheme val="minor"/>
    </font>
    <font>
      <i/>
      <color theme="1"/>
      <name val="Arial"/>
    </font>
    <font>
      <sz val="10.0"/>
      <color rgb="FF363636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06666"/>
        <bgColor rgb="FFE06666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DD7E6B"/>
        <bgColor rgb="FFDD7E6B"/>
      </patternFill>
    </fill>
    <fill>
      <patternFill patternType="solid">
        <fgColor rgb="FFFFE599"/>
        <bgColor rgb="FFFFE599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 shrinkToFit="0" wrapText="1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shrinkToFit="0" vertical="bottom" wrapText="1"/>
    </xf>
    <xf borderId="0" fillId="0" fontId="3" numFmtId="0" xfId="0" applyAlignment="1" applyFont="1">
      <alignment horizontal="center" vertical="bottom"/>
    </xf>
    <xf borderId="1" fillId="0" fontId="4" numFmtId="164" xfId="0" applyAlignment="1" applyBorder="1" applyFont="1" applyNumberFormat="1">
      <alignment readingOrder="0"/>
    </xf>
    <xf borderId="1" fillId="0" fontId="4" numFmtId="165" xfId="0" applyAlignment="1" applyBorder="1" applyFont="1" applyNumberFormat="1">
      <alignment readingOrder="0"/>
    </xf>
    <xf borderId="1" fillId="0" fontId="4" numFmtId="0" xfId="0" applyAlignment="1" applyBorder="1" applyFont="1">
      <alignment readingOrder="0" shrinkToFit="0" wrapText="1"/>
    </xf>
    <xf borderId="1" fillId="0" fontId="4" numFmtId="165" xfId="0" applyBorder="1" applyFont="1" applyNumberFormat="1"/>
    <xf borderId="1" fillId="2" fontId="4" numFmtId="0" xfId="0" applyAlignment="1" applyBorder="1" applyFill="1" applyFont="1">
      <alignment readingOrder="0" shrinkToFit="0" wrapText="1"/>
    </xf>
    <xf borderId="1" fillId="3" fontId="4" numFmtId="0" xfId="0" applyAlignment="1" applyBorder="1" applyFill="1" applyFont="1">
      <alignment readingOrder="0" shrinkToFit="0" wrapText="1"/>
    </xf>
    <xf borderId="1" fillId="0" fontId="4" numFmtId="166" xfId="0" applyAlignment="1" applyBorder="1" applyFont="1" applyNumberFormat="1">
      <alignment readingOrder="0"/>
    </xf>
    <xf borderId="1" fillId="0" fontId="4" numFmtId="0" xfId="0" applyAlignment="1" applyBorder="1" applyFont="1">
      <alignment readingOrder="0"/>
    </xf>
    <xf borderId="1" fillId="3" fontId="4" numFmtId="0" xfId="0" applyAlignment="1" applyBorder="1" applyFont="1">
      <alignment readingOrder="0"/>
    </xf>
    <xf borderId="1" fillId="4" fontId="4" numFmtId="0" xfId="0" applyAlignment="1" applyBorder="1" applyFill="1" applyFont="1">
      <alignment readingOrder="0"/>
    </xf>
    <xf borderId="0" fillId="0" fontId="4" numFmtId="0" xfId="0" applyAlignment="1" applyFont="1">
      <alignment readingOrder="0"/>
    </xf>
    <xf borderId="0" fillId="0" fontId="4" numFmtId="165" xfId="0" applyFont="1" applyNumberFormat="1"/>
    <xf borderId="1" fillId="0" fontId="2" numFmtId="166" xfId="0" applyAlignment="1" applyBorder="1" applyFont="1" applyNumberFormat="1">
      <alignment horizontal="right" readingOrder="0" vertical="bottom"/>
    </xf>
    <xf borderId="1" fillId="3" fontId="2" numFmtId="165" xfId="0" applyAlignment="1" applyBorder="1" applyFont="1" applyNumberFormat="1">
      <alignment horizontal="right" readingOrder="0" vertical="bottom"/>
    </xf>
    <xf borderId="1" fillId="0" fontId="2" numFmtId="165" xfId="0" applyAlignment="1" applyBorder="1" applyFont="1" applyNumberFormat="1">
      <alignment readingOrder="0" vertical="bottom"/>
    </xf>
    <xf borderId="1" fillId="3" fontId="2" numFmtId="165" xfId="0" applyAlignment="1" applyBorder="1" applyFont="1" applyNumberFormat="1">
      <alignment horizontal="right" vertical="bottom"/>
    </xf>
    <xf borderId="1" fillId="0" fontId="2" numFmtId="165" xfId="0" applyAlignment="1" applyBorder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1" fillId="0" fontId="2" numFmtId="166" xfId="0" applyAlignment="1" applyBorder="1" applyFont="1" applyNumberFormat="1">
      <alignment horizontal="right" vertical="bottom"/>
    </xf>
    <xf borderId="1" fillId="0" fontId="2" numFmtId="165" xfId="0" applyAlignment="1" applyBorder="1" applyFont="1" applyNumberFormat="1">
      <alignment vertical="bottom"/>
    </xf>
    <xf borderId="1" fillId="0" fontId="2" numFmtId="165" xfId="0" applyAlignment="1" applyBorder="1" applyFont="1" applyNumberFormat="1">
      <alignment horizontal="right" readingOrder="0" vertical="bottom"/>
    </xf>
    <xf borderId="1" fillId="5" fontId="2" numFmtId="165" xfId="0" applyAlignment="1" applyBorder="1" applyFill="1" applyFont="1" applyNumberFormat="1">
      <alignment readingOrder="0" vertical="bottom"/>
    </xf>
    <xf borderId="1" fillId="0" fontId="2" numFmtId="167" xfId="0" applyAlignment="1" applyBorder="1" applyFont="1" applyNumberFormat="1">
      <alignment horizontal="right" readingOrder="0" vertical="bottom"/>
    </xf>
    <xf borderId="1" fillId="3" fontId="2" numFmtId="165" xfId="0" applyAlignment="1" applyBorder="1" applyFont="1" applyNumberFormat="1">
      <alignment readingOrder="0" vertical="bottom"/>
    </xf>
    <xf borderId="0" fillId="0" fontId="4" numFmtId="0" xfId="0" applyFont="1"/>
    <xf borderId="1" fillId="0" fontId="4" numFmtId="0" xfId="0" applyBorder="1" applyFont="1"/>
    <xf borderId="1" fillId="3" fontId="2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1" fillId="0" fontId="2" numFmtId="164" xfId="0" applyAlignment="1" applyBorder="1" applyFont="1" applyNumberFormat="1">
      <alignment horizontal="right" readingOrder="0" vertical="bottom"/>
    </xf>
    <xf borderId="1" fillId="0" fontId="2" numFmtId="164" xfId="0" applyAlignment="1" applyBorder="1" applyFont="1" applyNumberFormat="1">
      <alignment horizontal="right" vertical="bottom"/>
    </xf>
    <xf borderId="1" fillId="3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horizontal="right" readingOrder="0" vertical="bottom"/>
    </xf>
    <xf borderId="1" fillId="5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2" numFmtId="164" xfId="0" applyAlignment="1" applyBorder="1" applyFont="1" applyNumberFormat="1">
      <alignment readingOrder="0" vertical="bottom"/>
    </xf>
    <xf borderId="1" fillId="2" fontId="2" numFmtId="0" xfId="0" applyAlignment="1" applyBorder="1" applyFont="1">
      <alignment readingOrder="0" vertical="bottom"/>
    </xf>
    <xf borderId="1" fillId="3" fontId="2" numFmtId="0" xfId="0" applyAlignment="1" applyBorder="1" applyFont="1">
      <alignment readingOrder="0" vertical="bottom"/>
    </xf>
    <xf borderId="1" fillId="6" fontId="2" numFmtId="0" xfId="0" applyAlignment="1" applyBorder="1" applyFill="1" applyFont="1">
      <alignment readingOrder="0" vertical="bottom"/>
    </xf>
    <xf borderId="1" fillId="4" fontId="2" numFmtId="0" xfId="0" applyAlignment="1" applyBorder="1" applyFont="1">
      <alignment readingOrder="0" vertical="bottom"/>
    </xf>
    <xf borderId="0" fillId="0" fontId="4" numFmtId="165" xfId="0" applyAlignment="1" applyFont="1" applyNumberFormat="1">
      <alignment readingOrder="0"/>
    </xf>
    <xf borderId="1" fillId="3" fontId="2" numFmtId="0" xfId="0" applyAlignment="1" applyBorder="1" applyFont="1">
      <alignment vertical="bottom"/>
    </xf>
    <xf borderId="0" fillId="6" fontId="5" numFmtId="0" xfId="0" applyFont="1"/>
    <xf borderId="1" fillId="7" fontId="4" numFmtId="0" xfId="0" applyAlignment="1" applyBorder="1" applyFill="1" applyFont="1">
      <alignment readingOrder="0"/>
    </xf>
    <xf borderId="1" fillId="6" fontId="5" numFmtId="164" xfId="0" applyAlignment="1" applyBorder="1" applyFont="1" applyNumberFormat="1">
      <alignment readingOrder="0"/>
    </xf>
    <xf borderId="1" fillId="3" fontId="5" numFmtId="0" xfId="0" applyAlignment="1" applyBorder="1" applyFont="1">
      <alignment readingOrder="0"/>
    </xf>
    <xf borderId="1" fillId="6" fontId="5" numFmtId="0" xfId="0" applyAlignment="1" applyBorder="1" applyFont="1">
      <alignment readingOrder="0"/>
    </xf>
    <xf borderId="1" fillId="6" fontId="5" numFmtId="0" xfId="0" applyBorder="1" applyFont="1"/>
    <xf borderId="1" fillId="0" fontId="6" numFmtId="0" xfId="0" applyAlignment="1" applyBorder="1" applyFont="1">
      <alignment horizontal="right" readingOrder="0" vertical="bottom"/>
    </xf>
    <xf borderId="1" fillId="6" fontId="6" numFmtId="0" xfId="0" applyAlignment="1" applyBorder="1" applyFont="1">
      <alignment readingOrder="0" vertical="bottom"/>
    </xf>
    <xf borderId="1" fillId="6" fontId="2" numFmtId="0" xfId="0" applyAlignment="1" applyBorder="1" applyFont="1">
      <alignment vertical="bottom"/>
    </xf>
    <xf borderId="1" fillId="6" fontId="6" numFmtId="164" xfId="0" applyAlignment="1" applyBorder="1" applyFont="1" applyNumberFormat="1">
      <alignment horizontal="right" readingOrder="0" vertical="bottom"/>
    </xf>
    <xf borderId="1" fillId="6" fontId="6" numFmtId="0" xfId="0" applyAlignment="1" applyBorder="1" applyFont="1">
      <alignment horizontal="right" readingOrder="0" vertical="bottom"/>
    </xf>
    <xf borderId="1" fillId="4" fontId="6" numFmtId="0" xfId="0" applyAlignment="1" applyBorder="1" applyFont="1">
      <alignment readingOrder="0" vertical="bottom"/>
    </xf>
    <xf borderId="0" fillId="6" fontId="2" numFmtId="0" xfId="0" applyAlignment="1" applyFont="1">
      <alignment vertical="bottom"/>
    </xf>
    <xf borderId="1" fillId="6" fontId="2" numFmtId="164" xfId="0" applyAlignment="1" applyBorder="1" applyFont="1" applyNumberFormat="1">
      <alignment vertical="bottom"/>
    </xf>
    <xf borderId="1" fillId="5" fontId="4" numFmtId="0" xfId="0" applyAlignment="1" applyBorder="1" applyFont="1">
      <alignment readingOrder="0"/>
    </xf>
    <xf borderId="0" fillId="0" fontId="4" numFmtId="164" xfId="0" applyAlignment="1" applyFont="1" applyNumberFormat="1">
      <alignment readingOrder="0"/>
    </xf>
    <xf borderId="1" fillId="4" fontId="4" numFmtId="0" xfId="0" applyAlignment="1" applyBorder="1" applyFont="1">
      <alignment readingOrder="0" shrinkToFit="0" wrapText="1"/>
    </xf>
    <xf borderId="1" fillId="3" fontId="7" numFmtId="0" xfId="0" applyAlignment="1" applyBorder="1" applyFont="1">
      <alignment readingOrder="0" shrinkToFit="0" wrapText="1"/>
    </xf>
    <xf borderId="1" fillId="8" fontId="2" numFmtId="0" xfId="0" applyAlignment="1" applyBorder="1" applyFill="1" applyFont="1">
      <alignment readingOrder="0" vertical="bottom"/>
    </xf>
    <xf borderId="1" fillId="2" fontId="4" numFmtId="0" xfId="0" applyAlignment="1" applyBorder="1" applyFont="1">
      <alignment readingOrder="0"/>
    </xf>
    <xf borderId="1" fillId="3" fontId="4" numFmtId="165" xfId="0" applyAlignment="1" applyBorder="1" applyFont="1" applyNumberFormat="1">
      <alignment readingOrder="0"/>
    </xf>
    <xf borderId="1" fillId="5" fontId="4" numFmtId="0" xfId="0" applyAlignment="1" applyBorder="1" applyFont="1">
      <alignment readingOrder="0" shrinkToFit="0" wrapText="1"/>
    </xf>
    <xf borderId="1" fillId="9" fontId="4" numFmtId="0" xfId="0" applyAlignment="1" applyBorder="1" applyFill="1" applyFont="1">
      <alignment readingOrder="0" shrinkToFit="0" wrapText="1"/>
    </xf>
    <xf borderId="1" fillId="4" fontId="2" numFmtId="0" xfId="0" applyAlignment="1" applyBorder="1" applyFont="1">
      <alignment readingOrder="0" shrinkToFit="0" vertical="bottom" wrapText="1"/>
    </xf>
    <xf borderId="1" fillId="0" fontId="4" numFmtId="0" xfId="0" applyAlignment="1" applyBorder="1" applyFont="1">
      <alignment shrinkToFit="0" wrapText="1"/>
    </xf>
    <xf borderId="1" fillId="10" fontId="2" numFmtId="0" xfId="0" applyAlignment="1" applyBorder="1" applyFill="1" applyFont="1">
      <alignment readingOrder="0" vertical="bottom"/>
    </xf>
    <xf borderId="1" fillId="6" fontId="4" numFmtId="0" xfId="0" applyAlignment="1" applyBorder="1" applyFont="1">
      <alignment readingOrder="0"/>
    </xf>
    <xf borderId="0" fillId="0" fontId="2" numFmtId="0" xfId="0" applyAlignment="1" applyFont="1">
      <alignment readingOrder="0" vertical="bottom"/>
    </xf>
    <xf borderId="0" fillId="0" fontId="8" numFmtId="0" xfId="0" applyAlignment="1" applyFont="1">
      <alignment vertical="bottom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  <xf borderId="1" fillId="9" fontId="2" numFmtId="0" xfId="0" applyAlignment="1" applyBorder="1" applyFont="1">
      <alignment readingOrder="0" vertical="bottom"/>
    </xf>
    <xf borderId="0" fillId="0" fontId="9" numFmtId="0" xfId="0" applyAlignment="1" applyFont="1">
      <alignment readingOrder="0"/>
    </xf>
    <xf borderId="0" fillId="6" fontId="9" numFmtId="0" xfId="0" applyAlignment="1" applyFont="1">
      <alignment readingOrder="0"/>
    </xf>
    <xf borderId="1" fillId="0" fontId="2" numFmtId="166" xfId="0" applyAlignment="1" applyBorder="1" applyFont="1" applyNumberFormat="1">
      <alignment readingOrder="0" vertical="bottom"/>
    </xf>
    <xf borderId="1" fillId="3" fontId="4" numFmtId="0" xfId="0" applyBorder="1" applyFont="1"/>
    <xf borderId="0" fillId="0" fontId="4" numFmtId="166" xfId="0" applyAlignment="1" applyFont="1" applyNumberFormat="1">
      <alignment readingOrder="0"/>
    </xf>
    <xf borderId="0" fillId="6" fontId="5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13"/>
    <col customWidth="1" min="4" max="4" width="14.75"/>
    <col customWidth="1" min="6" max="6" width="12.13"/>
    <col customWidth="1" min="8" max="8" width="26.5"/>
    <col customWidth="1" min="9" max="9" width="15.0"/>
    <col customWidth="1" min="12" max="12" width="16.5"/>
    <col customWidth="1" min="13" max="13" width="27.5"/>
    <col customWidth="1" min="14" max="14" width="18.88"/>
    <col customWidth="1" min="16" max="16" width="12.5"/>
    <col customWidth="1" min="18" max="18" width="33.5"/>
    <col customWidth="1" min="19" max="19" width="19.88"/>
    <col customWidth="1" min="23" max="23" width="36.0"/>
    <col customWidth="1" min="24" max="24" width="20.38"/>
    <col customWidth="1" min="27" max="27" width="14.75"/>
    <col customWidth="1" min="28" max="28" width="37.75"/>
    <col customWidth="1" min="29" max="29" width="21.25"/>
    <col customWidth="1" min="32" max="32" width="13.75"/>
    <col customWidth="1" min="33" max="33" width="28.38"/>
    <col customWidth="1" min="34" max="34" width="16.38"/>
    <col customWidth="1" min="37" max="37" width="13.75"/>
    <col customWidth="1" min="38" max="38" width="28.38"/>
    <col customWidth="1" min="39" max="40" width="16.38"/>
    <col customWidth="1" min="41" max="41" width="20.88"/>
    <col customWidth="1" min="42" max="42" width="13.75"/>
    <col customWidth="1" min="43" max="43" width="28.38"/>
    <col customWidth="1" min="44" max="45" width="16.38"/>
    <col customWidth="1" min="46" max="46" width="20.88"/>
    <col customWidth="1" min="47" max="47" width="13.75"/>
    <col customWidth="1" min="48" max="48" width="28.38"/>
    <col customWidth="1" min="49" max="50" width="16.38"/>
    <col customWidth="1" min="51" max="51" width="20.88"/>
    <col customWidth="1" min="52" max="52" width="13.75"/>
    <col customWidth="1" min="53" max="53" width="28.38"/>
    <col customWidth="1" min="54" max="62" width="16.38"/>
    <col customWidth="1" min="63" max="63" width="23.38"/>
    <col customWidth="1" min="64" max="82" width="16.38"/>
    <col customWidth="1" min="83" max="83" width="21.88"/>
    <col customWidth="1" min="84" max="87" width="16.38"/>
    <col customWidth="1" min="88" max="88" width="17.63"/>
    <col customWidth="1" min="89" max="91" width="16.38"/>
  </cols>
  <sheetData>
    <row r="1">
      <c r="A1" s="1" t="s">
        <v>0</v>
      </c>
      <c r="B1" s="1"/>
      <c r="C1" s="2"/>
      <c r="BI1" s="3"/>
      <c r="BJ1" s="3"/>
      <c r="BK1" s="3"/>
      <c r="BL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</row>
    <row r="2">
      <c r="A2" s="1" t="s">
        <v>1</v>
      </c>
      <c r="B2" s="1"/>
      <c r="C2" s="2"/>
      <c r="F2" s="1" t="s">
        <v>2</v>
      </c>
      <c r="G2" s="1"/>
      <c r="H2" s="2"/>
      <c r="K2" s="1" t="s">
        <v>3</v>
      </c>
      <c r="L2" s="1"/>
      <c r="M2" s="2"/>
      <c r="P2" s="1" t="s">
        <v>4</v>
      </c>
      <c r="Q2" s="1"/>
      <c r="R2" s="2"/>
      <c r="U2" s="1" t="s">
        <v>5</v>
      </c>
      <c r="V2" s="1"/>
      <c r="W2" s="2"/>
      <c r="Z2" s="1" t="s">
        <v>6</v>
      </c>
      <c r="AA2" s="1"/>
      <c r="AB2" s="2"/>
      <c r="AE2" s="4" t="s">
        <v>7</v>
      </c>
      <c r="AJ2" s="4" t="s">
        <v>8</v>
      </c>
      <c r="AO2" s="4" t="s">
        <v>9</v>
      </c>
      <c r="AT2" s="4" t="s">
        <v>10</v>
      </c>
      <c r="AY2" s="4" t="s">
        <v>11</v>
      </c>
      <c r="BD2" s="4" t="s">
        <v>12</v>
      </c>
      <c r="BI2" s="5" t="s">
        <v>1</v>
      </c>
      <c r="BJ2" s="3"/>
      <c r="BK2" s="3"/>
      <c r="BL2" s="3"/>
      <c r="BN2" s="5" t="s">
        <v>2</v>
      </c>
      <c r="BO2" s="3"/>
      <c r="BP2" s="3"/>
      <c r="BQ2" s="3"/>
      <c r="BR2" s="3"/>
      <c r="BS2" s="5" t="s">
        <v>3</v>
      </c>
      <c r="BT2" s="3"/>
      <c r="BU2" s="3"/>
      <c r="BV2" s="3"/>
      <c r="BW2" s="3"/>
      <c r="BX2" s="5" t="s">
        <v>4</v>
      </c>
      <c r="BY2" s="3"/>
      <c r="BZ2" s="3"/>
      <c r="CA2" s="3"/>
      <c r="CB2" s="3"/>
      <c r="CC2" s="5" t="s">
        <v>5</v>
      </c>
      <c r="CD2" s="3"/>
      <c r="CE2" s="3"/>
      <c r="CF2" s="3"/>
      <c r="CG2" s="3"/>
      <c r="CH2" s="5" t="s">
        <v>6</v>
      </c>
      <c r="CI2" s="3"/>
      <c r="CJ2" s="3"/>
      <c r="CK2" s="3"/>
      <c r="CL2" s="3"/>
      <c r="CM2" s="3"/>
    </row>
    <row r="3">
      <c r="A3" s="6" t="s">
        <v>13</v>
      </c>
      <c r="B3" s="6" t="s">
        <v>14</v>
      </c>
      <c r="C3" s="7" t="s">
        <v>15</v>
      </c>
      <c r="D3" s="6" t="s">
        <v>16</v>
      </c>
      <c r="F3" s="6" t="s">
        <v>13</v>
      </c>
      <c r="G3" s="6" t="s">
        <v>14</v>
      </c>
      <c r="H3" s="7" t="s">
        <v>15</v>
      </c>
      <c r="I3" s="6" t="s">
        <v>16</v>
      </c>
      <c r="K3" s="6" t="s">
        <v>13</v>
      </c>
      <c r="L3" s="6" t="s">
        <v>14</v>
      </c>
      <c r="M3" s="7" t="s">
        <v>15</v>
      </c>
      <c r="N3" s="6" t="s">
        <v>16</v>
      </c>
      <c r="P3" s="6" t="s">
        <v>13</v>
      </c>
      <c r="Q3" s="6" t="s">
        <v>14</v>
      </c>
      <c r="R3" s="7" t="s">
        <v>15</v>
      </c>
      <c r="S3" s="6" t="s">
        <v>16</v>
      </c>
      <c r="U3" s="6" t="s">
        <v>13</v>
      </c>
      <c r="V3" s="6" t="s">
        <v>14</v>
      </c>
      <c r="W3" s="7" t="s">
        <v>15</v>
      </c>
      <c r="X3" s="6" t="s">
        <v>16</v>
      </c>
      <c r="Z3" s="6" t="s">
        <v>13</v>
      </c>
      <c r="AA3" s="6" t="s">
        <v>14</v>
      </c>
      <c r="AB3" s="7" t="s">
        <v>15</v>
      </c>
      <c r="AC3" s="6" t="s">
        <v>16</v>
      </c>
      <c r="AE3" s="6" t="s">
        <v>13</v>
      </c>
      <c r="AF3" s="6" t="s">
        <v>14</v>
      </c>
      <c r="AG3" s="7" t="s">
        <v>15</v>
      </c>
      <c r="AH3" s="6" t="s">
        <v>16</v>
      </c>
      <c r="AJ3" s="6" t="s">
        <v>13</v>
      </c>
      <c r="AK3" s="6" t="s">
        <v>14</v>
      </c>
      <c r="AL3" s="7" t="s">
        <v>15</v>
      </c>
      <c r="AM3" s="6" t="s">
        <v>16</v>
      </c>
      <c r="AN3" s="1" t="s">
        <v>17</v>
      </c>
      <c r="AO3" s="6" t="s">
        <v>13</v>
      </c>
      <c r="AP3" s="6" t="s">
        <v>14</v>
      </c>
      <c r="AQ3" s="7" t="s">
        <v>15</v>
      </c>
      <c r="AR3" s="6" t="s">
        <v>16</v>
      </c>
      <c r="AS3" s="1"/>
      <c r="AT3" s="6" t="s">
        <v>13</v>
      </c>
      <c r="AU3" s="6" t="s">
        <v>14</v>
      </c>
      <c r="AV3" s="7" t="s">
        <v>15</v>
      </c>
      <c r="AW3" s="6" t="s">
        <v>16</v>
      </c>
      <c r="AX3" s="1"/>
      <c r="AY3" s="6" t="s">
        <v>13</v>
      </c>
      <c r="AZ3" s="6" t="s">
        <v>14</v>
      </c>
      <c r="BA3" s="7" t="s">
        <v>15</v>
      </c>
      <c r="BB3" s="6" t="s">
        <v>16</v>
      </c>
      <c r="BC3" s="1"/>
      <c r="BD3" s="6" t="s">
        <v>13</v>
      </c>
      <c r="BE3" s="6" t="s">
        <v>14</v>
      </c>
      <c r="BF3" s="7" t="s">
        <v>15</v>
      </c>
      <c r="BG3" s="6" t="s">
        <v>16</v>
      </c>
      <c r="BH3" s="1"/>
      <c r="BI3" s="8" t="s">
        <v>13</v>
      </c>
      <c r="BJ3" s="8" t="s">
        <v>14</v>
      </c>
      <c r="BK3" s="9" t="s">
        <v>15</v>
      </c>
      <c r="BL3" s="8" t="s">
        <v>16</v>
      </c>
      <c r="BM3" s="1"/>
      <c r="BN3" s="8" t="s">
        <v>13</v>
      </c>
      <c r="BO3" s="8" t="s">
        <v>14</v>
      </c>
      <c r="BP3" s="9" t="s">
        <v>15</v>
      </c>
      <c r="BQ3" s="8" t="s">
        <v>16</v>
      </c>
      <c r="BR3" s="10"/>
      <c r="BS3" s="8" t="s">
        <v>13</v>
      </c>
      <c r="BT3" s="8" t="s">
        <v>14</v>
      </c>
      <c r="BU3" s="9" t="s">
        <v>15</v>
      </c>
      <c r="BV3" s="8" t="s">
        <v>16</v>
      </c>
      <c r="BW3" s="10"/>
      <c r="BX3" s="8" t="s">
        <v>13</v>
      </c>
      <c r="BY3" s="8" t="s">
        <v>14</v>
      </c>
      <c r="BZ3" s="9" t="s">
        <v>15</v>
      </c>
      <c r="CA3" s="8" t="s">
        <v>16</v>
      </c>
      <c r="CB3" s="10"/>
      <c r="CC3" s="8" t="s">
        <v>13</v>
      </c>
      <c r="CD3" s="8" t="s">
        <v>14</v>
      </c>
      <c r="CE3" s="9" t="s">
        <v>15</v>
      </c>
      <c r="CF3" s="8" t="s">
        <v>16</v>
      </c>
      <c r="CG3" s="10"/>
      <c r="CH3" s="8" t="s">
        <v>13</v>
      </c>
      <c r="CI3" s="8" t="s">
        <v>14</v>
      </c>
      <c r="CJ3" s="9" t="s">
        <v>15</v>
      </c>
      <c r="CK3" s="8" t="s">
        <v>16</v>
      </c>
      <c r="CL3" s="10"/>
      <c r="CM3" s="10"/>
    </row>
    <row r="4">
      <c r="A4" s="11">
        <v>45460.0</v>
      </c>
      <c r="B4" s="12">
        <v>140000.0</v>
      </c>
      <c r="C4" s="13" t="s">
        <v>18</v>
      </c>
      <c r="D4" s="14">
        <f>SUM(B4:B32)</f>
        <v>2241343</v>
      </c>
      <c r="F4" s="11">
        <v>45474.0</v>
      </c>
      <c r="G4" s="12">
        <v>166479.0</v>
      </c>
      <c r="H4" s="13" t="s">
        <v>19</v>
      </c>
      <c r="I4" s="14">
        <f>SUM(G4:G48)</f>
        <v>2100461</v>
      </c>
      <c r="K4" s="11">
        <v>45505.0</v>
      </c>
      <c r="L4" s="12">
        <v>1950.0</v>
      </c>
      <c r="M4" s="15" t="s">
        <v>20</v>
      </c>
      <c r="N4" s="14">
        <f>SUM(L4:L59)</f>
        <v>2249923</v>
      </c>
      <c r="P4" s="11">
        <v>45537.0</v>
      </c>
      <c r="Q4" s="12">
        <v>19000.0</v>
      </c>
      <c r="R4" s="15" t="s">
        <v>21</v>
      </c>
      <c r="S4" s="14">
        <f>SUM(Q4:Q59)</f>
        <v>3583028</v>
      </c>
      <c r="U4" s="11">
        <v>45566.0</v>
      </c>
      <c r="V4" s="12">
        <v>1950.0</v>
      </c>
      <c r="W4" s="15" t="s">
        <v>20</v>
      </c>
      <c r="X4" s="14">
        <f>SUM(V4:V150)</f>
        <v>12380933</v>
      </c>
      <c r="Z4" s="11">
        <v>45597.0</v>
      </c>
      <c r="AA4" s="12">
        <v>28895.0</v>
      </c>
      <c r="AB4" s="16" t="s">
        <v>22</v>
      </c>
      <c r="AC4" s="14">
        <f>SUM(AA4:AA150)</f>
        <v>5989349</v>
      </c>
      <c r="AE4" s="17">
        <v>45627.0</v>
      </c>
      <c r="AF4" s="18">
        <v>35000.0</v>
      </c>
      <c r="AG4" s="19" t="s">
        <v>23</v>
      </c>
      <c r="AH4" s="14">
        <f>SUM(AF4:AF180)</f>
        <v>8848078</v>
      </c>
      <c r="AJ4" s="17">
        <v>45659.0</v>
      </c>
      <c r="AK4" s="18">
        <v>1950.0</v>
      </c>
      <c r="AL4" s="20" t="s">
        <v>20</v>
      </c>
      <c r="AM4" s="14">
        <f>SUM(AK4:AK180)</f>
        <v>2809639</v>
      </c>
      <c r="AN4" s="21">
        <v>1400000.0</v>
      </c>
      <c r="AO4" s="17">
        <v>45691.0</v>
      </c>
      <c r="AP4" s="19">
        <v>40400.0</v>
      </c>
      <c r="AQ4" s="18" t="s">
        <v>24</v>
      </c>
      <c r="AR4" s="14">
        <f>SUM(AP4:AP180)</f>
        <v>1790968</v>
      </c>
      <c r="AT4" s="17">
        <v>45719.0</v>
      </c>
      <c r="AU4" s="19">
        <v>5400.0</v>
      </c>
      <c r="AV4" s="18" t="s">
        <v>25</v>
      </c>
      <c r="AW4" s="14">
        <f>SUM(AU4:AU180)</f>
        <v>710687</v>
      </c>
      <c r="AY4" s="17">
        <v>45749.0</v>
      </c>
      <c r="AZ4" s="19">
        <v>3300.0</v>
      </c>
      <c r="BA4" s="18" t="s">
        <v>26</v>
      </c>
      <c r="BB4" s="14">
        <f>SUM(AZ4:AZ180)</f>
        <v>354638</v>
      </c>
      <c r="BC4" s="22"/>
      <c r="BD4" s="17">
        <v>45781.0</v>
      </c>
      <c r="BE4" s="19">
        <v>5000.0</v>
      </c>
      <c r="BF4" s="18" t="s">
        <v>27</v>
      </c>
      <c r="BG4" s="14">
        <f>SUM(BE4:BE180)</f>
        <v>351634</v>
      </c>
      <c r="BH4" s="22"/>
      <c r="BI4" s="23">
        <v>45841.0</v>
      </c>
      <c r="BJ4" s="24">
        <v>36000.0</v>
      </c>
      <c r="BK4" s="25" t="s">
        <v>28</v>
      </c>
      <c r="BL4" s="14">
        <f>SUM(BJ4:BJ180)</f>
        <v>622357</v>
      </c>
      <c r="BM4" s="22"/>
      <c r="BN4" s="23">
        <v>45852.0</v>
      </c>
      <c r="BO4" s="26">
        <f>1760+620</f>
        <v>2380</v>
      </c>
      <c r="BP4" s="25" t="s">
        <v>29</v>
      </c>
      <c r="BQ4" s="27">
        <f>SUM(BO4:BO180)</f>
        <v>624070</v>
      </c>
      <c r="BR4" s="28"/>
      <c r="BS4" s="29">
        <v>45844.0</v>
      </c>
      <c r="BT4" s="26">
        <f>1760+620</f>
        <v>2380</v>
      </c>
      <c r="BU4" s="30" t="s">
        <v>29</v>
      </c>
      <c r="BV4" s="27">
        <f>SUM(BT4:BT180)</f>
        <v>1759199</v>
      </c>
      <c r="BW4" s="28"/>
      <c r="BX4" s="23">
        <v>45901.0</v>
      </c>
      <c r="BY4" s="31">
        <v>68000.0</v>
      </c>
      <c r="BZ4" s="25" t="s">
        <v>30</v>
      </c>
      <c r="CA4" s="27">
        <f>SUM(BY4:BY180)</f>
        <v>670311</v>
      </c>
      <c r="CB4" s="28"/>
      <c r="CC4" s="23">
        <v>45901.0</v>
      </c>
      <c r="CD4" s="31">
        <v>32230.0</v>
      </c>
      <c r="CE4" s="32" t="s">
        <v>31</v>
      </c>
      <c r="CF4" s="27">
        <f>SUM(CD4:CD180)</f>
        <v>1568589</v>
      </c>
      <c r="CG4" s="28"/>
      <c r="CH4" s="33">
        <v>45962.0</v>
      </c>
      <c r="CI4" s="31">
        <v>2800.0</v>
      </c>
      <c r="CJ4" s="34" t="s">
        <v>32</v>
      </c>
      <c r="CK4" s="27">
        <f>SUM(CI4:CI180)</f>
        <v>244138</v>
      </c>
      <c r="CL4" s="28"/>
      <c r="CM4" s="28"/>
    </row>
    <row r="5">
      <c r="A5" s="11">
        <v>45460.0</v>
      </c>
      <c r="B5" s="12">
        <v>80000.0</v>
      </c>
      <c r="C5" s="13" t="s">
        <v>33</v>
      </c>
      <c r="F5" s="11">
        <v>45474.0</v>
      </c>
      <c r="G5" s="12">
        <v>55135.0</v>
      </c>
      <c r="H5" s="13" t="s">
        <v>34</v>
      </c>
      <c r="K5" s="11">
        <v>45506.0</v>
      </c>
      <c r="L5" s="12">
        <v>4000.0</v>
      </c>
      <c r="M5" s="15" t="s">
        <v>21</v>
      </c>
      <c r="N5" s="21" t="s">
        <v>35</v>
      </c>
      <c r="P5" s="11">
        <v>45537.0</v>
      </c>
      <c r="Q5" s="12">
        <v>75000.0</v>
      </c>
      <c r="R5" s="16" t="s">
        <v>36</v>
      </c>
      <c r="S5" s="21" t="s">
        <v>35</v>
      </c>
      <c r="U5" s="11">
        <v>45566.0</v>
      </c>
      <c r="V5" s="12">
        <v>22142.0</v>
      </c>
      <c r="W5" s="15" t="s">
        <v>21</v>
      </c>
      <c r="X5" s="21" t="s">
        <v>35</v>
      </c>
      <c r="Z5" s="11">
        <v>45597.0</v>
      </c>
      <c r="AA5" s="12">
        <v>15000.0</v>
      </c>
      <c r="AB5" s="16" t="s">
        <v>37</v>
      </c>
      <c r="AC5" s="21" t="s">
        <v>35</v>
      </c>
      <c r="AE5" s="11">
        <v>45628.0</v>
      </c>
      <c r="AF5" s="18">
        <v>3980.0</v>
      </c>
      <c r="AG5" s="19" t="s">
        <v>38</v>
      </c>
      <c r="AJ5" s="17">
        <v>45659.0</v>
      </c>
      <c r="AK5" s="18">
        <v>12000.0</v>
      </c>
      <c r="AL5" s="20" t="s">
        <v>39</v>
      </c>
      <c r="AO5" s="17">
        <v>45691.0</v>
      </c>
      <c r="AP5" s="19">
        <v>202000.0</v>
      </c>
      <c r="AQ5" s="18" t="s">
        <v>40</v>
      </c>
      <c r="AR5" s="35">
        <f>115000-262462-AP4-AP5-AP6-10000</f>
        <v>-404362</v>
      </c>
      <c r="AT5" s="17">
        <v>45719.0</v>
      </c>
      <c r="AU5" s="19">
        <v>2000.0</v>
      </c>
      <c r="AV5" s="18" t="s">
        <v>41</v>
      </c>
      <c r="AW5" s="21">
        <f>52976-AU4-AU5-AU6-AU7-AU17-AU18-AU19</f>
        <v>24994</v>
      </c>
      <c r="AY5" s="17">
        <v>45749.0</v>
      </c>
      <c r="AZ5" s="19">
        <v>1290.0</v>
      </c>
      <c r="BA5" s="18" t="s">
        <v>42</v>
      </c>
      <c r="BD5" s="11">
        <v>45785.0</v>
      </c>
      <c r="BE5" s="19">
        <v>140000.0</v>
      </c>
      <c r="BF5" s="18" t="s">
        <v>43</v>
      </c>
      <c r="BG5" s="36"/>
      <c r="BI5" s="23">
        <v>45841.0</v>
      </c>
      <c r="BJ5" s="37">
        <v>10000.0</v>
      </c>
      <c r="BK5" s="38" t="s">
        <v>28</v>
      </c>
      <c r="BL5" s="39"/>
      <c r="BN5" s="40">
        <v>45852.0</v>
      </c>
      <c r="BO5" s="37">
        <v>5600.0</v>
      </c>
      <c r="BP5" s="38" t="s">
        <v>25</v>
      </c>
      <c r="BQ5" s="39"/>
      <c r="BR5" s="3"/>
      <c r="BS5" s="41">
        <v>45844.0</v>
      </c>
      <c r="BT5" s="42">
        <v>5600.0</v>
      </c>
      <c r="BU5" s="39" t="s">
        <v>25</v>
      </c>
      <c r="BV5" s="39"/>
      <c r="BW5" s="3"/>
      <c r="BX5" s="23">
        <v>45901.0</v>
      </c>
      <c r="BY5" s="43">
        <v>5000.0</v>
      </c>
      <c r="BZ5" s="38" t="s">
        <v>44</v>
      </c>
      <c r="CA5" s="39"/>
      <c r="CB5" s="3"/>
      <c r="CC5" s="23">
        <v>45901.0</v>
      </c>
      <c r="CD5" s="43">
        <v>1950.0</v>
      </c>
      <c r="CE5" s="44" t="s">
        <v>45</v>
      </c>
      <c r="CF5" s="39"/>
      <c r="CG5" s="3"/>
      <c r="CH5" s="33">
        <v>45963.0</v>
      </c>
      <c r="CI5" s="43">
        <v>30000.0</v>
      </c>
      <c r="CJ5" s="38" t="s">
        <v>46</v>
      </c>
      <c r="CK5" s="39"/>
      <c r="CL5" s="3"/>
      <c r="CM5" s="3"/>
    </row>
    <row r="6">
      <c r="A6" s="11">
        <v>45465.0</v>
      </c>
      <c r="B6" s="12">
        <v>7200.0</v>
      </c>
      <c r="C6" s="13" t="s">
        <v>47</v>
      </c>
      <c r="F6" s="11">
        <v>45476.0</v>
      </c>
      <c r="G6" s="12">
        <v>13500.0</v>
      </c>
      <c r="H6" s="13" t="s">
        <v>48</v>
      </c>
      <c r="K6" s="11">
        <v>45506.0</v>
      </c>
      <c r="L6" s="12">
        <v>70200.0</v>
      </c>
      <c r="M6" s="16" t="s">
        <v>49</v>
      </c>
      <c r="N6" s="22">
        <f>100000-L6</f>
        <v>29800</v>
      </c>
      <c r="P6" s="11">
        <v>45505.0</v>
      </c>
      <c r="Q6" s="12">
        <v>1950.0</v>
      </c>
      <c r="R6" s="15" t="s">
        <v>20</v>
      </c>
      <c r="S6" s="22">
        <f>N49+100000-Q5-Q8-Q9</f>
        <v>29747</v>
      </c>
      <c r="U6" s="11">
        <v>45566.0</v>
      </c>
      <c r="V6" s="25">
        <v>17555.0</v>
      </c>
      <c r="W6" s="16" t="s">
        <v>50</v>
      </c>
      <c r="X6" s="22">
        <f>S49-V6-V7-V8-V9-V10</f>
        <v>33428</v>
      </c>
      <c r="Z6" s="11">
        <v>45597.0</v>
      </c>
      <c r="AA6" s="25">
        <v>1000.0</v>
      </c>
      <c r="AB6" s="16" t="s">
        <v>51</v>
      </c>
      <c r="AC6" s="22">
        <f>X134-AA4-AA5-AA6-AA7-AA8-AA9-AA4</f>
        <v>-9474</v>
      </c>
      <c r="AE6" s="11">
        <v>45628.0</v>
      </c>
      <c r="AF6" s="18">
        <v>3200.0</v>
      </c>
      <c r="AG6" s="19" t="s">
        <v>52</v>
      </c>
      <c r="AJ6" s="11">
        <v>45663.0</v>
      </c>
      <c r="AK6" s="18">
        <v>160000.0</v>
      </c>
      <c r="AL6" s="19" t="s">
        <v>53</v>
      </c>
      <c r="AM6" s="21">
        <f>460000-250000-AK6+100000-100000-AK7-AK8-AK9-AK10-AK11</f>
        <v>10765</v>
      </c>
      <c r="AO6" s="11">
        <v>45691.0</v>
      </c>
      <c r="AP6" s="19">
        <v>4500.0</v>
      </c>
      <c r="AQ6" s="18" t="s">
        <v>54</v>
      </c>
      <c r="AT6" s="11">
        <v>45719.0</v>
      </c>
      <c r="AU6" s="19">
        <v>4000.0</v>
      </c>
      <c r="AV6" s="18" t="s">
        <v>41</v>
      </c>
      <c r="AX6" s="21" t="s">
        <v>55</v>
      </c>
      <c r="AY6" s="17">
        <v>45749.0</v>
      </c>
      <c r="AZ6" s="19">
        <v>300.0</v>
      </c>
      <c r="BA6" s="18" t="s">
        <v>26</v>
      </c>
      <c r="BB6" s="21">
        <f>65000-AZ4-AZ5-AZ6-AZ7-AZ8-AZ9-AZ10</f>
        <v>3930</v>
      </c>
      <c r="BC6" s="21"/>
      <c r="BD6" s="11">
        <v>45797.0</v>
      </c>
      <c r="BE6" s="19">
        <v>25000.0</v>
      </c>
      <c r="BF6" s="18" t="s">
        <v>56</v>
      </c>
      <c r="BG6" s="18"/>
      <c r="BH6" s="21"/>
      <c r="BI6" s="23">
        <v>45841.0</v>
      </c>
      <c r="BJ6" s="37">
        <v>20000.0</v>
      </c>
      <c r="BK6" s="38" t="s">
        <v>57</v>
      </c>
      <c r="BL6" s="45"/>
      <c r="BM6" s="21"/>
      <c r="BN6" s="40">
        <v>45853.0</v>
      </c>
      <c r="BO6" s="37">
        <v>15090.0</v>
      </c>
      <c r="BP6" s="38" t="s">
        <v>58</v>
      </c>
      <c r="BQ6" s="45"/>
      <c r="BR6" s="46"/>
      <c r="BS6" s="47">
        <v>45870.0</v>
      </c>
      <c r="BT6" s="18">
        <v>1950.0</v>
      </c>
      <c r="BU6" s="20" t="s">
        <v>59</v>
      </c>
      <c r="BV6" s="45"/>
      <c r="BW6" s="46"/>
      <c r="BX6" s="47"/>
      <c r="BY6" s="18">
        <v>17000.0</v>
      </c>
      <c r="BZ6" s="18" t="s">
        <v>60</v>
      </c>
      <c r="CA6" s="45"/>
      <c r="CB6" s="46"/>
      <c r="CC6" s="23">
        <v>45902.0</v>
      </c>
      <c r="CD6" s="19">
        <v>8000.0</v>
      </c>
      <c r="CE6" s="18" t="s">
        <v>61</v>
      </c>
      <c r="CF6" s="45"/>
      <c r="CG6" s="46"/>
      <c r="CH6" s="33">
        <v>45963.0</v>
      </c>
      <c r="CI6" s="18">
        <v>50000.0</v>
      </c>
      <c r="CJ6" s="18" t="s">
        <v>62</v>
      </c>
      <c r="CK6" s="45"/>
      <c r="CL6" s="46"/>
      <c r="CM6" s="46"/>
    </row>
    <row r="7">
      <c r="A7" s="11">
        <v>45460.0</v>
      </c>
      <c r="B7" s="12">
        <f>2700+400</f>
        <v>3100</v>
      </c>
      <c r="C7" s="13" t="s">
        <v>63</v>
      </c>
      <c r="F7" s="11">
        <v>45482.0</v>
      </c>
      <c r="G7" s="12">
        <v>8700.0</v>
      </c>
      <c r="H7" s="13" t="s">
        <v>64</v>
      </c>
      <c r="K7" s="11">
        <v>45509.0</v>
      </c>
      <c r="L7" s="12">
        <v>165699.0</v>
      </c>
      <c r="M7" s="15" t="s">
        <v>65</v>
      </c>
      <c r="P7" s="47">
        <v>45526.0</v>
      </c>
      <c r="Q7" s="25">
        <v>224512.0</v>
      </c>
      <c r="R7" s="48" t="s">
        <v>65</v>
      </c>
      <c r="U7" s="47">
        <v>45567.0</v>
      </c>
      <c r="V7" s="25">
        <v>1550.0</v>
      </c>
      <c r="W7" s="49" t="s">
        <v>66</v>
      </c>
      <c r="Z7" s="11">
        <v>45597.0</v>
      </c>
      <c r="AA7" s="25">
        <v>1500.0</v>
      </c>
      <c r="AB7" s="49" t="s">
        <v>41</v>
      </c>
      <c r="AE7" s="17">
        <v>45627.0</v>
      </c>
      <c r="AF7" s="18">
        <v>40000.0</v>
      </c>
      <c r="AG7" s="19" t="s">
        <v>67</v>
      </c>
      <c r="AJ7" s="17">
        <v>45664.0</v>
      </c>
      <c r="AK7" s="18">
        <v>6235.0</v>
      </c>
      <c r="AL7" s="19" t="s">
        <v>68</v>
      </c>
      <c r="AO7" s="17">
        <v>45692.0</v>
      </c>
      <c r="AP7" s="19">
        <v>38743.0</v>
      </c>
      <c r="AQ7" s="18" t="s">
        <v>69</v>
      </c>
      <c r="AR7" s="21">
        <f>100000-AP8-AP7-AP9-AP10</f>
        <v>9954</v>
      </c>
      <c r="AT7" s="17">
        <v>45722.0</v>
      </c>
      <c r="AU7" s="19">
        <v>6000.0</v>
      </c>
      <c r="AV7" s="18" t="s">
        <v>41</v>
      </c>
      <c r="AW7" s="21" t="s">
        <v>70</v>
      </c>
      <c r="AX7" s="21" t="s">
        <v>71</v>
      </c>
      <c r="AY7" s="17">
        <v>45749.0</v>
      </c>
      <c r="AZ7" s="19">
        <v>1370.0</v>
      </c>
      <c r="BA7" s="18" t="s">
        <v>42</v>
      </c>
      <c r="BD7" s="11">
        <v>45791.0</v>
      </c>
      <c r="BE7" s="19">
        <v>4000.0</v>
      </c>
      <c r="BF7" s="18" t="s">
        <v>25</v>
      </c>
      <c r="BG7" s="36"/>
      <c r="BI7" s="43">
        <v>16.0</v>
      </c>
      <c r="BJ7" s="43">
        <v>200000.0</v>
      </c>
      <c r="BK7" s="38" t="s">
        <v>72</v>
      </c>
      <c r="BL7" s="39"/>
      <c r="BN7" s="47">
        <v>45826.0</v>
      </c>
      <c r="BO7" s="49">
        <v>25000.0</v>
      </c>
      <c r="BP7" s="38" t="s">
        <v>56</v>
      </c>
      <c r="BQ7" s="39"/>
      <c r="BR7" s="3"/>
      <c r="BS7" s="47">
        <v>45877.0</v>
      </c>
      <c r="BT7" s="50">
        <v>200000.0</v>
      </c>
      <c r="BU7" s="51" t="s">
        <v>73</v>
      </c>
      <c r="BV7" s="39"/>
      <c r="BW7" s="3"/>
      <c r="BX7" s="47"/>
      <c r="BY7" s="38">
        <v>2000.0</v>
      </c>
      <c r="BZ7" s="38" t="s">
        <v>52</v>
      </c>
      <c r="CA7" s="39"/>
      <c r="CB7" s="3"/>
      <c r="CC7" s="23">
        <v>45903.0</v>
      </c>
      <c r="CD7" s="49">
        <v>20000.0</v>
      </c>
      <c r="CE7" s="38" t="s">
        <v>74</v>
      </c>
      <c r="CF7" s="39"/>
      <c r="CG7" s="3"/>
      <c r="CH7" s="33">
        <v>45966.0</v>
      </c>
      <c r="CI7" s="38">
        <v>5395.0</v>
      </c>
      <c r="CJ7" s="38" t="s">
        <v>75</v>
      </c>
      <c r="CK7" s="39"/>
      <c r="CL7" s="3"/>
      <c r="CM7" s="3"/>
    </row>
    <row r="8">
      <c r="A8" s="11">
        <v>45461.0</v>
      </c>
      <c r="B8" s="12">
        <v>17500.0</v>
      </c>
      <c r="C8" s="13" t="s">
        <v>76</v>
      </c>
      <c r="F8" s="11">
        <v>45484.0</v>
      </c>
      <c r="G8" s="12">
        <v>1030.0</v>
      </c>
      <c r="H8" s="13" t="s">
        <v>52</v>
      </c>
      <c r="K8" s="11">
        <v>45509.0</v>
      </c>
      <c r="L8" s="12">
        <v>16800.0</v>
      </c>
      <c r="M8" s="16" t="s">
        <v>77</v>
      </c>
      <c r="N8" s="52">
        <f>50000+N6-L8-L9-L10-M1-L12-L13-L14-L15-L18</f>
        <v>9005</v>
      </c>
      <c r="P8" s="41">
        <v>45538.0</v>
      </c>
      <c r="Q8" s="27">
        <v>5320.0</v>
      </c>
      <c r="R8" s="53" t="s">
        <v>78</v>
      </c>
      <c r="U8" s="40">
        <v>45567.0</v>
      </c>
      <c r="V8" s="31">
        <v>1160.0</v>
      </c>
      <c r="W8" s="49" t="s">
        <v>79</v>
      </c>
      <c r="Z8" s="11">
        <v>45597.0</v>
      </c>
      <c r="AA8" s="31">
        <v>17080.0</v>
      </c>
      <c r="AB8" s="49" t="s">
        <v>80</v>
      </c>
      <c r="AE8" s="11">
        <v>45628.0</v>
      </c>
      <c r="AF8" s="18">
        <v>4200.0</v>
      </c>
      <c r="AG8" s="19" t="s">
        <v>81</v>
      </c>
      <c r="AH8" s="54"/>
      <c r="AJ8" s="17">
        <v>45664.0</v>
      </c>
      <c r="AK8" s="18">
        <v>2000.0</v>
      </c>
      <c r="AL8" s="19" t="s">
        <v>25</v>
      </c>
      <c r="AM8" s="54"/>
      <c r="AN8" s="54"/>
      <c r="AO8" s="17">
        <v>45692.0</v>
      </c>
      <c r="AP8" s="19">
        <v>38743.0</v>
      </c>
      <c r="AQ8" s="18" t="s">
        <v>82</v>
      </c>
      <c r="AR8" s="54"/>
      <c r="AS8" s="54"/>
      <c r="AT8" s="17">
        <v>45722.0</v>
      </c>
      <c r="AU8" s="18">
        <v>14850.0</v>
      </c>
      <c r="AV8" s="55" t="s">
        <v>83</v>
      </c>
      <c r="AW8" s="54">
        <f>250000-50000-AU8-AU9-AU10-AU11-AU12-AU13</f>
        <v>4250</v>
      </c>
      <c r="AX8" s="54"/>
      <c r="AY8" s="17">
        <v>45750.0</v>
      </c>
      <c r="AZ8" s="19">
        <v>49150.0</v>
      </c>
      <c r="BA8" s="18" t="s">
        <v>26</v>
      </c>
      <c r="BB8" s="54"/>
      <c r="BC8" s="54"/>
      <c r="BD8" s="56">
        <v>45796.0</v>
      </c>
      <c r="BE8" s="57">
        <v>7500.0</v>
      </c>
      <c r="BF8" s="58" t="s">
        <v>84</v>
      </c>
      <c r="BG8" s="59"/>
      <c r="BH8" s="54"/>
      <c r="BI8" s="43">
        <v>16.0</v>
      </c>
      <c r="BJ8" s="60">
        <v>96000.0</v>
      </c>
      <c r="BK8" s="61" t="s">
        <v>85</v>
      </c>
      <c r="BL8" s="62"/>
      <c r="BM8" s="54"/>
      <c r="BN8" s="63">
        <v>45861.0</v>
      </c>
      <c r="BO8" s="64">
        <v>270000.0</v>
      </c>
      <c r="BP8" s="65" t="s">
        <v>86</v>
      </c>
      <c r="BQ8" s="62"/>
      <c r="BR8" s="66"/>
      <c r="BS8" s="67"/>
      <c r="BT8" s="50">
        <v>250000.0</v>
      </c>
      <c r="BU8" s="51" t="s">
        <v>87</v>
      </c>
      <c r="BV8" s="62"/>
      <c r="BW8" s="66"/>
      <c r="BX8" s="47">
        <v>45903.0</v>
      </c>
      <c r="BY8" s="49">
        <v>19000.0</v>
      </c>
      <c r="BZ8" s="38" t="s">
        <v>88</v>
      </c>
      <c r="CA8" s="62"/>
      <c r="CB8" s="66"/>
      <c r="CC8" s="47">
        <v>45906.0</v>
      </c>
      <c r="CD8" s="49">
        <v>20200.0</v>
      </c>
      <c r="CE8" s="38" t="s">
        <v>89</v>
      </c>
      <c r="CF8" s="62"/>
      <c r="CG8" s="66"/>
      <c r="CH8" s="33">
        <v>45966.0</v>
      </c>
      <c r="CI8" s="38">
        <v>165.0</v>
      </c>
      <c r="CJ8" s="38" t="s">
        <v>60</v>
      </c>
      <c r="CK8" s="62"/>
      <c r="CL8" s="66"/>
      <c r="CM8" s="66"/>
    </row>
    <row r="9">
      <c r="A9" s="11">
        <v>45461.0</v>
      </c>
      <c r="B9" s="12">
        <v>11400.0</v>
      </c>
      <c r="C9" s="13" t="s">
        <v>90</v>
      </c>
      <c r="F9" s="11">
        <v>45484.0</v>
      </c>
      <c r="G9" s="12">
        <v>7500.0</v>
      </c>
      <c r="H9" s="13" t="s">
        <v>91</v>
      </c>
      <c r="K9" s="11">
        <v>45509.0</v>
      </c>
      <c r="L9" s="12">
        <v>12000.0</v>
      </c>
      <c r="M9" s="16" t="s">
        <v>92</v>
      </c>
      <c r="P9" s="41">
        <v>45537.0</v>
      </c>
      <c r="Q9" s="27">
        <v>3410.0</v>
      </c>
      <c r="R9" s="53" t="s">
        <v>52</v>
      </c>
      <c r="U9" s="40">
        <v>45567.0</v>
      </c>
      <c r="V9" s="31">
        <v>1900.0</v>
      </c>
      <c r="W9" s="49" t="s">
        <v>93</v>
      </c>
      <c r="Z9" s="11">
        <v>45597.0</v>
      </c>
      <c r="AA9" s="31">
        <v>14420.0</v>
      </c>
      <c r="AB9" s="49" t="s">
        <v>94</v>
      </c>
      <c r="AC9" s="21" t="s">
        <v>95</v>
      </c>
      <c r="AE9" s="11">
        <v>45628.0</v>
      </c>
      <c r="AF9" s="18">
        <v>36699.0</v>
      </c>
      <c r="AG9" s="19" t="s">
        <v>96</v>
      </c>
      <c r="AH9" s="21">
        <v>3146.0</v>
      </c>
      <c r="AJ9" s="11">
        <v>45666.0</v>
      </c>
      <c r="AK9" s="18">
        <v>1000.0</v>
      </c>
      <c r="AL9" s="19" t="s">
        <v>97</v>
      </c>
      <c r="AO9" s="11">
        <v>45693.0</v>
      </c>
      <c r="AP9" s="19">
        <v>10340.0</v>
      </c>
      <c r="AQ9" s="18" t="s">
        <v>98</v>
      </c>
      <c r="AT9" s="17">
        <v>45723.0</v>
      </c>
      <c r="AU9" s="18">
        <v>115000.0</v>
      </c>
      <c r="AV9" s="55" t="s">
        <v>99</v>
      </c>
      <c r="AY9" s="17">
        <v>45751.0</v>
      </c>
      <c r="AZ9" s="19">
        <v>1660.0</v>
      </c>
      <c r="BA9" s="18" t="s">
        <v>100</v>
      </c>
      <c r="BD9" s="11">
        <v>45801.0</v>
      </c>
      <c r="BE9" s="19">
        <v>4000.0</v>
      </c>
      <c r="BF9" s="18" t="s">
        <v>25</v>
      </c>
      <c r="BG9" s="36"/>
      <c r="BI9" s="40">
        <v>45855.0</v>
      </c>
      <c r="BJ9" s="37">
        <v>12250.0</v>
      </c>
      <c r="BK9" s="38" t="s">
        <v>101</v>
      </c>
      <c r="BL9" s="38">
        <f>15000+5000-BJ9-BJ10+10000-BJ11-BJ12</f>
        <v>-1250</v>
      </c>
      <c r="BN9" s="47">
        <v>45839.0</v>
      </c>
      <c r="BO9" s="18">
        <v>1950.0</v>
      </c>
      <c r="BP9" s="20" t="s">
        <v>59</v>
      </c>
      <c r="BQ9" s="39"/>
      <c r="BR9" s="3"/>
      <c r="BS9" s="41">
        <v>45844.0</v>
      </c>
      <c r="BT9" s="49">
        <v>72000.0</v>
      </c>
      <c r="BU9" s="38" t="s">
        <v>58</v>
      </c>
      <c r="BV9" s="39"/>
      <c r="BW9" s="3"/>
      <c r="BX9" s="47">
        <v>45904.0</v>
      </c>
      <c r="BY9" s="49">
        <v>7000.0</v>
      </c>
      <c r="BZ9" s="38" t="s">
        <v>102</v>
      </c>
      <c r="CA9" s="39"/>
      <c r="CB9" s="3"/>
      <c r="CC9" s="47">
        <v>45907.0</v>
      </c>
      <c r="CD9" s="38">
        <v>24620.0</v>
      </c>
      <c r="CE9" s="44" t="s">
        <v>103</v>
      </c>
      <c r="CF9" s="39"/>
      <c r="CG9" s="3"/>
      <c r="CH9" s="33">
        <v>45965.0</v>
      </c>
      <c r="CI9" s="38">
        <v>50000.0</v>
      </c>
      <c r="CJ9" s="38" t="s">
        <v>104</v>
      </c>
      <c r="CK9" s="39"/>
      <c r="CL9" s="3"/>
      <c r="CM9" s="3"/>
    </row>
    <row r="10">
      <c r="A10" s="11">
        <v>45463.0</v>
      </c>
      <c r="B10" s="12">
        <v>51500.0</v>
      </c>
      <c r="C10" s="13" t="s">
        <v>105</v>
      </c>
      <c r="F10" s="11">
        <v>45483.0</v>
      </c>
      <c r="G10" s="12">
        <v>200000.0</v>
      </c>
      <c r="H10" s="13" t="s">
        <v>62</v>
      </c>
      <c r="K10" s="11">
        <v>45509.0</v>
      </c>
      <c r="L10" s="12">
        <v>995.0</v>
      </c>
      <c r="M10" s="16" t="s">
        <v>29</v>
      </c>
      <c r="P10" s="40">
        <v>45538.0</v>
      </c>
      <c r="Q10" s="31">
        <v>62592.0</v>
      </c>
      <c r="R10" s="48" t="s">
        <v>21</v>
      </c>
      <c r="S10" s="22">
        <f>91635+S6-Q11-Q12</f>
        <v>77522</v>
      </c>
      <c r="U10" s="40">
        <v>45567.0</v>
      </c>
      <c r="V10" s="31">
        <v>22250.0</v>
      </c>
      <c r="W10" s="49" t="s">
        <v>26</v>
      </c>
      <c r="Z10" s="11">
        <v>45597.0</v>
      </c>
      <c r="AA10" s="31">
        <v>50000.0</v>
      </c>
      <c r="AB10" s="49" t="s">
        <v>106</v>
      </c>
      <c r="AC10" s="22">
        <f>800000+AC6-50000-47000-123000-159091-30000-150000-170000-14500-41700</f>
        <v>5235</v>
      </c>
      <c r="AE10" s="11">
        <v>45628.0</v>
      </c>
      <c r="AF10" s="18">
        <v>25000.0</v>
      </c>
      <c r="AG10" s="19" t="s">
        <v>107</v>
      </c>
      <c r="AH10" s="21">
        <f>240000+AH9-AF10-AF11-AF14-AF15-AF16-AF17-AF18-AF19-AF20-7000-5462-6647-7000-2000</f>
        <v>53896</v>
      </c>
      <c r="AJ10" s="11">
        <v>45666.0</v>
      </c>
      <c r="AK10" s="18">
        <v>10000.0</v>
      </c>
      <c r="AL10" s="19" t="s">
        <v>108</v>
      </c>
      <c r="AO10" s="11">
        <v>45693.0</v>
      </c>
      <c r="AP10" s="19">
        <v>2220.0</v>
      </c>
      <c r="AQ10" s="18" t="s">
        <v>109</v>
      </c>
      <c r="AT10" s="17">
        <v>45723.0</v>
      </c>
      <c r="AU10" s="18">
        <v>16850.0</v>
      </c>
      <c r="AV10" s="55" t="s">
        <v>110</v>
      </c>
      <c r="AY10" s="17">
        <v>45753.0</v>
      </c>
      <c r="AZ10" s="19">
        <v>4000.0</v>
      </c>
      <c r="BA10" s="18" t="s">
        <v>25</v>
      </c>
      <c r="BD10" s="11">
        <v>45778.0</v>
      </c>
      <c r="BE10" s="18">
        <v>1950.0</v>
      </c>
      <c r="BF10" s="68" t="s">
        <v>59</v>
      </c>
      <c r="BG10" s="36"/>
      <c r="BI10" s="47">
        <v>45824.0</v>
      </c>
      <c r="BJ10" s="49">
        <v>5000.0</v>
      </c>
      <c r="BK10" s="38" t="s">
        <v>28</v>
      </c>
      <c r="BL10" s="39"/>
      <c r="BN10" s="40">
        <v>45853.0</v>
      </c>
      <c r="BO10" s="38">
        <v>50000.0</v>
      </c>
      <c r="BP10" s="51" t="s">
        <v>111</v>
      </c>
      <c r="BQ10" s="39"/>
      <c r="BR10" s="3"/>
      <c r="BS10" s="47">
        <v>45876.0</v>
      </c>
      <c r="BT10" s="49">
        <v>12000.0</v>
      </c>
      <c r="BU10" s="38" t="s">
        <v>112</v>
      </c>
      <c r="BV10" s="39"/>
      <c r="BW10" s="3"/>
      <c r="BX10" s="47">
        <v>45904.0</v>
      </c>
      <c r="BY10" s="49">
        <v>2520.0</v>
      </c>
      <c r="BZ10" s="38" t="s">
        <v>52</v>
      </c>
      <c r="CA10" s="39"/>
      <c r="CB10" s="3"/>
      <c r="CC10" s="47">
        <v>45908.0</v>
      </c>
      <c r="CD10" s="38">
        <v>1260000.0</v>
      </c>
      <c r="CE10" s="38" t="s">
        <v>113</v>
      </c>
      <c r="CF10" s="39"/>
      <c r="CG10" s="3"/>
      <c r="CH10" s="33">
        <v>45964.0</v>
      </c>
      <c r="CI10" s="38">
        <v>50000.0</v>
      </c>
      <c r="CJ10" s="38" t="s">
        <v>62</v>
      </c>
      <c r="CK10" s="39"/>
      <c r="CL10" s="3"/>
      <c r="CM10" s="3"/>
    </row>
    <row r="11">
      <c r="A11" s="69">
        <v>45464.0</v>
      </c>
      <c r="B11" s="12">
        <v>10000.0</v>
      </c>
      <c r="C11" s="13" t="s">
        <v>114</v>
      </c>
      <c r="F11" s="11">
        <v>45484.0</v>
      </c>
      <c r="G11" s="12">
        <v>3000.0</v>
      </c>
      <c r="H11" s="13" t="s">
        <v>115</v>
      </c>
      <c r="K11" s="11">
        <v>45509.0</v>
      </c>
      <c r="L11" s="12">
        <v>28400.0</v>
      </c>
      <c r="M11" s="15" t="s">
        <v>21</v>
      </c>
      <c r="P11" s="11">
        <v>45539.0</v>
      </c>
      <c r="Q11" s="12">
        <v>3860.0</v>
      </c>
      <c r="R11" s="16" t="s">
        <v>116</v>
      </c>
      <c r="U11" s="40">
        <v>45568.0</v>
      </c>
      <c r="V11" s="12">
        <v>15000.0</v>
      </c>
      <c r="W11" s="16" t="s">
        <v>117</v>
      </c>
      <c r="X11" s="52">
        <f>500000+X6-V11</f>
        <v>518428</v>
      </c>
      <c r="Z11" s="40">
        <v>45597.0</v>
      </c>
      <c r="AA11" s="12">
        <v>284505.0</v>
      </c>
      <c r="AB11" s="70" t="s">
        <v>65</v>
      </c>
      <c r="AE11" s="11">
        <v>45628.0</v>
      </c>
      <c r="AF11" s="18">
        <v>15611.0</v>
      </c>
      <c r="AG11" s="19" t="s">
        <v>118</v>
      </c>
      <c r="AJ11" s="11">
        <v>45666.0</v>
      </c>
      <c r="AK11" s="18">
        <v>20000.0</v>
      </c>
      <c r="AL11" s="19" t="s">
        <v>119</v>
      </c>
      <c r="AN11" s="21">
        <f>1000000-120000-143230-16000-222373-100000-70000-79200-25000-96659-127411</f>
        <v>127</v>
      </c>
      <c r="AO11" s="11">
        <v>45693.0</v>
      </c>
      <c r="AP11" s="18">
        <v>750.0</v>
      </c>
      <c r="AQ11" s="55" t="s">
        <v>42</v>
      </c>
      <c r="AR11" s="35">
        <f>150000-AP11-AP12-AP13-AP14-AP15-AP16-AP17-AP18</f>
        <v>2275</v>
      </c>
      <c r="AT11" s="17">
        <v>45723.0</v>
      </c>
      <c r="AU11" s="18">
        <v>29850.0</v>
      </c>
      <c r="AV11" s="55" t="s">
        <v>120</v>
      </c>
      <c r="AY11" s="17">
        <v>45754.0</v>
      </c>
      <c r="AZ11" s="19">
        <v>37800.0</v>
      </c>
      <c r="BA11" s="18" t="s">
        <v>26</v>
      </c>
      <c r="BD11" s="11">
        <v>45785.0</v>
      </c>
      <c r="BE11" s="18">
        <v>24039.0</v>
      </c>
      <c r="BF11" s="68" t="s">
        <v>121</v>
      </c>
      <c r="BG11" s="36"/>
      <c r="BI11" s="47">
        <v>45819.0</v>
      </c>
      <c r="BJ11" s="49">
        <v>10000.0</v>
      </c>
      <c r="BK11" s="38" t="s">
        <v>28</v>
      </c>
      <c r="BL11" s="39"/>
      <c r="BN11" s="40">
        <v>45861.0</v>
      </c>
      <c r="BO11" s="38">
        <v>44050.0</v>
      </c>
      <c r="BP11" s="51" t="s">
        <v>122</v>
      </c>
      <c r="BQ11" s="39"/>
      <c r="BR11" s="3"/>
      <c r="BS11" s="40">
        <v>45843.0</v>
      </c>
      <c r="BT11" s="49">
        <v>8500.0</v>
      </c>
      <c r="BU11" s="38" t="s">
        <v>123</v>
      </c>
      <c r="BV11" s="39"/>
      <c r="BW11" s="3"/>
      <c r="BX11" s="47">
        <v>45905.0</v>
      </c>
      <c r="BY11" s="49">
        <v>35000.0</v>
      </c>
      <c r="BZ11" s="38" t="s">
        <v>124</v>
      </c>
      <c r="CA11" s="39"/>
      <c r="CB11" s="3"/>
      <c r="CC11" s="47">
        <v>45908.0</v>
      </c>
      <c r="CD11" s="38">
        <v>12000.0</v>
      </c>
      <c r="CE11" s="38" t="s">
        <v>125</v>
      </c>
      <c r="CF11" s="39"/>
      <c r="CG11" s="3"/>
      <c r="CH11" s="33">
        <v>45985.0</v>
      </c>
      <c r="CI11" s="38">
        <v>45000.0</v>
      </c>
      <c r="CJ11" s="38" t="s">
        <v>126</v>
      </c>
      <c r="CK11" s="39"/>
      <c r="CL11" s="3"/>
      <c r="CM11" s="3"/>
    </row>
    <row r="12">
      <c r="A12" s="11">
        <v>45460.0</v>
      </c>
      <c r="B12" s="12">
        <v>1260.0</v>
      </c>
      <c r="C12" s="13" t="s">
        <v>42</v>
      </c>
      <c r="F12" s="11">
        <v>45484.0</v>
      </c>
      <c r="G12" s="12">
        <v>68441.0</v>
      </c>
      <c r="H12" s="13" t="s">
        <v>127</v>
      </c>
      <c r="K12" s="11">
        <v>45510.0</v>
      </c>
      <c r="L12" s="12">
        <v>10000.0</v>
      </c>
      <c r="M12" s="16" t="s">
        <v>128</v>
      </c>
      <c r="P12" s="11">
        <v>45540.0</v>
      </c>
      <c r="Q12" s="12">
        <v>40000.0</v>
      </c>
      <c r="R12" s="71" t="s">
        <v>129</v>
      </c>
      <c r="S12" s="22">
        <f>400000+S10-Q13-Q14-Q15-Q18-Q19-Q20-Q21-Q22-Q23-250000</f>
        <v>33647</v>
      </c>
      <c r="U12" s="11">
        <v>45566.0</v>
      </c>
      <c r="V12" s="12">
        <v>8000.0</v>
      </c>
      <c r="W12" s="15" t="s">
        <v>21</v>
      </c>
      <c r="Z12" s="40">
        <v>45597.0</v>
      </c>
      <c r="AA12" s="12">
        <v>8000.0</v>
      </c>
      <c r="AB12" s="70" t="s">
        <v>21</v>
      </c>
      <c r="AE12" s="17">
        <v>45627.0</v>
      </c>
      <c r="AF12" s="18">
        <v>1950.0</v>
      </c>
      <c r="AG12" s="20" t="s">
        <v>20</v>
      </c>
      <c r="AH12" s="35">
        <f>840000-212000-70000-170000-250000+361569-300000-70000+367684-250000+AH10-AF21-1490-AF22</f>
        <v>281659</v>
      </c>
      <c r="AJ12" s="17">
        <v>45670.0</v>
      </c>
      <c r="AK12" s="18">
        <v>590.0</v>
      </c>
      <c r="AL12" s="19" t="s">
        <v>130</v>
      </c>
      <c r="AM12" s="35">
        <f>100000-38706-AK12-40000-AK13</f>
        <v>704</v>
      </c>
      <c r="AO12" s="11">
        <v>45693.0</v>
      </c>
      <c r="AP12" s="18">
        <v>60000.0</v>
      </c>
      <c r="AQ12" s="55" t="s">
        <v>131</v>
      </c>
      <c r="AT12" s="17">
        <v>45723.0</v>
      </c>
      <c r="AU12" s="18">
        <v>15500.0</v>
      </c>
      <c r="AV12" s="55" t="s">
        <v>132</v>
      </c>
      <c r="AY12" s="17">
        <v>45757.0</v>
      </c>
      <c r="AZ12" s="19">
        <v>3200.0</v>
      </c>
      <c r="BA12" s="18" t="s">
        <v>25</v>
      </c>
      <c r="BB12" s="35">
        <f>120000+122000-AZ13-AZ12-AZ15-AZ14</f>
        <v>238090</v>
      </c>
      <c r="BD12" s="11">
        <v>45789.0</v>
      </c>
      <c r="BE12" s="18">
        <v>8800.0</v>
      </c>
      <c r="BF12" s="68" t="s">
        <v>121</v>
      </c>
      <c r="BG12" s="36"/>
      <c r="BI12" s="47">
        <v>45816.0</v>
      </c>
      <c r="BJ12" s="49">
        <v>4000.0</v>
      </c>
      <c r="BK12" s="38" t="s">
        <v>25</v>
      </c>
      <c r="BL12" s="39"/>
      <c r="BN12" s="39"/>
      <c r="BO12" s="72">
        <v>200000.0</v>
      </c>
      <c r="BP12" s="38" t="s">
        <v>133</v>
      </c>
      <c r="BQ12" s="39"/>
      <c r="BR12" s="3"/>
      <c r="BS12" s="47">
        <v>45880.0</v>
      </c>
      <c r="BT12" s="49">
        <v>6000.0</v>
      </c>
      <c r="BU12" s="38" t="s">
        <v>134</v>
      </c>
      <c r="BV12" s="39"/>
      <c r="BW12" s="3"/>
      <c r="BX12" s="47">
        <v>45916.0</v>
      </c>
      <c r="BY12" s="49">
        <v>7000.0</v>
      </c>
      <c r="BZ12" s="38" t="s">
        <v>135</v>
      </c>
      <c r="CA12" s="39"/>
      <c r="CB12" s="3"/>
      <c r="CC12" s="47">
        <v>45916.0</v>
      </c>
      <c r="CD12" s="38">
        <v>48750.0</v>
      </c>
      <c r="CE12" s="38" t="s">
        <v>136</v>
      </c>
      <c r="CF12" s="39"/>
      <c r="CG12" s="3"/>
      <c r="CH12" s="33">
        <v>45985.0</v>
      </c>
      <c r="CI12" s="38">
        <v>10778.0</v>
      </c>
      <c r="CJ12" s="38" t="s">
        <v>103</v>
      </c>
      <c r="CK12" s="39"/>
      <c r="CL12" s="3"/>
      <c r="CM12" s="3"/>
    </row>
    <row r="13">
      <c r="A13" s="11">
        <v>45467.0</v>
      </c>
      <c r="B13" s="12">
        <v>10000.0</v>
      </c>
      <c r="C13" s="13" t="s">
        <v>114</v>
      </c>
      <c r="F13" s="11">
        <v>45486.0</v>
      </c>
      <c r="G13" s="12">
        <v>36800.0</v>
      </c>
      <c r="H13" s="13" t="s">
        <v>34</v>
      </c>
      <c r="K13" s="11">
        <v>45510.0</v>
      </c>
      <c r="L13" s="12">
        <v>1000.0</v>
      </c>
      <c r="M13" s="16" t="s">
        <v>137</v>
      </c>
      <c r="P13" s="11">
        <v>45540.0</v>
      </c>
      <c r="Q13" s="12">
        <v>12000.0</v>
      </c>
      <c r="R13" s="16" t="s">
        <v>138</v>
      </c>
      <c r="U13" s="11">
        <v>45568.0</v>
      </c>
      <c r="V13" s="12">
        <v>20000.0</v>
      </c>
      <c r="W13" s="15" t="s">
        <v>21</v>
      </c>
      <c r="Z13" s="40">
        <v>45597.0</v>
      </c>
      <c r="AA13" s="12">
        <v>4800.0</v>
      </c>
      <c r="AB13" s="70" t="s">
        <v>21</v>
      </c>
      <c r="AE13" s="11">
        <v>45628.0</v>
      </c>
      <c r="AF13" s="18">
        <v>315680.0</v>
      </c>
      <c r="AG13" s="20" t="s">
        <v>139</v>
      </c>
      <c r="AJ13" s="11">
        <v>45672.0</v>
      </c>
      <c r="AK13" s="18">
        <v>20000.0</v>
      </c>
      <c r="AL13" s="19" t="s">
        <v>140</v>
      </c>
      <c r="AO13" s="11">
        <v>45693.0</v>
      </c>
      <c r="AP13" s="18">
        <v>590.0</v>
      </c>
      <c r="AQ13" s="55" t="s">
        <v>42</v>
      </c>
      <c r="AT13" s="17">
        <v>45723.0</v>
      </c>
      <c r="AU13" s="18">
        <v>3700.0</v>
      </c>
      <c r="AV13" s="55" t="s">
        <v>141</v>
      </c>
      <c r="AW13" s="21">
        <f>15000+AW8-AU14-AU15-AU16</f>
        <v>-1610</v>
      </c>
      <c r="AY13" s="17"/>
      <c r="AZ13" s="19"/>
      <c r="BA13" s="18"/>
      <c r="BD13" s="11">
        <v>45789.0</v>
      </c>
      <c r="BE13" s="18">
        <v>10000.0</v>
      </c>
      <c r="BF13" s="68" t="s">
        <v>121</v>
      </c>
      <c r="BG13" s="36"/>
      <c r="BI13" s="47">
        <v>45809.0</v>
      </c>
      <c r="BJ13" s="18">
        <v>1950.0</v>
      </c>
      <c r="BK13" s="68" t="s">
        <v>59</v>
      </c>
      <c r="BL13" s="39"/>
      <c r="BN13" s="40">
        <v>45869.0</v>
      </c>
      <c r="BO13" s="49">
        <v>10000.0</v>
      </c>
      <c r="BP13" s="38" t="s">
        <v>142</v>
      </c>
      <c r="BQ13" s="39"/>
      <c r="BR13" s="3"/>
      <c r="BS13" s="47">
        <v>45885.0</v>
      </c>
      <c r="BT13" s="49">
        <v>95000.0</v>
      </c>
      <c r="BU13" s="38" t="s">
        <v>143</v>
      </c>
      <c r="BV13" s="39"/>
      <c r="BW13" s="3"/>
      <c r="BX13" s="47"/>
      <c r="BY13" s="49">
        <v>6000.0</v>
      </c>
      <c r="BZ13" s="38" t="s">
        <v>144</v>
      </c>
      <c r="CA13" s="39"/>
      <c r="CB13" s="3"/>
      <c r="CC13" s="47">
        <v>45916.0</v>
      </c>
      <c r="CD13" s="38">
        <v>8905.0</v>
      </c>
      <c r="CE13" s="38" t="s">
        <v>103</v>
      </c>
      <c r="CF13" s="39"/>
      <c r="CG13" s="3"/>
      <c r="CH13" s="47"/>
      <c r="CI13" s="38"/>
      <c r="CJ13" s="38"/>
      <c r="CK13" s="39"/>
      <c r="CL13" s="3"/>
      <c r="CM13" s="3"/>
    </row>
    <row r="14">
      <c r="A14" s="11">
        <v>45462.0</v>
      </c>
      <c r="B14" s="12">
        <v>312732.0</v>
      </c>
      <c r="C14" s="13" t="s">
        <v>65</v>
      </c>
      <c r="F14" s="11">
        <v>45486.0</v>
      </c>
      <c r="G14" s="12">
        <v>10000.0</v>
      </c>
      <c r="H14" s="13" t="s">
        <v>145</v>
      </c>
      <c r="K14" s="11">
        <v>45510.0</v>
      </c>
      <c r="L14" s="12">
        <v>2200.0</v>
      </c>
      <c r="M14" s="16" t="s">
        <v>29</v>
      </c>
      <c r="P14" s="11">
        <v>45541.0</v>
      </c>
      <c r="Q14" s="12">
        <v>3800.0</v>
      </c>
      <c r="R14" s="16" t="s">
        <v>146</v>
      </c>
      <c r="U14" s="11">
        <v>45569.0</v>
      </c>
      <c r="V14" s="12">
        <v>82902.0</v>
      </c>
      <c r="W14" s="15" t="s">
        <v>21</v>
      </c>
      <c r="X14" s="52">
        <f>28958+X11-V15-V16-V17-V18-V19-V20-V21-V22-V23-Q59-Q60-V24-V25-V26-V27-V29-V28</f>
        <v>-66864</v>
      </c>
      <c r="Z14" s="11">
        <v>45597.0</v>
      </c>
      <c r="AA14" s="12">
        <v>1950.0</v>
      </c>
      <c r="AB14" s="70" t="s">
        <v>20</v>
      </c>
      <c r="AE14" s="11">
        <v>45629.0</v>
      </c>
      <c r="AF14" s="18">
        <v>10000.0</v>
      </c>
      <c r="AG14" s="19" t="s">
        <v>29</v>
      </c>
      <c r="AJ14" s="11">
        <v>45672.0</v>
      </c>
      <c r="AK14" s="18">
        <v>1000000.0</v>
      </c>
      <c r="AL14" s="73" t="s">
        <v>147</v>
      </c>
      <c r="AO14" s="11">
        <v>45693.0</v>
      </c>
      <c r="AP14" s="18">
        <v>510.0</v>
      </c>
      <c r="AQ14" s="55" t="s">
        <v>42</v>
      </c>
      <c r="AT14" s="17">
        <v>45723.0</v>
      </c>
      <c r="AU14" s="18">
        <v>15500.0</v>
      </c>
      <c r="AV14" s="55" t="s">
        <v>132</v>
      </c>
      <c r="AY14" s="17">
        <v>45757.0</v>
      </c>
      <c r="AZ14" s="19">
        <v>150.0</v>
      </c>
      <c r="BA14" s="18" t="s">
        <v>26</v>
      </c>
      <c r="BD14" s="11">
        <v>45793.0</v>
      </c>
      <c r="BE14" s="18">
        <v>200.0</v>
      </c>
      <c r="BF14" s="68" t="s">
        <v>121</v>
      </c>
      <c r="BG14" s="36"/>
      <c r="BI14" s="47">
        <v>45811.0</v>
      </c>
      <c r="BJ14" s="38">
        <v>100000.0</v>
      </c>
      <c r="BK14" s="44" t="s">
        <v>148</v>
      </c>
      <c r="BL14" s="39"/>
      <c r="BN14" s="39"/>
      <c r="BO14" s="39"/>
      <c r="BP14" s="39"/>
      <c r="BQ14" s="39"/>
      <c r="BR14" s="3"/>
      <c r="BS14" s="47">
        <v>45884.0</v>
      </c>
      <c r="BT14" s="49">
        <v>17000.0</v>
      </c>
      <c r="BU14" s="38" t="s">
        <v>149</v>
      </c>
      <c r="BV14" s="39"/>
      <c r="BW14" s="3"/>
      <c r="BX14" s="47"/>
      <c r="BY14" s="49">
        <v>9000.0</v>
      </c>
      <c r="BZ14" s="38" t="s">
        <v>103</v>
      </c>
      <c r="CA14" s="39"/>
      <c r="CB14" s="3"/>
      <c r="CC14" s="47">
        <v>45916.0</v>
      </c>
      <c r="CD14" s="38">
        <v>23475.0</v>
      </c>
      <c r="CE14" s="38" t="s">
        <v>103</v>
      </c>
      <c r="CF14" s="39"/>
      <c r="CG14" s="3"/>
      <c r="CH14" s="47"/>
      <c r="CI14" s="38"/>
      <c r="CJ14" s="38"/>
      <c r="CK14" s="39"/>
      <c r="CL14" s="3"/>
      <c r="CM14" s="3"/>
    </row>
    <row r="15">
      <c r="A15" s="11">
        <v>45456.0</v>
      </c>
      <c r="B15" s="12">
        <v>35500.0</v>
      </c>
      <c r="C15" s="13" t="s">
        <v>150</v>
      </c>
      <c r="F15" s="11">
        <v>45486.0</v>
      </c>
      <c r="G15" s="12">
        <v>225000.0</v>
      </c>
      <c r="H15" s="13" t="s">
        <v>151</v>
      </c>
      <c r="K15" s="11">
        <v>45512.0</v>
      </c>
      <c r="L15" s="12">
        <v>11000.0</v>
      </c>
      <c r="M15" s="16" t="s">
        <v>152</v>
      </c>
      <c r="P15" s="11">
        <v>45541.0</v>
      </c>
      <c r="Q15" s="12">
        <v>8500.0</v>
      </c>
      <c r="R15" s="16" t="s">
        <v>153</v>
      </c>
      <c r="U15" s="11">
        <v>45567.0</v>
      </c>
      <c r="V15" s="12">
        <v>2020.0</v>
      </c>
      <c r="W15" s="16" t="s">
        <v>154</v>
      </c>
      <c r="Z15" s="40">
        <v>45600.0</v>
      </c>
      <c r="AA15" s="12">
        <v>569010.0</v>
      </c>
      <c r="AB15" s="70" t="s">
        <v>65</v>
      </c>
      <c r="AE15" s="11">
        <v>45629.0</v>
      </c>
      <c r="AF15" s="18">
        <v>2400.0</v>
      </c>
      <c r="AG15" s="19" t="s">
        <v>155</v>
      </c>
      <c r="AJ15" s="11">
        <v>45674.0</v>
      </c>
      <c r="AK15" s="18">
        <v>1480.0</v>
      </c>
      <c r="AL15" s="19" t="s">
        <v>130</v>
      </c>
      <c r="AM15" s="35">
        <f>300000-110000-56000-100000-12099+AM12-AK15-AK16-AK17-AK18+5000-AK20-AK21-AK22-AK23-AK24</f>
        <v>-19652</v>
      </c>
      <c r="AO15" s="11">
        <v>45693.0</v>
      </c>
      <c r="AP15" s="18">
        <v>11540.0</v>
      </c>
      <c r="AQ15" s="55" t="s">
        <v>156</v>
      </c>
      <c r="AT15" s="17">
        <v>45723.0</v>
      </c>
      <c r="AU15" s="18">
        <v>600.0</v>
      </c>
      <c r="AV15" s="55" t="s">
        <v>157</v>
      </c>
      <c r="AY15" s="17">
        <v>45757.0</v>
      </c>
      <c r="AZ15" s="19">
        <v>560.0</v>
      </c>
      <c r="BA15" s="18" t="s">
        <v>158</v>
      </c>
      <c r="BD15" s="11">
        <v>45793.0</v>
      </c>
      <c r="BE15" s="18">
        <v>18480.0</v>
      </c>
      <c r="BF15" s="68" t="s">
        <v>121</v>
      </c>
      <c r="BG15" s="36"/>
      <c r="BI15" s="47">
        <v>45813.0</v>
      </c>
      <c r="BJ15" s="38">
        <v>14180.0</v>
      </c>
      <c r="BK15" s="44" t="s">
        <v>103</v>
      </c>
      <c r="BL15" s="39"/>
      <c r="BN15" s="39"/>
      <c r="BO15" s="39"/>
      <c r="BP15" s="39"/>
      <c r="BQ15" s="39"/>
      <c r="BR15" s="3"/>
      <c r="BS15" s="47">
        <v>45884.0</v>
      </c>
      <c r="BT15" s="49">
        <v>5000.0</v>
      </c>
      <c r="BU15" s="38" t="s">
        <v>159</v>
      </c>
      <c r="BV15" s="39"/>
      <c r="BW15" s="3"/>
      <c r="BX15" s="47"/>
      <c r="BY15" s="49">
        <v>13000.0</v>
      </c>
      <c r="BZ15" s="38" t="s">
        <v>160</v>
      </c>
      <c r="CA15" s="39"/>
      <c r="CB15" s="3"/>
      <c r="CC15" s="47">
        <v>45924.0</v>
      </c>
      <c r="CD15" s="49">
        <v>600.0</v>
      </c>
      <c r="CE15" s="38" t="s">
        <v>161</v>
      </c>
      <c r="CF15" s="39"/>
      <c r="CG15" s="3"/>
      <c r="CH15" s="47"/>
      <c r="CI15" s="38"/>
      <c r="CJ15" s="38"/>
      <c r="CK15" s="39"/>
      <c r="CL15" s="3"/>
      <c r="CM15" s="3"/>
    </row>
    <row r="16">
      <c r="A16" s="11">
        <v>45456.0</v>
      </c>
      <c r="B16" s="12">
        <v>50000.0</v>
      </c>
      <c r="C16" s="13" t="s">
        <v>162</v>
      </c>
      <c r="F16" s="11">
        <v>45486.0</v>
      </c>
      <c r="G16" s="12">
        <v>10750.0</v>
      </c>
      <c r="H16" s="13" t="s">
        <v>41</v>
      </c>
      <c r="K16" s="11">
        <v>45512.0</v>
      </c>
      <c r="L16" s="12">
        <v>61201.0</v>
      </c>
      <c r="M16" s="15" t="s">
        <v>163</v>
      </c>
      <c r="P16" s="11">
        <v>45541.0</v>
      </c>
      <c r="Q16" s="12">
        <v>280640.0</v>
      </c>
      <c r="R16" s="15" t="s">
        <v>65</v>
      </c>
      <c r="U16" s="11">
        <v>45568.0</v>
      </c>
      <c r="V16" s="12">
        <v>3220.0</v>
      </c>
      <c r="W16" s="16" t="s">
        <v>164</v>
      </c>
      <c r="Z16" s="40">
        <v>45600.0</v>
      </c>
      <c r="AA16" s="12">
        <v>14500.0</v>
      </c>
      <c r="AB16" s="16" t="s">
        <v>165</v>
      </c>
      <c r="AE16" s="11">
        <v>45629.0</v>
      </c>
      <c r="AF16" s="18">
        <v>10000.0</v>
      </c>
      <c r="AG16" s="19" t="s">
        <v>166</v>
      </c>
      <c r="AJ16" s="11">
        <v>45676.0</v>
      </c>
      <c r="AK16" s="18">
        <v>1500.0</v>
      </c>
      <c r="AL16" s="19" t="s">
        <v>115</v>
      </c>
      <c r="AO16" s="11">
        <v>45693.0</v>
      </c>
      <c r="AP16" s="18">
        <v>8335.0</v>
      </c>
      <c r="AQ16" s="55" t="s">
        <v>109</v>
      </c>
      <c r="AS16" s="35">
        <f>AR11+AR19</f>
        <v>2275</v>
      </c>
      <c r="AT16" s="17">
        <v>45723.0</v>
      </c>
      <c r="AU16" s="18">
        <v>4760.0</v>
      </c>
      <c r="AV16" s="55" t="s">
        <v>167</v>
      </c>
      <c r="AY16" s="17">
        <v>45763.0</v>
      </c>
      <c r="AZ16" s="19">
        <v>3200.0</v>
      </c>
      <c r="BA16" s="18" t="s">
        <v>25</v>
      </c>
      <c r="BB16" s="21">
        <f>10000-AZ16-AZ17-AZ18-AZ19</f>
        <v>-1800</v>
      </c>
      <c r="BC16" s="21"/>
      <c r="BD16" s="11">
        <v>45794.0</v>
      </c>
      <c r="BE16" s="18">
        <v>16520.0</v>
      </c>
      <c r="BF16" s="68" t="s">
        <v>121</v>
      </c>
      <c r="BG16" s="18"/>
      <c r="BH16" s="21"/>
      <c r="BI16" s="47">
        <v>45827.0</v>
      </c>
      <c r="BJ16" s="38">
        <v>13500.0</v>
      </c>
      <c r="BK16" s="44" t="s">
        <v>168</v>
      </c>
      <c r="BL16" s="45"/>
      <c r="BM16" s="21"/>
      <c r="BN16" s="45"/>
      <c r="BO16" s="45"/>
      <c r="BP16" s="45"/>
      <c r="BQ16" s="45"/>
      <c r="BR16" s="46"/>
      <c r="BS16" s="47">
        <v>45887.0</v>
      </c>
      <c r="BT16" s="38">
        <v>570000.0</v>
      </c>
      <c r="BU16" s="51" t="s">
        <v>169</v>
      </c>
      <c r="BV16" s="45"/>
      <c r="BW16" s="46"/>
      <c r="BX16" s="47">
        <v>45920.0</v>
      </c>
      <c r="BY16" s="49">
        <v>49480.0</v>
      </c>
      <c r="BZ16" s="38" t="s">
        <v>170</v>
      </c>
      <c r="CA16" s="45"/>
      <c r="CB16" s="46"/>
      <c r="CC16" s="47">
        <v>45924.0</v>
      </c>
      <c r="CD16" s="49">
        <v>79000.0</v>
      </c>
      <c r="CE16" s="38" t="s">
        <v>171</v>
      </c>
      <c r="CF16" s="45"/>
      <c r="CG16" s="46"/>
      <c r="CH16" s="47"/>
      <c r="CI16" s="38"/>
      <c r="CJ16" s="38"/>
      <c r="CK16" s="45"/>
      <c r="CL16" s="46"/>
      <c r="CM16" s="46"/>
    </row>
    <row r="17">
      <c r="A17" s="11">
        <v>45453.0</v>
      </c>
      <c r="B17" s="12">
        <v>100000.0</v>
      </c>
      <c r="C17" s="13" t="s">
        <v>172</v>
      </c>
      <c r="F17" s="11">
        <v>45486.0</v>
      </c>
      <c r="G17" s="12">
        <v>360.0</v>
      </c>
      <c r="H17" s="13" t="s">
        <v>173</v>
      </c>
      <c r="K17" s="11">
        <v>45510.0</v>
      </c>
      <c r="L17" s="12">
        <v>2600.0</v>
      </c>
      <c r="M17" s="15" t="s">
        <v>174</v>
      </c>
      <c r="P17" s="11">
        <v>45541.0</v>
      </c>
      <c r="Q17" s="12">
        <v>961500.0</v>
      </c>
      <c r="R17" s="15" t="s">
        <v>175</v>
      </c>
      <c r="U17" s="11">
        <v>45568.0</v>
      </c>
      <c r="V17" s="21">
        <v>4050.0</v>
      </c>
      <c r="W17" s="74" t="s">
        <v>176</v>
      </c>
      <c r="Z17" s="40">
        <v>45600.0</v>
      </c>
      <c r="AA17" s="12">
        <v>14840.0</v>
      </c>
      <c r="AB17" s="75" t="s">
        <v>128</v>
      </c>
      <c r="AC17" s="21">
        <f>1400000-188784-200000-250000-200000-222192-250000-117858+361569+73269</f>
        <v>406004</v>
      </c>
      <c r="AD17" s="21" t="s">
        <v>177</v>
      </c>
      <c r="AE17" s="11">
        <v>45629.0</v>
      </c>
      <c r="AF17" s="18">
        <f>14460+110</f>
        <v>14570</v>
      </c>
      <c r="AG17" s="19" t="s">
        <v>178</v>
      </c>
      <c r="AJ17" s="11">
        <v>45677.0</v>
      </c>
      <c r="AK17" s="18">
        <v>2990.0</v>
      </c>
      <c r="AL17" s="19" t="s">
        <v>123</v>
      </c>
      <c r="AO17" s="11">
        <v>45693.0</v>
      </c>
      <c r="AP17" s="18">
        <v>46000.0</v>
      </c>
      <c r="AQ17" s="55" t="s">
        <v>179</v>
      </c>
      <c r="AT17" s="11">
        <v>45727.0</v>
      </c>
      <c r="AU17" s="19">
        <v>1290.0</v>
      </c>
      <c r="AV17" s="18" t="s">
        <v>42</v>
      </c>
      <c r="AY17" s="11">
        <v>45770.0</v>
      </c>
      <c r="AZ17" s="19">
        <v>3200.0</v>
      </c>
      <c r="BA17" s="18" t="s">
        <v>25</v>
      </c>
      <c r="BD17" s="11">
        <v>45794.0</v>
      </c>
      <c r="BE17" s="18">
        <v>1600.0</v>
      </c>
      <c r="BF17" s="68" t="s">
        <v>121</v>
      </c>
      <c r="BG17" s="36"/>
      <c r="BI17" s="47">
        <v>45827.0</v>
      </c>
      <c r="BJ17" s="38">
        <v>15877.0</v>
      </c>
      <c r="BK17" s="44" t="s">
        <v>103</v>
      </c>
      <c r="BL17" s="39"/>
      <c r="BN17" s="39"/>
      <c r="BO17" s="39"/>
      <c r="BP17" s="39"/>
      <c r="BQ17" s="39"/>
      <c r="BR17" s="3"/>
      <c r="BS17" s="47">
        <v>45890.0</v>
      </c>
      <c r="BT17" s="38">
        <v>52800.0</v>
      </c>
      <c r="BU17" s="51" t="s">
        <v>180</v>
      </c>
      <c r="BV17" s="39"/>
      <c r="BW17" s="3"/>
      <c r="BX17" s="47">
        <v>45920.0</v>
      </c>
      <c r="BY17" s="49">
        <v>15000.0</v>
      </c>
      <c r="BZ17" s="38" t="s">
        <v>181</v>
      </c>
      <c r="CA17" s="39"/>
      <c r="CB17" s="3"/>
      <c r="CC17" s="47">
        <v>45930.0</v>
      </c>
      <c r="CD17" s="49">
        <v>1250.0</v>
      </c>
      <c r="CE17" s="38" t="s">
        <v>41</v>
      </c>
      <c r="CF17" s="39"/>
      <c r="CG17" s="3"/>
      <c r="CH17" s="47"/>
      <c r="CI17" s="38"/>
      <c r="CJ17" s="38"/>
      <c r="CK17" s="39"/>
      <c r="CL17" s="3"/>
      <c r="CM17" s="3"/>
    </row>
    <row r="18">
      <c r="A18" s="11">
        <v>45467.0</v>
      </c>
      <c r="B18" s="12">
        <v>300000.0</v>
      </c>
      <c r="C18" s="13" t="s">
        <v>182</v>
      </c>
      <c r="F18" s="11">
        <v>45490.0</v>
      </c>
      <c r="G18" s="12">
        <v>6000.0</v>
      </c>
      <c r="H18" s="18" t="s">
        <v>183</v>
      </c>
      <c r="K18" s="11">
        <v>45512.0</v>
      </c>
      <c r="L18" s="12">
        <v>16800.0</v>
      </c>
      <c r="M18" s="16" t="s">
        <v>77</v>
      </c>
      <c r="N18" s="52">
        <f>283000+N8-L19-L20-L22-L24-L25</f>
        <v>15925</v>
      </c>
      <c r="P18" s="11">
        <v>45542.0</v>
      </c>
      <c r="Q18" s="12">
        <v>103345.0</v>
      </c>
      <c r="R18" s="16" t="s">
        <v>184</v>
      </c>
      <c r="U18" s="11">
        <v>45568.0</v>
      </c>
      <c r="V18" s="12">
        <v>15791.0</v>
      </c>
      <c r="W18" s="16" t="s">
        <v>185</v>
      </c>
      <c r="Z18" s="40">
        <v>45602.0</v>
      </c>
      <c r="AA18" s="12"/>
      <c r="AB18" s="16"/>
      <c r="AE18" s="11">
        <v>45629.0</v>
      </c>
      <c r="AF18" s="18">
        <v>1220.0</v>
      </c>
      <c r="AG18" s="19" t="s">
        <v>186</v>
      </c>
      <c r="AJ18" s="11">
        <v>45677.0</v>
      </c>
      <c r="AK18" s="18">
        <v>7229.0</v>
      </c>
      <c r="AL18" s="19" t="s">
        <v>187</v>
      </c>
      <c r="AO18" s="11">
        <v>45693.0</v>
      </c>
      <c r="AP18" s="18">
        <v>20000.0</v>
      </c>
      <c r="AQ18" s="55" t="s">
        <v>188</v>
      </c>
      <c r="AT18" s="11">
        <v>45727.0</v>
      </c>
      <c r="AU18" s="19">
        <v>7472.0</v>
      </c>
      <c r="AV18" s="18" t="s">
        <v>189</v>
      </c>
      <c r="AY18" s="11">
        <v>45772.0</v>
      </c>
      <c r="AZ18" s="19">
        <v>600.0</v>
      </c>
      <c r="BA18" s="18" t="s">
        <v>41</v>
      </c>
      <c r="BD18" s="11">
        <v>45797.0</v>
      </c>
      <c r="BE18" s="18">
        <v>13490.0</v>
      </c>
      <c r="BF18" s="20" t="s">
        <v>190</v>
      </c>
      <c r="BG18" s="36"/>
      <c r="BI18" s="47">
        <v>45826.0</v>
      </c>
      <c r="BJ18" s="38">
        <v>36000.0</v>
      </c>
      <c r="BK18" s="38" t="s">
        <v>191</v>
      </c>
      <c r="BL18" s="39"/>
      <c r="BN18" s="39"/>
      <c r="BO18" s="39"/>
      <c r="BP18" s="39"/>
      <c r="BQ18" s="39"/>
      <c r="BR18" s="3"/>
      <c r="BS18" s="47">
        <v>45890.0</v>
      </c>
      <c r="BT18" s="49">
        <v>25000.0</v>
      </c>
      <c r="BU18" s="38" t="s">
        <v>56</v>
      </c>
      <c r="BV18" s="39"/>
      <c r="BW18" s="3"/>
      <c r="BX18" s="47">
        <v>45921.0</v>
      </c>
      <c r="BY18" s="49">
        <v>9823.0</v>
      </c>
      <c r="BZ18" s="38" t="s">
        <v>192</v>
      </c>
      <c r="CA18" s="39"/>
      <c r="CB18" s="3"/>
      <c r="CC18" s="38" t="s">
        <v>193</v>
      </c>
      <c r="CD18" s="49">
        <v>20690.0</v>
      </c>
      <c r="CE18" s="38" t="s">
        <v>194</v>
      </c>
      <c r="CF18" s="39"/>
      <c r="CG18" s="3"/>
      <c r="CH18" s="38"/>
      <c r="CI18" s="38"/>
      <c r="CJ18" s="38"/>
      <c r="CK18" s="39"/>
      <c r="CL18" s="3"/>
      <c r="CM18" s="3"/>
    </row>
    <row r="19">
      <c r="A19" s="11">
        <v>45467.0</v>
      </c>
      <c r="B19" s="12">
        <v>200000.0</v>
      </c>
      <c r="C19" s="13" t="s">
        <v>195</v>
      </c>
      <c r="F19" s="11">
        <v>45490.0</v>
      </c>
      <c r="G19" s="12">
        <v>850.0</v>
      </c>
      <c r="H19" s="13" t="s">
        <v>29</v>
      </c>
      <c r="K19" s="11">
        <v>45512.0</v>
      </c>
      <c r="L19" s="12">
        <v>230000.0</v>
      </c>
      <c r="M19" s="16" t="s">
        <v>196</v>
      </c>
      <c r="P19" s="11">
        <v>45545.0</v>
      </c>
      <c r="Q19" s="12">
        <v>4000.0</v>
      </c>
      <c r="R19" s="16" t="s">
        <v>197</v>
      </c>
      <c r="U19" s="11">
        <v>45569.0</v>
      </c>
      <c r="V19" s="12">
        <v>4600.0</v>
      </c>
      <c r="W19" s="16" t="s">
        <v>94</v>
      </c>
      <c r="Z19" s="40">
        <v>45602.0</v>
      </c>
      <c r="AA19" s="12"/>
      <c r="AB19" s="16"/>
      <c r="AE19" s="11">
        <v>45629.0</v>
      </c>
      <c r="AF19" s="18">
        <v>2340.0</v>
      </c>
      <c r="AG19" s="19" t="s">
        <v>198</v>
      </c>
      <c r="AJ19" s="11">
        <v>45677.0</v>
      </c>
      <c r="AK19" s="18">
        <v>44784.0</v>
      </c>
      <c r="AL19" s="20" t="s">
        <v>39</v>
      </c>
      <c r="AO19" s="11">
        <v>45694.0</v>
      </c>
      <c r="AP19" s="18">
        <v>15000.0</v>
      </c>
      <c r="AQ19" s="55" t="s">
        <v>188</v>
      </c>
      <c r="AR19" s="21">
        <f>300000-200000-AP19-AP20-AP21-AP22-AP23-AP24-AP25-AP26-AP27-AP28-AP29-AP30-AP31-25078</f>
        <v>0</v>
      </c>
      <c r="AT19" s="11">
        <v>45727.0</v>
      </c>
      <c r="AU19" s="19">
        <v>1820.0</v>
      </c>
      <c r="AV19" s="18" t="s">
        <v>42</v>
      </c>
      <c r="AY19" s="11">
        <v>45776.0</v>
      </c>
      <c r="AZ19" s="19">
        <v>4800.0</v>
      </c>
      <c r="BA19" s="18" t="s">
        <v>25</v>
      </c>
      <c r="BD19" s="11">
        <v>45800.0</v>
      </c>
      <c r="BE19" s="18">
        <v>200.0</v>
      </c>
      <c r="BF19" s="68" t="s">
        <v>121</v>
      </c>
      <c r="BG19" s="36"/>
      <c r="BI19" s="47">
        <v>45826.0</v>
      </c>
      <c r="BJ19" s="38">
        <v>17000.0</v>
      </c>
      <c r="BK19" s="38" t="s">
        <v>123</v>
      </c>
      <c r="BL19" s="39"/>
      <c r="BN19" s="39"/>
      <c r="BO19" s="39"/>
      <c r="BP19" s="39"/>
      <c r="BQ19" s="39"/>
      <c r="BR19" s="3"/>
      <c r="BS19" s="47">
        <v>45891.0</v>
      </c>
      <c r="BT19" s="38">
        <v>48000.0</v>
      </c>
      <c r="BU19" s="48" t="s">
        <v>199</v>
      </c>
      <c r="BV19" s="39"/>
      <c r="BW19" s="3"/>
      <c r="BX19" s="47">
        <v>45921.0</v>
      </c>
      <c r="BY19" s="49">
        <v>49000.0</v>
      </c>
      <c r="BZ19" s="38" t="s">
        <v>200</v>
      </c>
      <c r="CA19" s="39"/>
      <c r="CB19" s="3"/>
      <c r="CC19" s="38" t="s">
        <v>193</v>
      </c>
      <c r="CD19" s="49">
        <v>3444.0</v>
      </c>
      <c r="CE19" s="38" t="s">
        <v>201</v>
      </c>
      <c r="CF19" s="39"/>
      <c r="CG19" s="3"/>
      <c r="CH19" s="38"/>
      <c r="CI19" s="38"/>
      <c r="CJ19" s="38"/>
      <c r="CK19" s="39"/>
      <c r="CL19" s="3"/>
      <c r="CM19" s="3"/>
    </row>
    <row r="20">
      <c r="A20" s="11">
        <v>45467.0</v>
      </c>
      <c r="B20" s="12">
        <v>20000.0</v>
      </c>
      <c r="C20" s="13" t="s">
        <v>202</v>
      </c>
      <c r="F20" s="11">
        <v>45491.0</v>
      </c>
      <c r="G20" s="12">
        <v>45000.0</v>
      </c>
      <c r="H20" s="13" t="s">
        <v>203</v>
      </c>
      <c r="K20" s="11">
        <v>45512.0</v>
      </c>
      <c r="L20" s="12">
        <v>2500.0</v>
      </c>
      <c r="M20" s="16" t="s">
        <v>52</v>
      </c>
      <c r="P20" s="11">
        <v>45545.0</v>
      </c>
      <c r="Q20" s="12">
        <v>3500.0</v>
      </c>
      <c r="R20" s="16" t="s">
        <v>204</v>
      </c>
      <c r="U20" s="11">
        <v>45569.0</v>
      </c>
      <c r="V20" s="12">
        <v>20000.0</v>
      </c>
      <c r="W20" s="16" t="s">
        <v>205</v>
      </c>
      <c r="Z20" s="40">
        <v>45603.0</v>
      </c>
      <c r="AA20" s="12">
        <v>170500.0</v>
      </c>
      <c r="AB20" s="15" t="s">
        <v>206</v>
      </c>
      <c r="AE20" s="11">
        <v>45629.0</v>
      </c>
      <c r="AF20" s="18">
        <v>80000.0</v>
      </c>
      <c r="AG20" s="19" t="s">
        <v>207</v>
      </c>
      <c r="AJ20" s="11">
        <v>45678.0</v>
      </c>
      <c r="AK20" s="18">
        <v>4195.0</v>
      </c>
      <c r="AL20" s="19" t="s">
        <v>208</v>
      </c>
      <c r="AO20" s="11">
        <v>45694.0</v>
      </c>
      <c r="AP20" s="18">
        <v>9185.0</v>
      </c>
      <c r="AQ20" s="55" t="s">
        <v>156</v>
      </c>
      <c r="AT20" s="11">
        <v>45728.0</v>
      </c>
      <c r="AU20" s="19">
        <v>5600.0</v>
      </c>
      <c r="AV20" s="18" t="s">
        <v>25</v>
      </c>
      <c r="AW20" s="35">
        <f>20000-AU20-AU21-AU22-AU28</f>
        <v>-838</v>
      </c>
      <c r="AY20" s="11">
        <v>45779.0</v>
      </c>
      <c r="AZ20" s="19">
        <v>4800.0</v>
      </c>
      <c r="BA20" s="18" t="s">
        <v>25</v>
      </c>
      <c r="BB20" s="35">
        <f>400000-120964-260000-5000-AZ19-AZ20</f>
        <v>4436</v>
      </c>
      <c r="BD20" s="11">
        <v>45800.0</v>
      </c>
      <c r="BE20" s="18">
        <v>57715.0</v>
      </c>
      <c r="BF20" s="68" t="s">
        <v>121</v>
      </c>
      <c r="BG20" s="36"/>
      <c r="BI20" s="47">
        <v>45826.0</v>
      </c>
      <c r="BJ20" s="38">
        <v>5600.0</v>
      </c>
      <c r="BK20" s="38" t="s">
        <v>25</v>
      </c>
      <c r="BL20" s="39"/>
      <c r="BN20" s="3"/>
      <c r="BO20" s="3"/>
      <c r="BP20" s="3"/>
      <c r="BQ20" s="3"/>
      <c r="BR20" s="3"/>
      <c r="BS20" s="47">
        <v>45890.0</v>
      </c>
      <c r="BT20" s="49">
        <v>10000.0</v>
      </c>
      <c r="BU20" s="38" t="s">
        <v>28</v>
      </c>
      <c r="BV20" s="39"/>
      <c r="BW20" s="3"/>
      <c r="BX20" s="47">
        <v>45921.0</v>
      </c>
      <c r="BY20" s="49">
        <v>22260.0</v>
      </c>
      <c r="BZ20" s="38" t="s">
        <v>209</v>
      </c>
      <c r="CA20" s="39"/>
      <c r="CB20" s="3"/>
      <c r="CC20" s="38" t="s">
        <v>193</v>
      </c>
      <c r="CD20" s="49">
        <v>675.0</v>
      </c>
      <c r="CE20" s="38" t="s">
        <v>60</v>
      </c>
      <c r="CF20" s="39"/>
      <c r="CG20" s="3"/>
      <c r="CH20" s="38"/>
      <c r="CI20" s="38"/>
      <c r="CJ20" s="38"/>
      <c r="CK20" s="39"/>
      <c r="CL20" s="3"/>
      <c r="CM20" s="3"/>
    </row>
    <row r="21">
      <c r="A21" s="11">
        <v>45467.0</v>
      </c>
      <c r="B21" s="12">
        <v>30000.0</v>
      </c>
      <c r="C21" s="13" t="s">
        <v>210</v>
      </c>
      <c r="F21" s="11">
        <v>45491.0</v>
      </c>
      <c r="G21" s="12">
        <v>28000.0</v>
      </c>
      <c r="H21" s="13" t="s">
        <v>211</v>
      </c>
      <c r="K21" s="11">
        <v>45512.0</v>
      </c>
      <c r="L21" s="12">
        <v>330000.0</v>
      </c>
      <c r="M21" s="15" t="s">
        <v>212</v>
      </c>
      <c r="P21" s="11">
        <v>45545.0</v>
      </c>
      <c r="Q21" s="12">
        <v>48730.0</v>
      </c>
      <c r="R21" s="76" t="s">
        <v>213</v>
      </c>
      <c r="S21" s="21" t="s">
        <v>214</v>
      </c>
      <c r="U21" s="11">
        <v>45570.0</v>
      </c>
      <c r="V21" s="12">
        <v>3800.0</v>
      </c>
      <c r="W21" s="16" t="s">
        <v>215</v>
      </c>
      <c r="Z21" s="40">
        <v>45603.0</v>
      </c>
      <c r="AA21" s="12"/>
      <c r="AB21" s="16"/>
      <c r="AE21" s="11">
        <v>45630.0</v>
      </c>
      <c r="AF21" s="18">
        <v>15000.0</v>
      </c>
      <c r="AG21" s="19" t="s">
        <v>216</v>
      </c>
      <c r="AJ21" s="11">
        <v>45679.0</v>
      </c>
      <c r="AK21" s="18">
        <v>4963.0</v>
      </c>
      <c r="AL21" s="19" t="s">
        <v>130</v>
      </c>
      <c r="AO21" s="11">
        <v>45694.0</v>
      </c>
      <c r="AP21" s="18">
        <v>610.0</v>
      </c>
      <c r="AQ21" s="55" t="s">
        <v>42</v>
      </c>
      <c r="AT21" s="11">
        <v>45729.0</v>
      </c>
      <c r="AU21" s="19">
        <v>3588.0</v>
      </c>
      <c r="AV21" s="18" t="s">
        <v>217</v>
      </c>
      <c r="AY21" s="11">
        <v>45748.0</v>
      </c>
      <c r="AZ21" s="18">
        <v>1950.0</v>
      </c>
      <c r="BA21" s="68" t="s">
        <v>59</v>
      </c>
      <c r="BD21" s="11">
        <v>45805.0</v>
      </c>
      <c r="BE21" s="18">
        <v>6520.0</v>
      </c>
      <c r="BF21" s="68" t="s">
        <v>121</v>
      </c>
      <c r="BG21" s="36"/>
      <c r="BI21" s="47">
        <v>45826.0</v>
      </c>
      <c r="BJ21" s="38">
        <v>25000.0</v>
      </c>
      <c r="BK21" s="38" t="s">
        <v>56</v>
      </c>
      <c r="BL21" s="39"/>
      <c r="BN21" s="3"/>
      <c r="BO21" s="3"/>
      <c r="BP21" s="3"/>
      <c r="BQ21" s="3"/>
      <c r="BR21" s="3"/>
      <c r="BS21" s="47">
        <v>45891.0</v>
      </c>
      <c r="BT21" s="49">
        <v>10500.0</v>
      </c>
      <c r="BU21" s="38" t="s">
        <v>218</v>
      </c>
      <c r="BV21" s="39"/>
      <c r="BW21" s="3"/>
      <c r="BX21" s="47">
        <v>45921.0</v>
      </c>
      <c r="BY21" s="49">
        <v>38220.0</v>
      </c>
      <c r="BZ21" s="38" t="s">
        <v>209</v>
      </c>
      <c r="CA21" s="39"/>
      <c r="CB21" s="3"/>
      <c r="CC21" s="38" t="s">
        <v>193</v>
      </c>
      <c r="CD21" s="38">
        <v>2800.0</v>
      </c>
      <c r="CE21" s="38" t="s">
        <v>60</v>
      </c>
      <c r="CF21" s="39"/>
      <c r="CG21" s="3"/>
      <c r="CH21" s="38"/>
      <c r="CI21" s="38"/>
      <c r="CJ21" s="38"/>
      <c r="CK21" s="39"/>
      <c r="CL21" s="3"/>
      <c r="CM21" s="3"/>
    </row>
    <row r="22">
      <c r="A22" s="11">
        <v>45468.0</v>
      </c>
      <c r="B22" s="12">
        <v>500000.0</v>
      </c>
      <c r="C22" s="13" t="s">
        <v>219</v>
      </c>
      <c r="F22" s="11">
        <v>45491.0</v>
      </c>
      <c r="G22" s="12">
        <v>5000.0</v>
      </c>
      <c r="H22" s="13" t="s">
        <v>220</v>
      </c>
      <c r="K22" s="11">
        <v>45512.0</v>
      </c>
      <c r="L22" s="12">
        <v>4450.0</v>
      </c>
      <c r="M22" s="16" t="s">
        <v>221</v>
      </c>
      <c r="P22" s="11">
        <v>45545.0</v>
      </c>
      <c r="Q22" s="12">
        <v>8200.0</v>
      </c>
      <c r="R22" s="16" t="s">
        <v>222</v>
      </c>
      <c r="U22" s="11">
        <v>45572.0</v>
      </c>
      <c r="V22" s="12">
        <v>70000.0</v>
      </c>
      <c r="W22" s="16" t="s">
        <v>36</v>
      </c>
      <c r="Z22" s="40">
        <v>45603.0</v>
      </c>
      <c r="AA22" s="12">
        <v>41160.0</v>
      </c>
      <c r="AB22" s="15" t="s">
        <v>128</v>
      </c>
      <c r="AE22" s="11">
        <v>45630.0</v>
      </c>
      <c r="AF22" s="18">
        <v>3000.0</v>
      </c>
      <c r="AG22" s="19" t="s">
        <v>223</v>
      </c>
      <c r="AH22" s="21">
        <f>768000-265102-187476+AH12-400000-AF23-AF24-AF25</f>
        <v>183944</v>
      </c>
      <c r="AJ22" s="11">
        <v>45684.0</v>
      </c>
      <c r="AK22" s="18">
        <v>10000.0</v>
      </c>
      <c r="AL22" s="19" t="s">
        <v>40</v>
      </c>
      <c r="AO22" s="11">
        <v>45694.0</v>
      </c>
      <c r="AP22" s="18">
        <v>7749.0</v>
      </c>
      <c r="AQ22" s="55" t="s">
        <v>120</v>
      </c>
      <c r="AT22" s="11">
        <v>45730.0</v>
      </c>
      <c r="AU22" s="19">
        <v>10000.0</v>
      </c>
      <c r="AV22" s="18" t="s">
        <v>224</v>
      </c>
      <c r="AY22" s="11">
        <v>45748.0</v>
      </c>
      <c r="AZ22" s="18">
        <v>22840.0</v>
      </c>
      <c r="BA22" s="68" t="s">
        <v>121</v>
      </c>
      <c r="BD22" s="11">
        <v>45805.0</v>
      </c>
      <c r="BE22" s="18">
        <v>2400.0</v>
      </c>
      <c r="BF22" s="68" t="s">
        <v>121</v>
      </c>
      <c r="BG22" s="36"/>
      <c r="BI22" s="3"/>
      <c r="BJ22" s="3"/>
      <c r="BK22" s="3"/>
      <c r="BL22" s="3"/>
      <c r="BN22" s="3"/>
      <c r="BO22" s="3"/>
      <c r="BP22" s="3"/>
      <c r="BQ22" s="3"/>
      <c r="BR22" s="3"/>
      <c r="BS22" s="47">
        <v>45891.0</v>
      </c>
      <c r="BT22" s="49">
        <v>2400.0</v>
      </c>
      <c r="BU22" s="38" t="s">
        <v>225</v>
      </c>
      <c r="BV22" s="39"/>
      <c r="BW22" s="3"/>
      <c r="BX22" s="47">
        <v>45921.0</v>
      </c>
      <c r="BY22" s="49">
        <v>4524.0</v>
      </c>
      <c r="BZ22" s="38" t="s">
        <v>103</v>
      </c>
      <c r="CA22" s="39"/>
      <c r="CB22" s="3"/>
      <c r="CC22" s="47"/>
      <c r="CD22" s="38"/>
      <c r="CE22" s="38"/>
      <c r="CF22" s="39"/>
      <c r="CG22" s="3"/>
      <c r="CH22" s="47"/>
      <c r="CI22" s="38"/>
      <c r="CJ22" s="38"/>
      <c r="CK22" s="39"/>
      <c r="CL22" s="3"/>
      <c r="CM22" s="3"/>
    </row>
    <row r="23">
      <c r="A23" s="11">
        <v>45467.0</v>
      </c>
      <c r="B23" s="12">
        <v>10000.0</v>
      </c>
      <c r="C23" s="13" t="s">
        <v>226</v>
      </c>
      <c r="F23" s="11">
        <v>45490.0</v>
      </c>
      <c r="G23" s="12">
        <v>10000.0</v>
      </c>
      <c r="H23" s="13" t="s">
        <v>227</v>
      </c>
      <c r="K23" s="11">
        <v>45513.0</v>
      </c>
      <c r="L23" s="12">
        <v>331398.0</v>
      </c>
      <c r="M23" s="15" t="s">
        <v>65</v>
      </c>
      <c r="P23" s="11">
        <v>45546.0</v>
      </c>
      <c r="Q23" s="12">
        <v>1800.0</v>
      </c>
      <c r="R23" s="16" t="s">
        <v>228</v>
      </c>
      <c r="U23" s="11">
        <v>45572.0</v>
      </c>
      <c r="V23" s="12">
        <v>1050.0</v>
      </c>
      <c r="W23" s="16" t="s">
        <v>229</v>
      </c>
      <c r="Z23" s="40">
        <v>45603.0</v>
      </c>
      <c r="AA23" s="12"/>
      <c r="AB23" s="16"/>
      <c r="AE23" s="11">
        <v>45630.0</v>
      </c>
      <c r="AF23" s="18">
        <v>6727.0</v>
      </c>
      <c r="AG23" s="19" t="s">
        <v>230</v>
      </c>
      <c r="AJ23" s="11">
        <v>45685.0</v>
      </c>
      <c r="AK23" s="18">
        <v>10000.0</v>
      </c>
      <c r="AL23" s="19" t="s">
        <v>231</v>
      </c>
      <c r="AO23" s="11">
        <v>45695.0</v>
      </c>
      <c r="AP23" s="18">
        <v>18000.0</v>
      </c>
      <c r="AQ23" s="55" t="s">
        <v>232</v>
      </c>
      <c r="AT23" s="11">
        <v>45730.0</v>
      </c>
      <c r="AU23" s="19">
        <v>30000.0</v>
      </c>
      <c r="AV23" s="18" t="s">
        <v>233</v>
      </c>
      <c r="AW23" s="21">
        <f>24200+AW20-AU23</f>
        <v>-6638</v>
      </c>
      <c r="AY23" s="11">
        <v>45749.0</v>
      </c>
      <c r="AZ23" s="18">
        <v>2600.0</v>
      </c>
      <c r="BA23" s="68" t="s">
        <v>121</v>
      </c>
      <c r="BD23" s="11">
        <v>45807.0</v>
      </c>
      <c r="BE23" s="18">
        <v>3600.0</v>
      </c>
      <c r="BF23" s="68" t="s">
        <v>121</v>
      </c>
      <c r="BG23" s="36"/>
      <c r="BI23" s="3"/>
      <c r="BJ23" s="3"/>
      <c r="BK23" s="3"/>
      <c r="BL23" s="3"/>
      <c r="BN23" s="3"/>
      <c r="BO23" s="3"/>
      <c r="BP23" s="3"/>
      <c r="BQ23" s="3"/>
      <c r="BR23" s="3"/>
      <c r="BS23" s="47">
        <v>45896.0</v>
      </c>
      <c r="BT23" s="38">
        <v>51894.0</v>
      </c>
      <c r="BU23" s="44" t="s">
        <v>234</v>
      </c>
      <c r="BV23" s="39"/>
      <c r="BW23" s="3"/>
      <c r="BX23" s="47">
        <v>45921.0</v>
      </c>
      <c r="BY23" s="49">
        <v>56000.0</v>
      </c>
      <c r="BZ23" s="38" t="s">
        <v>235</v>
      </c>
      <c r="CA23" s="39"/>
      <c r="CB23" s="3"/>
      <c r="CC23" s="47"/>
      <c r="CD23" s="38"/>
      <c r="CE23" s="38"/>
      <c r="CF23" s="39"/>
      <c r="CG23" s="3"/>
      <c r="CH23" s="47"/>
      <c r="CI23" s="38"/>
      <c r="CJ23" s="38"/>
      <c r="CK23" s="39"/>
      <c r="CL23" s="3"/>
      <c r="CM23" s="3"/>
    </row>
    <row r="24">
      <c r="A24" s="11">
        <v>45460.0</v>
      </c>
      <c r="B24" s="12">
        <v>40000.0</v>
      </c>
      <c r="C24" s="13" t="s">
        <v>236</v>
      </c>
      <c r="F24" s="11">
        <v>45492.0</v>
      </c>
      <c r="G24" s="12">
        <v>80000.0</v>
      </c>
      <c r="H24" s="13" t="s">
        <v>237</v>
      </c>
      <c r="K24" s="11">
        <v>45513.0</v>
      </c>
      <c r="L24" s="12">
        <v>11130.0</v>
      </c>
      <c r="M24" s="16" t="s">
        <v>128</v>
      </c>
      <c r="P24" s="11">
        <v>45546.0</v>
      </c>
      <c r="Q24" s="12">
        <v>280640.0</v>
      </c>
      <c r="R24" s="15" t="s">
        <v>65</v>
      </c>
      <c r="U24" s="11">
        <v>45570.0</v>
      </c>
      <c r="V24" s="12">
        <v>47619.0</v>
      </c>
      <c r="W24" s="16" t="s">
        <v>238</v>
      </c>
      <c r="Z24" s="11">
        <v>45604.0</v>
      </c>
      <c r="AA24" s="12">
        <v>22295.0</v>
      </c>
      <c r="AB24" s="15" t="s">
        <v>128</v>
      </c>
      <c r="AE24" s="11">
        <v>45630.0</v>
      </c>
      <c r="AF24" s="18">
        <v>1910.0</v>
      </c>
      <c r="AG24" s="19" t="s">
        <v>29</v>
      </c>
      <c r="AJ24" s="11">
        <v>45685.0</v>
      </c>
      <c r="AK24" s="18">
        <v>4900.0</v>
      </c>
      <c r="AL24" s="19" t="s">
        <v>239</v>
      </c>
      <c r="AO24" s="11">
        <v>45695.0</v>
      </c>
      <c r="AP24" s="18">
        <v>1090.0</v>
      </c>
      <c r="AQ24" s="55" t="s">
        <v>240</v>
      </c>
      <c r="AT24" s="11">
        <v>45732.0</v>
      </c>
      <c r="AU24" s="18">
        <v>25000.0</v>
      </c>
      <c r="AV24" s="55" t="s">
        <v>241</v>
      </c>
      <c r="AW24" s="21">
        <f>70000-AU24-AU25-AU26-AU27-AU29-AU30-AU31-AU32</f>
        <v>-9308</v>
      </c>
      <c r="AX24" s="21" t="s">
        <v>242</v>
      </c>
      <c r="AY24" s="11">
        <v>45750.0</v>
      </c>
      <c r="AZ24" s="18">
        <v>8000.0</v>
      </c>
      <c r="BA24" s="68" t="s">
        <v>121</v>
      </c>
      <c r="BD24" s="11">
        <v>45808.0</v>
      </c>
      <c r="BE24" s="18">
        <v>620.0</v>
      </c>
      <c r="BF24" s="68" t="s">
        <v>121</v>
      </c>
      <c r="BG24" s="36"/>
      <c r="BI24" s="3"/>
      <c r="BJ24" s="3"/>
      <c r="BK24" s="3"/>
      <c r="BL24" s="3"/>
      <c r="BN24" s="3"/>
      <c r="BO24" s="3"/>
      <c r="BP24" s="3"/>
      <c r="BQ24" s="3"/>
      <c r="BR24" s="3"/>
      <c r="BS24" s="47">
        <v>45896.0</v>
      </c>
      <c r="BT24" s="38">
        <v>51585.0</v>
      </c>
      <c r="BU24" s="44" t="s">
        <v>243</v>
      </c>
      <c r="BV24" s="39"/>
      <c r="BW24" s="3"/>
      <c r="BX24" s="47">
        <v>45921.0</v>
      </c>
      <c r="BY24" s="49">
        <v>6870.0</v>
      </c>
      <c r="BZ24" s="38" t="s">
        <v>209</v>
      </c>
      <c r="CA24" s="39"/>
      <c r="CB24" s="3"/>
      <c r="CC24" s="47"/>
      <c r="CD24" s="38"/>
      <c r="CE24" s="38"/>
      <c r="CF24" s="39"/>
      <c r="CG24" s="3"/>
      <c r="CH24" s="47"/>
      <c r="CI24" s="38"/>
      <c r="CJ24" s="38"/>
      <c r="CK24" s="39"/>
      <c r="CL24" s="3"/>
      <c r="CM24" s="3"/>
    </row>
    <row r="25">
      <c r="A25" s="11">
        <v>45459.0</v>
      </c>
      <c r="B25" s="12">
        <v>44848.0</v>
      </c>
      <c r="C25" s="13" t="s">
        <v>244</v>
      </c>
      <c r="F25" s="11">
        <v>45490.0</v>
      </c>
      <c r="G25" s="12">
        <v>10000.0</v>
      </c>
      <c r="H25" s="13" t="s">
        <v>115</v>
      </c>
      <c r="K25" s="11">
        <v>45513.0</v>
      </c>
      <c r="L25" s="12">
        <v>28000.0</v>
      </c>
      <c r="M25" s="16" t="s">
        <v>245</v>
      </c>
      <c r="P25" s="11">
        <v>45546.0</v>
      </c>
      <c r="Q25" s="12">
        <v>18000.0</v>
      </c>
      <c r="R25" s="15" t="s">
        <v>21</v>
      </c>
      <c r="U25" s="11">
        <v>45570.0</v>
      </c>
      <c r="V25" s="12">
        <v>26050.0</v>
      </c>
      <c r="W25" s="16" t="s">
        <v>246</v>
      </c>
      <c r="Z25" s="11">
        <v>45604.0</v>
      </c>
      <c r="AA25" s="12">
        <v>91750.0</v>
      </c>
      <c r="AB25" s="15" t="s">
        <v>247</v>
      </c>
      <c r="AE25" s="11">
        <v>45630.0</v>
      </c>
      <c r="AF25" s="18">
        <v>4500.0</v>
      </c>
      <c r="AG25" s="19" t="s">
        <v>25</v>
      </c>
      <c r="AJ25" s="11">
        <v>45688.0</v>
      </c>
      <c r="AK25" s="18">
        <v>200000.0</v>
      </c>
      <c r="AL25" s="19" t="s">
        <v>40</v>
      </c>
      <c r="AM25" s="21">
        <f>20000-19652-AK25-AK26-AK27</f>
        <v>-262462</v>
      </c>
      <c r="AO25" s="11">
        <v>45695.0</v>
      </c>
      <c r="AP25" s="18">
        <v>8415.0</v>
      </c>
      <c r="AQ25" s="55" t="s">
        <v>156</v>
      </c>
      <c r="AT25" s="11">
        <v>45732.0</v>
      </c>
      <c r="AU25" s="18">
        <v>4300.0</v>
      </c>
      <c r="AV25" s="55" t="s">
        <v>248</v>
      </c>
      <c r="AY25" s="11">
        <v>45750.0</v>
      </c>
      <c r="AZ25" s="18">
        <v>13500.0</v>
      </c>
      <c r="BA25" s="20" t="s">
        <v>249</v>
      </c>
      <c r="BD25" s="36"/>
      <c r="BE25" s="36"/>
      <c r="BF25" s="36"/>
      <c r="BG25" s="36"/>
      <c r="BI25" s="3"/>
      <c r="BJ25" s="3"/>
      <c r="BK25" s="3"/>
      <c r="BL25" s="3"/>
      <c r="BN25" s="3"/>
      <c r="BO25" s="3"/>
      <c r="BP25" s="3"/>
      <c r="BQ25" s="3"/>
      <c r="BR25" s="3"/>
      <c r="BS25" s="47">
        <v>45897.0</v>
      </c>
      <c r="BT25" s="38">
        <v>64000.0</v>
      </c>
      <c r="BU25" s="44" t="s">
        <v>250</v>
      </c>
      <c r="BV25" s="39"/>
      <c r="BW25" s="3"/>
      <c r="BX25" s="47">
        <v>45922.0</v>
      </c>
      <c r="BY25" s="49">
        <v>9799.0</v>
      </c>
      <c r="BZ25" s="38" t="s">
        <v>251</v>
      </c>
      <c r="CA25" s="39"/>
      <c r="CB25" s="3"/>
      <c r="CC25" s="47"/>
      <c r="CD25" s="38"/>
      <c r="CE25" s="38"/>
      <c r="CF25" s="39"/>
      <c r="CG25" s="3"/>
      <c r="CH25" s="47"/>
      <c r="CI25" s="38"/>
      <c r="CJ25" s="38"/>
      <c r="CK25" s="39"/>
      <c r="CL25" s="3"/>
      <c r="CM25" s="3"/>
    </row>
    <row r="26">
      <c r="A26" s="11">
        <v>45468.0</v>
      </c>
      <c r="B26" s="12">
        <v>150000.0</v>
      </c>
      <c r="C26" s="13" t="s">
        <v>252</v>
      </c>
      <c r="F26" s="11">
        <v>45494.0</v>
      </c>
      <c r="G26" s="12">
        <v>20000.0</v>
      </c>
      <c r="H26" s="13" t="s">
        <v>34</v>
      </c>
      <c r="K26" s="11">
        <v>45514.0</v>
      </c>
      <c r="L26" s="12">
        <v>100000.0</v>
      </c>
      <c r="M26" s="16" t="s">
        <v>253</v>
      </c>
      <c r="N26" s="52">
        <f>150000+N18-L26-L28-L32-L33-L34-L35</f>
        <v>5853</v>
      </c>
      <c r="P26" s="11">
        <v>45546.0</v>
      </c>
      <c r="Q26" s="12">
        <v>8063.0</v>
      </c>
      <c r="R26" s="16" t="s">
        <v>254</v>
      </c>
      <c r="S26" s="52">
        <f>80000-S12-Q26-Q27-Q30</f>
        <v>30700</v>
      </c>
      <c r="U26" s="11">
        <v>45571.0</v>
      </c>
      <c r="V26" s="12">
        <v>70000.0</v>
      </c>
      <c r="W26" s="16" t="s">
        <v>36</v>
      </c>
      <c r="Z26" s="11">
        <v>45604.0</v>
      </c>
      <c r="AA26" s="12">
        <v>14890.0</v>
      </c>
      <c r="AB26" s="16" t="s">
        <v>255</v>
      </c>
      <c r="AE26" s="11">
        <v>45630.0</v>
      </c>
      <c r="AF26" s="18">
        <v>45000.0</v>
      </c>
      <c r="AG26" s="19" t="s">
        <v>256</v>
      </c>
      <c r="AJ26" s="11">
        <v>45688.0</v>
      </c>
      <c r="AK26" s="18">
        <v>50500.0</v>
      </c>
      <c r="AL26" s="19" t="s">
        <v>257</v>
      </c>
      <c r="AO26" s="11">
        <v>45695.0</v>
      </c>
      <c r="AP26" s="18">
        <v>490.0</v>
      </c>
      <c r="AQ26" s="55" t="s">
        <v>42</v>
      </c>
      <c r="AT26" s="11">
        <v>45732.0</v>
      </c>
      <c r="AU26" s="18">
        <v>39000.0</v>
      </c>
      <c r="AV26" s="55" t="s">
        <v>258</v>
      </c>
      <c r="AY26" s="11">
        <v>45751.0</v>
      </c>
      <c r="AZ26" s="18">
        <v>11300.0</v>
      </c>
      <c r="BA26" s="20" t="s">
        <v>190</v>
      </c>
      <c r="BD26" s="36"/>
      <c r="BE26" s="36"/>
      <c r="BF26" s="36"/>
      <c r="BG26" s="36"/>
      <c r="BI26" s="3"/>
      <c r="BJ26" s="3"/>
      <c r="BK26" s="3"/>
      <c r="BL26" s="3"/>
      <c r="BN26" s="3"/>
      <c r="BO26" s="3"/>
      <c r="BP26" s="3"/>
      <c r="BQ26" s="3"/>
      <c r="BR26" s="3"/>
      <c r="BS26" s="47">
        <v>45897.0</v>
      </c>
      <c r="BT26" s="38">
        <v>171000.0</v>
      </c>
      <c r="BU26" s="44" t="s">
        <v>259</v>
      </c>
      <c r="BV26" s="39"/>
      <c r="BW26" s="3"/>
      <c r="BX26" s="47">
        <v>45922.0</v>
      </c>
      <c r="BY26" s="49">
        <v>10000.0</v>
      </c>
      <c r="BZ26" s="38" t="s">
        <v>260</v>
      </c>
      <c r="CA26" s="39"/>
      <c r="CB26" s="3"/>
      <c r="CC26" s="47"/>
      <c r="CD26" s="38"/>
      <c r="CE26" s="38"/>
      <c r="CF26" s="39"/>
      <c r="CG26" s="3"/>
      <c r="CH26" s="47"/>
      <c r="CI26" s="38"/>
      <c r="CJ26" s="38"/>
      <c r="CK26" s="39"/>
      <c r="CL26" s="3"/>
      <c r="CM26" s="3"/>
    </row>
    <row r="27">
      <c r="A27" s="11">
        <v>45467.0</v>
      </c>
      <c r="B27" s="12">
        <v>28000.0</v>
      </c>
      <c r="C27" s="13" t="s">
        <v>261</v>
      </c>
      <c r="F27" s="11">
        <v>45495.0</v>
      </c>
      <c r="G27" s="12">
        <v>10000.0</v>
      </c>
      <c r="H27" s="13" t="s">
        <v>115</v>
      </c>
      <c r="K27" s="11">
        <v>45514.0</v>
      </c>
      <c r="L27" s="12">
        <v>7488.0</v>
      </c>
      <c r="M27" s="15" t="s">
        <v>21</v>
      </c>
      <c r="P27" s="11">
        <v>45546.0</v>
      </c>
      <c r="Q27" s="12">
        <v>2590.0</v>
      </c>
      <c r="R27" s="16" t="s">
        <v>262</v>
      </c>
      <c r="U27" s="11">
        <v>45571.0</v>
      </c>
      <c r="V27" s="12">
        <v>1050.0</v>
      </c>
      <c r="W27" s="16" t="s">
        <v>52</v>
      </c>
      <c r="Z27" s="40">
        <v>45607.0</v>
      </c>
      <c r="AA27" s="31">
        <v>29990.0</v>
      </c>
      <c r="AB27" s="77" t="s">
        <v>263</v>
      </c>
      <c r="AC27" s="52">
        <f>1000000-200000-654247-300000+AC17-AA28-AA29-AA30-AA31-AA32-AA33-AA34-AA35-AA36-AA37-AA38-AA39-AA26-AA16</f>
        <v>-189609</v>
      </c>
      <c r="AE27" s="11">
        <v>45630.0</v>
      </c>
      <c r="AF27" s="18">
        <v>62320.0</v>
      </c>
      <c r="AG27" s="20" t="s">
        <v>39</v>
      </c>
      <c r="AH27" s="35">
        <f>265102+AH22-AF26-AF31+16000-AF28-AF29-AF30-AF41-40000-AF42-AF39-AF40</f>
        <v>-19436</v>
      </c>
      <c r="AI27" s="21"/>
      <c r="AJ27" s="11">
        <v>45688.0</v>
      </c>
      <c r="AK27" s="18">
        <v>12310.0</v>
      </c>
      <c r="AL27" s="19" t="s">
        <v>264</v>
      </c>
      <c r="AM27" s="21">
        <f>115000-262462</f>
        <v>-147462</v>
      </c>
      <c r="AO27" s="11">
        <v>45695.0</v>
      </c>
      <c r="AP27" s="18">
        <v>1210.0</v>
      </c>
      <c r="AQ27" s="55" t="s">
        <v>42</v>
      </c>
      <c r="AT27" s="11">
        <v>45732.0</v>
      </c>
      <c r="AU27" s="18">
        <v>5973.0</v>
      </c>
      <c r="AV27" s="55" t="s">
        <v>42</v>
      </c>
      <c r="AY27" s="11">
        <v>45753.0</v>
      </c>
      <c r="AZ27" s="18">
        <v>10000.0</v>
      </c>
      <c r="BA27" s="68" t="s">
        <v>121</v>
      </c>
      <c r="BD27" s="36"/>
      <c r="BE27" s="36"/>
      <c r="BF27" s="36"/>
      <c r="BG27" s="36"/>
      <c r="BI27" s="3"/>
      <c r="BJ27" s="3"/>
      <c r="BK27" s="3"/>
      <c r="BL27" s="3"/>
      <c r="BN27" s="3"/>
      <c r="BO27" s="3"/>
      <c r="BP27" s="3"/>
      <c r="BQ27" s="3"/>
      <c r="BR27" s="3"/>
      <c r="BS27" s="47">
        <v>45899.0</v>
      </c>
      <c r="BT27" s="38">
        <v>13990.0</v>
      </c>
      <c r="BU27" s="44" t="s">
        <v>163</v>
      </c>
      <c r="BV27" s="39"/>
      <c r="BW27" s="3"/>
      <c r="BX27" s="47">
        <v>45922.0</v>
      </c>
      <c r="BY27" s="49">
        <v>25000.0</v>
      </c>
      <c r="BZ27" s="38" t="s">
        <v>265</v>
      </c>
      <c r="CA27" s="39"/>
      <c r="CB27" s="3"/>
      <c r="CC27" s="47"/>
      <c r="CD27" s="38"/>
      <c r="CE27" s="38"/>
      <c r="CF27" s="39"/>
      <c r="CG27" s="3"/>
      <c r="CH27" s="47"/>
      <c r="CI27" s="38"/>
      <c r="CJ27" s="38"/>
      <c r="CK27" s="39"/>
      <c r="CL27" s="3"/>
      <c r="CM27" s="3"/>
    </row>
    <row r="28">
      <c r="A28" s="11">
        <v>45471.0</v>
      </c>
      <c r="B28" s="12">
        <v>77373.0</v>
      </c>
      <c r="C28" s="13" t="s">
        <v>266</v>
      </c>
      <c r="F28" s="11">
        <v>45496.0</v>
      </c>
      <c r="G28" s="12">
        <v>62640.0</v>
      </c>
      <c r="H28" s="13" t="s">
        <v>34</v>
      </c>
      <c r="K28" s="11">
        <v>45514.0</v>
      </c>
      <c r="L28" s="13">
        <v>18600.0</v>
      </c>
      <c r="M28" s="16" t="s">
        <v>267</v>
      </c>
      <c r="P28" s="11">
        <v>45547.0</v>
      </c>
      <c r="Q28" s="12">
        <v>46000.0</v>
      </c>
      <c r="R28" s="15" t="s">
        <v>121</v>
      </c>
      <c r="U28" s="11">
        <v>45573.0</v>
      </c>
      <c r="V28" s="12">
        <v>10000.0</v>
      </c>
      <c r="W28" s="16" t="s">
        <v>268</v>
      </c>
      <c r="Z28" s="11">
        <v>45605.0</v>
      </c>
      <c r="AA28" s="12">
        <v>200000.0</v>
      </c>
      <c r="AB28" s="16" t="s">
        <v>269</v>
      </c>
      <c r="AC28" s="21"/>
      <c r="AE28" s="11">
        <v>45631.0</v>
      </c>
      <c r="AF28" s="18">
        <v>38563.0</v>
      </c>
      <c r="AG28" s="19" t="s">
        <v>24</v>
      </c>
      <c r="AJ28" s="11">
        <v>45663.0</v>
      </c>
      <c r="AK28" s="18">
        <v>18400.0</v>
      </c>
      <c r="AL28" s="68" t="s">
        <v>121</v>
      </c>
      <c r="AO28" s="11">
        <v>45695.0</v>
      </c>
      <c r="AP28" s="18">
        <v>2215.0</v>
      </c>
      <c r="AQ28" s="55" t="s">
        <v>270</v>
      </c>
      <c r="AT28" s="11">
        <v>45733.0</v>
      </c>
      <c r="AU28" s="19">
        <v>1650.0</v>
      </c>
      <c r="AV28" s="18" t="s">
        <v>41</v>
      </c>
      <c r="AY28" s="11">
        <v>45754.0</v>
      </c>
      <c r="AZ28" s="18">
        <v>15431.0</v>
      </c>
      <c r="BA28" s="20" t="s">
        <v>190</v>
      </c>
      <c r="BD28" s="36"/>
      <c r="BE28" s="36"/>
      <c r="BF28" s="36"/>
      <c r="BG28" s="36"/>
      <c r="BI28" s="3"/>
      <c r="BJ28" s="3"/>
      <c r="BK28" s="3"/>
      <c r="BL28" s="3"/>
      <c r="BN28" s="3"/>
      <c r="BO28" s="3"/>
      <c r="BP28" s="3"/>
      <c r="BQ28" s="3"/>
      <c r="BR28" s="3"/>
      <c r="BS28" s="47">
        <v>45899.0</v>
      </c>
      <c r="BT28" s="49">
        <v>7000.0</v>
      </c>
      <c r="BU28" s="38" t="s">
        <v>124</v>
      </c>
      <c r="BV28" s="39"/>
      <c r="BW28" s="3"/>
      <c r="BX28" s="47">
        <v>45924.0</v>
      </c>
      <c r="BY28" s="49">
        <v>30000.0</v>
      </c>
      <c r="BZ28" s="38" t="s">
        <v>271</v>
      </c>
      <c r="CA28" s="39"/>
      <c r="CB28" s="3"/>
      <c r="CC28" s="47"/>
      <c r="CD28" s="38"/>
      <c r="CE28" s="38"/>
      <c r="CF28" s="39"/>
      <c r="CG28" s="3"/>
      <c r="CH28" s="47"/>
      <c r="CI28" s="38"/>
      <c r="CJ28" s="38"/>
      <c r="CK28" s="39"/>
      <c r="CL28" s="3"/>
      <c r="CM28" s="3"/>
    </row>
    <row r="29">
      <c r="A29" s="11">
        <v>45470.0</v>
      </c>
      <c r="B29" s="12">
        <v>9000.0</v>
      </c>
      <c r="C29" s="13" t="s">
        <v>272</v>
      </c>
      <c r="F29" s="11">
        <v>45496.0</v>
      </c>
      <c r="G29" s="12">
        <v>47200.0</v>
      </c>
      <c r="H29" s="13" t="s">
        <v>273</v>
      </c>
      <c r="K29" s="11"/>
      <c r="L29" s="12"/>
      <c r="M29" s="13"/>
      <c r="P29" s="11">
        <v>45548.0</v>
      </c>
      <c r="Q29" s="12">
        <v>24500.0</v>
      </c>
      <c r="R29" s="15" t="s">
        <v>274</v>
      </c>
      <c r="S29" s="52">
        <f>300000+S26-Q31-Q35-150000-21000-Q36-Q38</f>
        <v>114638</v>
      </c>
      <c r="U29" s="11">
        <v>45573.0</v>
      </c>
      <c r="V29" s="12">
        <v>330000.0</v>
      </c>
      <c r="W29" s="16" t="s">
        <v>275</v>
      </c>
      <c r="X29" s="52">
        <f>166864+X14-V30-V31-V32-V33-V34-V35-V36</f>
        <v>47000</v>
      </c>
      <c r="Z29" s="11">
        <v>45601.0</v>
      </c>
      <c r="AA29" s="12">
        <f>1440+1230</f>
        <v>2670</v>
      </c>
      <c r="AB29" s="16" t="s">
        <v>276</v>
      </c>
      <c r="AE29" s="11">
        <v>45631.0</v>
      </c>
      <c r="AF29" s="18">
        <v>11219.0</v>
      </c>
      <c r="AG29" s="19" t="s">
        <v>277</v>
      </c>
      <c r="AJ29" s="11">
        <v>45667.0</v>
      </c>
      <c r="AK29" s="18">
        <v>3000.0</v>
      </c>
      <c r="AL29" s="68" t="s">
        <v>25</v>
      </c>
      <c r="AO29" s="11">
        <v>45695.0</v>
      </c>
      <c r="AP29" s="18">
        <v>3610.0</v>
      </c>
      <c r="AQ29" s="55" t="s">
        <v>278</v>
      </c>
      <c r="AT29" s="11">
        <v>45734.0</v>
      </c>
      <c r="AU29" s="18">
        <v>670.0</v>
      </c>
      <c r="AV29" s="55" t="s">
        <v>279</v>
      </c>
      <c r="AY29" s="11">
        <v>45756.0</v>
      </c>
      <c r="AZ29" s="18">
        <v>4000.0</v>
      </c>
      <c r="BA29" s="68" t="s">
        <v>121</v>
      </c>
      <c r="BI29" s="3"/>
      <c r="BJ29" s="3"/>
      <c r="BK29" s="3"/>
      <c r="BL29" s="3"/>
      <c r="BN29" s="3"/>
      <c r="BO29" s="3"/>
      <c r="BP29" s="3"/>
      <c r="BQ29" s="3"/>
      <c r="BR29" s="3"/>
      <c r="BS29" s="39"/>
      <c r="BT29" s="49">
        <v>5600.0</v>
      </c>
      <c r="BU29" s="38" t="s">
        <v>25</v>
      </c>
      <c r="BV29" s="39"/>
      <c r="BW29" s="3"/>
      <c r="BX29" s="47">
        <v>45924.0</v>
      </c>
      <c r="BY29" s="49">
        <v>12500.0</v>
      </c>
      <c r="BZ29" s="38" t="s">
        <v>280</v>
      </c>
      <c r="CA29" s="39"/>
      <c r="CB29" s="3"/>
      <c r="CC29" s="47"/>
      <c r="CD29" s="38"/>
      <c r="CE29" s="38"/>
      <c r="CF29" s="39"/>
      <c r="CG29" s="3"/>
      <c r="CH29" s="47"/>
      <c r="CI29" s="38"/>
      <c r="CJ29" s="38"/>
      <c r="CK29" s="39"/>
      <c r="CL29" s="3"/>
      <c r="CM29" s="3"/>
    </row>
    <row r="30">
      <c r="A30" s="11">
        <v>45470.0</v>
      </c>
      <c r="B30" s="12">
        <v>1930.0</v>
      </c>
      <c r="C30" s="13" t="s">
        <v>52</v>
      </c>
      <c r="F30" s="11">
        <v>45496.0</v>
      </c>
      <c r="G30" s="12">
        <v>9000.0</v>
      </c>
      <c r="H30" s="13" t="s">
        <v>249</v>
      </c>
      <c r="K30" s="11">
        <v>45516.0</v>
      </c>
      <c r="L30" s="12">
        <v>24000.0</v>
      </c>
      <c r="M30" s="15" t="s">
        <v>21</v>
      </c>
      <c r="P30" s="11">
        <v>45546.0</v>
      </c>
      <c r="Q30" s="13">
        <v>5000.0</v>
      </c>
      <c r="R30" s="16" t="s">
        <v>281</v>
      </c>
      <c r="U30" s="11">
        <v>45573.0</v>
      </c>
      <c r="V30" s="13">
        <v>19000.0</v>
      </c>
      <c r="W30" s="16" t="s">
        <v>165</v>
      </c>
      <c r="Z30" s="11">
        <v>45603.0</v>
      </c>
      <c r="AA30" s="13">
        <v>10000.0</v>
      </c>
      <c r="AB30" s="16" t="s">
        <v>282</v>
      </c>
      <c r="AE30" s="11">
        <v>45631.0</v>
      </c>
      <c r="AF30" s="18">
        <v>150000.0</v>
      </c>
      <c r="AG30" s="19" t="s">
        <v>283</v>
      </c>
      <c r="AJ30" s="11">
        <v>45667.0</v>
      </c>
      <c r="AK30" s="18">
        <v>11050.0</v>
      </c>
      <c r="AL30" s="68" t="s">
        <v>163</v>
      </c>
      <c r="AO30" s="11">
        <v>45695.0</v>
      </c>
      <c r="AP30" s="18">
        <v>3050.0</v>
      </c>
      <c r="AQ30" s="55" t="s">
        <v>284</v>
      </c>
      <c r="AT30" s="11">
        <v>45734.0</v>
      </c>
      <c r="AU30" s="18">
        <v>1300.0</v>
      </c>
      <c r="AV30" s="55" t="s">
        <v>285</v>
      </c>
      <c r="AY30" s="11">
        <v>45756.0</v>
      </c>
      <c r="AZ30" s="18">
        <v>1312.0</v>
      </c>
      <c r="BA30" s="68" t="s">
        <v>121</v>
      </c>
      <c r="BI30" s="3"/>
      <c r="BJ30" s="3"/>
      <c r="BK30" s="3"/>
      <c r="BL30" s="3"/>
      <c r="BN30" s="3"/>
      <c r="BO30" s="3"/>
      <c r="BP30" s="3"/>
      <c r="BQ30" s="3"/>
      <c r="BR30" s="3"/>
      <c r="BS30" s="47"/>
      <c r="BT30" s="49"/>
      <c r="BU30" s="38"/>
      <c r="BV30" s="39"/>
      <c r="BW30" s="3"/>
      <c r="BX30" s="47">
        <v>45927.0</v>
      </c>
      <c r="BY30" s="49">
        <v>19000.0</v>
      </c>
      <c r="BZ30" s="38" t="s">
        <v>286</v>
      </c>
      <c r="CA30" s="39"/>
      <c r="CB30" s="3"/>
      <c r="CC30" s="47"/>
      <c r="CD30" s="38"/>
      <c r="CE30" s="38"/>
      <c r="CF30" s="39"/>
      <c r="CG30" s="3"/>
      <c r="CH30" s="47"/>
      <c r="CI30" s="38"/>
      <c r="CJ30" s="38"/>
      <c r="CK30" s="39"/>
      <c r="CL30" s="3"/>
      <c r="CM30" s="3"/>
    </row>
    <row r="31">
      <c r="A31" s="36"/>
      <c r="B31" s="12"/>
      <c r="C31" s="78"/>
      <c r="F31" s="11">
        <v>45496.0</v>
      </c>
      <c r="G31" s="12">
        <v>1270.0</v>
      </c>
      <c r="H31" s="13" t="s">
        <v>287</v>
      </c>
      <c r="K31" s="11">
        <v>45516.0</v>
      </c>
      <c r="L31" s="12">
        <v>8000.0</v>
      </c>
      <c r="M31" s="15" t="s">
        <v>21</v>
      </c>
      <c r="P31" s="11">
        <v>45551.0</v>
      </c>
      <c r="Q31" s="12">
        <v>4220.0</v>
      </c>
      <c r="R31" s="16" t="s">
        <v>288</v>
      </c>
      <c r="U31" s="11">
        <v>45574.0</v>
      </c>
      <c r="V31" s="12">
        <v>1820.0</v>
      </c>
      <c r="W31" s="16" t="s">
        <v>289</v>
      </c>
      <c r="Z31" s="11">
        <v>45603.0</v>
      </c>
      <c r="AA31" s="12">
        <v>6000.0</v>
      </c>
      <c r="AB31" s="16" t="s">
        <v>290</v>
      </c>
      <c r="AE31" s="11">
        <v>45631.0</v>
      </c>
      <c r="AF31" s="18">
        <v>6500.0</v>
      </c>
      <c r="AG31" s="19" t="s">
        <v>291</v>
      </c>
      <c r="AJ31" s="11">
        <v>45670.0</v>
      </c>
      <c r="AK31" s="18">
        <v>12000.0</v>
      </c>
      <c r="AL31" s="68" t="s">
        <v>121</v>
      </c>
      <c r="AO31" s="11">
        <v>45695.0</v>
      </c>
      <c r="AP31" s="18">
        <v>4298.0</v>
      </c>
      <c r="AQ31" s="55" t="s">
        <v>120</v>
      </c>
      <c r="AT31" s="11">
        <v>45734.0</v>
      </c>
      <c r="AU31" s="18">
        <v>1640.0</v>
      </c>
      <c r="AV31" s="55" t="s">
        <v>42</v>
      </c>
      <c r="AY31" s="11">
        <v>45757.0</v>
      </c>
      <c r="AZ31" s="18">
        <v>2800.0</v>
      </c>
      <c r="BA31" s="68" t="s">
        <v>121</v>
      </c>
      <c r="BI31" s="3"/>
      <c r="BJ31" s="3"/>
      <c r="BK31" s="3"/>
      <c r="BL31" s="3"/>
      <c r="BN31" s="3"/>
      <c r="BO31" s="3"/>
      <c r="BP31" s="3"/>
      <c r="BQ31" s="3"/>
      <c r="BR31" s="3"/>
      <c r="BS31" s="47"/>
      <c r="BT31" s="38"/>
      <c r="BU31" s="38"/>
      <c r="BV31" s="39"/>
      <c r="BW31" s="3"/>
      <c r="BX31" s="47">
        <v>45929.0</v>
      </c>
      <c r="BY31" s="49">
        <v>30000.0</v>
      </c>
      <c r="BZ31" s="38" t="s">
        <v>292</v>
      </c>
      <c r="CA31" s="39"/>
      <c r="CB31" s="3"/>
      <c r="CC31" s="47"/>
      <c r="CD31" s="38"/>
      <c r="CE31" s="38"/>
      <c r="CF31" s="39"/>
      <c r="CG31" s="3"/>
      <c r="CH31" s="47"/>
      <c r="CI31" s="38"/>
      <c r="CJ31" s="38"/>
      <c r="CK31" s="39"/>
      <c r="CL31" s="3"/>
      <c r="CM31" s="3"/>
    </row>
    <row r="32">
      <c r="A32" s="36"/>
      <c r="B32" s="12"/>
      <c r="C32" s="78"/>
      <c r="F32" s="11">
        <v>45499.0</v>
      </c>
      <c r="G32" s="12">
        <v>38000.0</v>
      </c>
      <c r="H32" s="13" t="s">
        <v>293</v>
      </c>
      <c r="K32" s="11">
        <v>45517.0</v>
      </c>
      <c r="L32" s="13">
        <v>18600.0</v>
      </c>
      <c r="M32" s="16" t="s">
        <v>294</v>
      </c>
      <c r="P32" s="11">
        <v>45551.0</v>
      </c>
      <c r="Q32" s="12">
        <v>29000.0</v>
      </c>
      <c r="R32" s="15" t="s">
        <v>121</v>
      </c>
      <c r="U32" s="11">
        <v>45574.0</v>
      </c>
      <c r="V32" s="12">
        <v>15000.0</v>
      </c>
      <c r="W32" s="16" t="s">
        <v>295</v>
      </c>
      <c r="Z32" s="11">
        <v>45604.0</v>
      </c>
      <c r="AA32" s="12">
        <v>3600.0</v>
      </c>
      <c r="AB32" s="16" t="s">
        <v>25</v>
      </c>
      <c r="AE32" s="11">
        <v>45629.0</v>
      </c>
      <c r="AF32" s="18">
        <v>974400.0</v>
      </c>
      <c r="AG32" s="20" t="s">
        <v>296</v>
      </c>
      <c r="AJ32" s="11">
        <v>45670.0</v>
      </c>
      <c r="AK32" s="18">
        <v>305765.0</v>
      </c>
      <c r="AL32" s="68" t="s">
        <v>297</v>
      </c>
      <c r="AO32" s="11">
        <v>45698.0</v>
      </c>
      <c r="AP32" s="18">
        <v>10500.0</v>
      </c>
      <c r="AQ32" s="19" t="s">
        <v>60</v>
      </c>
      <c r="AR32" s="21">
        <f>120000-AP32-AP33-AP34-AP35</f>
        <v>866</v>
      </c>
      <c r="AT32" s="11">
        <v>45734.0</v>
      </c>
      <c r="AU32" s="18">
        <v>1425.0</v>
      </c>
      <c r="AV32" s="55" t="s">
        <v>298</v>
      </c>
      <c r="AY32" s="11">
        <v>45757.0</v>
      </c>
      <c r="AZ32" s="18">
        <v>4880.0</v>
      </c>
      <c r="BA32" s="68" t="s">
        <v>121</v>
      </c>
      <c r="BI32" s="3"/>
      <c r="BJ32" s="3"/>
      <c r="BK32" s="3"/>
      <c r="BL32" s="3"/>
      <c r="BN32" s="3"/>
      <c r="BO32" s="3"/>
      <c r="BP32" s="3"/>
      <c r="BQ32" s="3"/>
      <c r="BR32" s="3"/>
      <c r="BS32" s="47"/>
      <c r="BT32" s="38"/>
      <c r="BU32" s="38"/>
      <c r="BV32" s="39"/>
      <c r="BW32" s="3"/>
      <c r="BX32" s="47">
        <v>45929.0</v>
      </c>
      <c r="BY32" s="49">
        <v>11500.0</v>
      </c>
      <c r="BZ32" s="38" t="s">
        <v>299</v>
      </c>
      <c r="CA32" s="39"/>
      <c r="CB32" s="3"/>
      <c r="CC32" s="47"/>
      <c r="CD32" s="38"/>
      <c r="CE32" s="38"/>
      <c r="CF32" s="39"/>
      <c r="CG32" s="3"/>
      <c r="CH32" s="47"/>
      <c r="CI32" s="38"/>
      <c r="CJ32" s="38"/>
      <c r="CK32" s="39"/>
      <c r="CL32" s="3"/>
      <c r="CM32" s="3"/>
    </row>
    <row r="33">
      <c r="A33" s="36"/>
      <c r="B33" s="12"/>
      <c r="C33" s="78"/>
      <c r="F33" s="11">
        <v>45497.0</v>
      </c>
      <c r="G33" s="12">
        <v>55900.0</v>
      </c>
      <c r="H33" s="13" t="s">
        <v>300</v>
      </c>
      <c r="K33" s="11">
        <v>45517.0</v>
      </c>
      <c r="L33" s="12">
        <v>2050.0</v>
      </c>
      <c r="M33" s="16" t="s">
        <v>52</v>
      </c>
      <c r="P33" s="11">
        <v>45551.0</v>
      </c>
      <c r="Q33" s="12">
        <v>280640.0</v>
      </c>
      <c r="R33" s="15" t="s">
        <v>65</v>
      </c>
      <c r="U33" s="11">
        <v>45575.0</v>
      </c>
      <c r="V33" s="12">
        <v>2300.0</v>
      </c>
      <c r="W33" s="16" t="s">
        <v>52</v>
      </c>
      <c r="Z33" s="11">
        <v>45604.0</v>
      </c>
      <c r="AA33" s="12">
        <v>25000.0</v>
      </c>
      <c r="AB33" s="16" t="s">
        <v>301</v>
      </c>
      <c r="AE33" s="11">
        <v>45629.0</v>
      </c>
      <c r="AF33" s="18">
        <v>427595.0</v>
      </c>
      <c r="AG33" s="20" t="s">
        <v>302</v>
      </c>
      <c r="AJ33" s="11">
        <v>45672.0</v>
      </c>
      <c r="AK33" s="18">
        <v>4070.0</v>
      </c>
      <c r="AL33" s="68" t="s">
        <v>163</v>
      </c>
      <c r="AO33" s="11">
        <v>45698.0</v>
      </c>
      <c r="AP33" s="18">
        <v>51000.0</v>
      </c>
      <c r="AQ33" s="19" t="s">
        <v>303</v>
      </c>
      <c r="AT33" s="11">
        <v>45736.0</v>
      </c>
      <c r="AU33" s="19">
        <v>4500.0</v>
      </c>
      <c r="AV33" s="18" t="s">
        <v>25</v>
      </c>
      <c r="AW33" s="21">
        <f>46368-6638-39730</f>
        <v>0</v>
      </c>
      <c r="AY33" s="11">
        <v>45757.0</v>
      </c>
      <c r="AZ33" s="18">
        <v>4000.0</v>
      </c>
      <c r="BA33" s="68" t="s">
        <v>121</v>
      </c>
      <c r="BI33" s="3"/>
      <c r="BJ33" s="3"/>
      <c r="BK33" s="3"/>
      <c r="BL33" s="3"/>
      <c r="BN33" s="3"/>
      <c r="BO33" s="3"/>
      <c r="BP33" s="3"/>
      <c r="BQ33" s="3"/>
      <c r="BR33" s="3"/>
      <c r="BS33" s="39"/>
      <c r="BT33" s="39"/>
      <c r="BU33" s="39"/>
      <c r="BV33" s="39"/>
      <c r="BW33" s="3"/>
      <c r="BX33" s="47">
        <v>45909.0</v>
      </c>
      <c r="BY33" s="38">
        <v>11800.0</v>
      </c>
      <c r="BZ33" s="44" t="s">
        <v>165</v>
      </c>
      <c r="CA33" s="39"/>
      <c r="CB33" s="3"/>
      <c r="CC33" s="47"/>
      <c r="CD33" s="38"/>
      <c r="CE33" s="38"/>
      <c r="CF33" s="39"/>
      <c r="CG33" s="3"/>
      <c r="CH33" s="47"/>
      <c r="CI33" s="38"/>
      <c r="CJ33" s="38"/>
      <c r="CK33" s="39"/>
      <c r="CL33" s="3"/>
      <c r="CM33" s="3"/>
    </row>
    <row r="34">
      <c r="A34" s="36"/>
      <c r="B34" s="12"/>
      <c r="C34" s="78"/>
      <c r="F34" s="11">
        <v>45499.0</v>
      </c>
      <c r="G34" s="12">
        <v>164829.0</v>
      </c>
      <c r="H34" s="13" t="s">
        <v>19</v>
      </c>
      <c r="K34" s="11">
        <v>45518.0</v>
      </c>
      <c r="L34" s="12">
        <v>15180.0</v>
      </c>
      <c r="M34" s="74" t="s">
        <v>304</v>
      </c>
      <c r="P34" s="11">
        <v>45552.0</v>
      </c>
      <c r="Q34" s="12">
        <v>200000.0</v>
      </c>
      <c r="R34" s="15" t="s">
        <v>305</v>
      </c>
      <c r="U34" s="11">
        <v>45575.0</v>
      </c>
      <c r="V34" s="12">
        <v>2130.0</v>
      </c>
      <c r="W34" s="16" t="s">
        <v>154</v>
      </c>
      <c r="Z34" s="11">
        <v>45604.0</v>
      </c>
      <c r="AA34" s="12">
        <v>4590.0</v>
      </c>
      <c r="AB34" s="16" t="s">
        <v>264</v>
      </c>
      <c r="AC34" s="52">
        <f>200000+AC27-AA40-AA41</f>
        <v>-973</v>
      </c>
      <c r="AE34" s="11">
        <v>45631.0</v>
      </c>
      <c r="AF34" s="18">
        <v>29010.0</v>
      </c>
      <c r="AG34" s="20" t="s">
        <v>274</v>
      </c>
      <c r="AJ34" s="11">
        <v>45672.0</v>
      </c>
      <c r="AK34" s="18">
        <v>243600.0</v>
      </c>
      <c r="AL34" s="68" t="s">
        <v>306</v>
      </c>
      <c r="AO34" s="11">
        <v>45698.0</v>
      </c>
      <c r="AP34" s="18">
        <v>50634.0</v>
      </c>
      <c r="AQ34" s="19" t="s">
        <v>303</v>
      </c>
      <c r="AT34" s="11">
        <v>45736.0</v>
      </c>
      <c r="AU34" s="19">
        <v>7710.0</v>
      </c>
      <c r="AV34" s="18" t="s">
        <v>307</v>
      </c>
      <c r="AW34" s="21">
        <f>20000-AU33-AU34-AU35</f>
        <v>3790</v>
      </c>
      <c r="AY34" s="11">
        <v>45758.0</v>
      </c>
      <c r="AZ34" s="18">
        <v>3000.0</v>
      </c>
      <c r="BA34" s="68" t="s">
        <v>121</v>
      </c>
      <c r="BI34" s="3"/>
      <c r="BJ34" s="3"/>
      <c r="BK34" s="3"/>
      <c r="BL34" s="3"/>
      <c r="BN34" s="3"/>
      <c r="BO34" s="3"/>
      <c r="BP34" s="3"/>
      <c r="BQ34" s="3"/>
      <c r="BR34" s="3"/>
      <c r="BS34" s="39"/>
      <c r="BT34" s="39"/>
      <c r="BU34" s="39"/>
      <c r="BV34" s="39"/>
      <c r="BW34" s="3"/>
      <c r="BX34" s="47">
        <v>45916.0</v>
      </c>
      <c r="BY34" s="38">
        <v>11435.0</v>
      </c>
      <c r="BZ34" s="44" t="s">
        <v>163</v>
      </c>
      <c r="CA34" s="39"/>
      <c r="CB34" s="3"/>
      <c r="CC34" s="47"/>
      <c r="CD34" s="38"/>
      <c r="CE34" s="38"/>
      <c r="CF34" s="39"/>
      <c r="CG34" s="3"/>
      <c r="CH34" s="47"/>
      <c r="CI34" s="38"/>
      <c r="CJ34" s="38"/>
      <c r="CK34" s="39"/>
      <c r="CL34" s="3"/>
      <c r="CM34" s="3"/>
    </row>
    <row r="35">
      <c r="A35" s="36"/>
      <c r="B35" s="12"/>
      <c r="C35" s="78"/>
      <c r="F35" s="11">
        <v>45500.0</v>
      </c>
      <c r="G35" s="12">
        <v>9000.0</v>
      </c>
      <c r="H35" s="13" t="s">
        <v>308</v>
      </c>
      <c r="K35" s="11">
        <v>45518.0</v>
      </c>
      <c r="L35" s="12">
        <v>5642.0</v>
      </c>
      <c r="M35" s="16" t="s">
        <v>309</v>
      </c>
      <c r="P35" s="11">
        <v>45553.0</v>
      </c>
      <c r="Q35" s="12">
        <v>10000.0</v>
      </c>
      <c r="R35" s="16" t="s">
        <v>222</v>
      </c>
      <c r="U35" s="11">
        <v>45575.0</v>
      </c>
      <c r="V35" s="12">
        <v>5000.0</v>
      </c>
      <c r="W35" s="16" t="s">
        <v>310</v>
      </c>
      <c r="Z35" s="11">
        <v>45604.0</v>
      </c>
      <c r="AA35" s="12">
        <v>450.0</v>
      </c>
      <c r="AB35" s="16" t="s">
        <v>311</v>
      </c>
      <c r="AE35" s="11">
        <v>45632.0</v>
      </c>
      <c r="AF35" s="18">
        <v>500000.0</v>
      </c>
      <c r="AG35" s="20" t="s">
        <v>312</v>
      </c>
      <c r="AJ35" s="11">
        <v>45672.0</v>
      </c>
      <c r="AK35" s="18">
        <v>11995.0</v>
      </c>
      <c r="AL35" s="68" t="s">
        <v>121</v>
      </c>
      <c r="AO35" s="11">
        <v>45698.0</v>
      </c>
      <c r="AP35" s="18">
        <v>7000.0</v>
      </c>
      <c r="AQ35" s="19" t="s">
        <v>313</v>
      </c>
      <c r="AT35" s="11">
        <v>45747.0</v>
      </c>
      <c r="AU35" s="19">
        <v>4000.0</v>
      </c>
      <c r="AV35" s="18" t="s">
        <v>25</v>
      </c>
      <c r="AY35" s="11">
        <v>45761.0</v>
      </c>
      <c r="AZ35" s="18">
        <v>17500.0</v>
      </c>
      <c r="BA35" s="68" t="s">
        <v>121</v>
      </c>
      <c r="BI35" s="3"/>
      <c r="BJ35" s="3"/>
      <c r="BK35" s="3"/>
      <c r="BL35" s="3"/>
      <c r="BN35" s="3"/>
      <c r="BO35" s="3"/>
      <c r="BP35" s="3"/>
      <c r="BQ35" s="3"/>
      <c r="BR35" s="3"/>
      <c r="BS35" s="39"/>
      <c r="BT35" s="39"/>
      <c r="BU35" s="39"/>
      <c r="BV35" s="39"/>
      <c r="BW35" s="3"/>
      <c r="BX35" s="47">
        <v>45929.0</v>
      </c>
      <c r="BY35" s="38">
        <v>50000.0</v>
      </c>
      <c r="BZ35" s="44" t="s">
        <v>43</v>
      </c>
      <c r="CA35" s="39"/>
      <c r="CB35" s="3"/>
      <c r="CC35" s="47"/>
      <c r="CD35" s="38"/>
      <c r="CE35" s="38"/>
      <c r="CF35" s="39"/>
      <c r="CG35" s="3"/>
      <c r="CH35" s="47"/>
      <c r="CI35" s="38"/>
      <c r="CJ35" s="38"/>
      <c r="CK35" s="39"/>
      <c r="CL35" s="3"/>
      <c r="CM35" s="3"/>
    </row>
    <row r="36">
      <c r="A36" s="36"/>
      <c r="B36" s="12"/>
      <c r="C36" s="78"/>
      <c r="F36" s="11">
        <v>45500.0</v>
      </c>
      <c r="G36" s="12">
        <v>12000.0</v>
      </c>
      <c r="H36" s="13" t="s">
        <v>34</v>
      </c>
      <c r="K36" s="11">
        <v>45518.0</v>
      </c>
      <c r="L36" s="12">
        <v>5000.0</v>
      </c>
      <c r="M36" s="16" t="s">
        <v>314</v>
      </c>
      <c r="N36" s="22">
        <f>100000+N26-L36-L37-L38-L39-L40-L41-L42-L43</f>
        <v>-7353</v>
      </c>
      <c r="P36" s="11">
        <v>45554.0</v>
      </c>
      <c r="Q36" s="12">
        <v>10842.0</v>
      </c>
      <c r="R36" s="16" t="s">
        <v>315</v>
      </c>
      <c r="U36" s="11">
        <v>45575.0</v>
      </c>
      <c r="V36" s="12">
        <v>7750.0</v>
      </c>
      <c r="W36" s="16" t="s">
        <v>316</v>
      </c>
      <c r="Z36" s="11">
        <v>45604.0</v>
      </c>
      <c r="AA36" s="12">
        <v>900.0</v>
      </c>
      <c r="AB36" s="16" t="s">
        <v>311</v>
      </c>
      <c r="AE36" s="11">
        <v>45632.0</v>
      </c>
      <c r="AF36" s="18">
        <v>21120.0</v>
      </c>
      <c r="AG36" s="20" t="s">
        <v>317</v>
      </c>
      <c r="AJ36" s="11">
        <v>45673.0</v>
      </c>
      <c r="AK36" s="18">
        <v>12000.0</v>
      </c>
      <c r="AL36" s="68" t="s">
        <v>121</v>
      </c>
      <c r="AO36" s="11">
        <v>45698.0</v>
      </c>
      <c r="AP36" s="18">
        <v>25000.0</v>
      </c>
      <c r="AQ36" s="19" t="s">
        <v>318</v>
      </c>
      <c r="AT36" s="11">
        <v>45717.0</v>
      </c>
      <c r="AU36" s="18">
        <v>1950.0</v>
      </c>
      <c r="AV36" s="68" t="s">
        <v>59</v>
      </c>
      <c r="AY36" s="11">
        <v>45764.0</v>
      </c>
      <c r="AZ36" s="18">
        <v>35520.0</v>
      </c>
      <c r="BA36" s="68" t="s">
        <v>121</v>
      </c>
      <c r="BI36" s="3"/>
      <c r="BJ36" s="3"/>
      <c r="BK36" s="3"/>
      <c r="BL36" s="3"/>
      <c r="BN36" s="3"/>
      <c r="BO36" s="3"/>
      <c r="BP36" s="3"/>
      <c r="BQ36" s="3"/>
      <c r="BR36" s="3"/>
      <c r="BS36" s="39"/>
      <c r="BT36" s="39"/>
      <c r="BU36" s="39"/>
      <c r="BV36" s="39"/>
      <c r="BW36" s="3"/>
      <c r="BX36" s="47">
        <v>45930.0</v>
      </c>
      <c r="BY36" s="38">
        <v>7580.0</v>
      </c>
      <c r="BZ36" s="44" t="s">
        <v>163</v>
      </c>
      <c r="CA36" s="39"/>
      <c r="CB36" s="3"/>
      <c r="CC36" s="47"/>
      <c r="CD36" s="38"/>
      <c r="CE36" s="38"/>
      <c r="CF36" s="39"/>
      <c r="CG36" s="3"/>
      <c r="CH36" s="47"/>
      <c r="CI36" s="38"/>
      <c r="CJ36" s="38"/>
      <c r="CK36" s="39"/>
      <c r="CL36" s="3"/>
      <c r="CM36" s="3"/>
    </row>
    <row r="37">
      <c r="A37" s="39"/>
      <c r="B37" s="30"/>
      <c r="C37" s="39"/>
      <c r="D37" s="3"/>
      <c r="E37" s="3"/>
      <c r="F37" s="11">
        <v>45504.0</v>
      </c>
      <c r="G37" s="12">
        <v>5000.0</v>
      </c>
      <c r="H37" s="13" t="s">
        <v>319</v>
      </c>
      <c r="I37" s="3"/>
      <c r="J37" s="3"/>
      <c r="K37" s="47">
        <v>45518.0</v>
      </c>
      <c r="L37" s="25">
        <v>30000.0</v>
      </c>
      <c r="M37" s="49" t="s">
        <v>320</v>
      </c>
      <c r="O37" s="3"/>
      <c r="P37" s="11">
        <v>45554.0</v>
      </c>
      <c r="Q37" s="25">
        <v>12000.0</v>
      </c>
      <c r="R37" s="51" t="s">
        <v>121</v>
      </c>
      <c r="T37" s="3"/>
      <c r="U37" s="11">
        <v>45575.0</v>
      </c>
      <c r="V37" s="25">
        <v>4000000.0</v>
      </c>
      <c r="W37" s="79" t="s">
        <v>321</v>
      </c>
      <c r="X37" s="52">
        <f>100000+X29-V47-V48-V51-V53-V54-V59-V60-V61-V62-V63-V64-V65-V66-V67-V68-V69-V70</f>
        <v>-12877</v>
      </c>
      <c r="Y37" s="3"/>
      <c r="Z37" s="11">
        <v>45605.0</v>
      </c>
      <c r="AA37" s="25">
        <v>5471.0</v>
      </c>
      <c r="AB37" s="49" t="s">
        <v>322</v>
      </c>
      <c r="AD37" s="3"/>
      <c r="AE37" s="11">
        <v>45635.0</v>
      </c>
      <c r="AF37" s="18">
        <v>12000.0</v>
      </c>
      <c r="AG37" s="20" t="s">
        <v>39</v>
      </c>
      <c r="AH37" s="3"/>
      <c r="AI37" s="3"/>
      <c r="AJ37" s="11">
        <v>45677.0</v>
      </c>
      <c r="AK37" s="18">
        <v>68000.0</v>
      </c>
      <c r="AL37" s="68" t="s">
        <v>323</v>
      </c>
      <c r="AM37" s="3"/>
      <c r="AN37" s="3"/>
      <c r="AO37" s="11">
        <v>45698.0</v>
      </c>
      <c r="AP37" s="18">
        <v>61558.0</v>
      </c>
      <c r="AQ37" s="19" t="s">
        <v>324</v>
      </c>
      <c r="AR37" s="3"/>
      <c r="AS37" s="3"/>
      <c r="AT37" s="11">
        <v>45721.0</v>
      </c>
      <c r="AU37" s="80">
        <v>4000.0</v>
      </c>
      <c r="AV37" s="68" t="s">
        <v>121</v>
      </c>
      <c r="AW37" s="3"/>
      <c r="AX37" s="3"/>
      <c r="AY37" s="11">
        <v>45764.0</v>
      </c>
      <c r="AZ37" s="18">
        <v>10365.0</v>
      </c>
      <c r="BA37" s="20" t="s">
        <v>190</v>
      </c>
      <c r="BB37" s="3"/>
      <c r="BC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9"/>
      <c r="BT37" s="39"/>
      <c r="BU37" s="39"/>
      <c r="BV37" s="39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</row>
    <row r="38">
      <c r="A38" s="39"/>
      <c r="B38" s="30"/>
      <c r="C38" s="39"/>
      <c r="D38" s="3"/>
      <c r="E38" s="3"/>
      <c r="F38" s="47">
        <v>45502.0</v>
      </c>
      <c r="G38" s="25">
        <v>3220.0</v>
      </c>
      <c r="H38" s="38" t="s">
        <v>325</v>
      </c>
      <c r="I38" s="3"/>
      <c r="J38" s="3"/>
      <c r="K38" s="47">
        <v>45518.0</v>
      </c>
      <c r="L38" s="25">
        <v>10000.0</v>
      </c>
      <c r="M38" s="49" t="s">
        <v>326</v>
      </c>
      <c r="O38" s="3"/>
      <c r="P38" s="11">
        <v>45555.0</v>
      </c>
      <c r="Q38" s="25">
        <v>20000.0</v>
      </c>
      <c r="R38" s="49" t="s">
        <v>327</v>
      </c>
      <c r="T38" s="3"/>
      <c r="U38" s="11">
        <v>45575.0</v>
      </c>
      <c r="V38" s="25">
        <v>500000.0</v>
      </c>
      <c r="W38" s="49" t="s">
        <v>328</v>
      </c>
      <c r="Y38" s="3"/>
      <c r="Z38" s="11">
        <v>45605.0</v>
      </c>
      <c r="AA38" s="25">
        <v>100000.0</v>
      </c>
      <c r="AB38" s="49" t="s">
        <v>329</v>
      </c>
      <c r="AD38" s="3"/>
      <c r="AE38" s="11">
        <v>45635.0</v>
      </c>
      <c r="AF38" s="18">
        <v>611530.0</v>
      </c>
      <c r="AG38" s="20" t="s">
        <v>65</v>
      </c>
      <c r="AH38" s="3"/>
      <c r="AI38" s="3"/>
      <c r="AJ38" s="11">
        <v>45677.0</v>
      </c>
      <c r="AK38" s="18">
        <v>12003.0</v>
      </c>
      <c r="AL38" s="68" t="s">
        <v>163</v>
      </c>
      <c r="AM38" s="3"/>
      <c r="AN38" s="3"/>
      <c r="AO38" s="11">
        <v>45698.0</v>
      </c>
      <c r="AP38" s="18">
        <v>220000.0</v>
      </c>
      <c r="AQ38" s="19" t="s">
        <v>330</v>
      </c>
      <c r="AR38" s="81"/>
      <c r="AS38" s="3"/>
      <c r="AT38" s="11">
        <v>45722.0</v>
      </c>
      <c r="AU38" s="80">
        <v>10000.0</v>
      </c>
      <c r="AV38" s="68" t="s">
        <v>121</v>
      </c>
      <c r="AW38" s="81"/>
      <c r="AX38" s="3"/>
      <c r="AY38" s="11">
        <v>45764.0</v>
      </c>
      <c r="AZ38" s="18">
        <v>12060.0</v>
      </c>
      <c r="BA38" s="20" t="s">
        <v>190</v>
      </c>
      <c r="BB38" s="81"/>
      <c r="BC38" s="81"/>
      <c r="BH38" s="81"/>
      <c r="BI38" s="46"/>
      <c r="BJ38" s="46"/>
      <c r="BK38" s="46"/>
      <c r="BL38" s="46"/>
      <c r="BM38" s="81"/>
      <c r="BN38" s="46"/>
      <c r="BO38" s="46"/>
      <c r="BP38" s="46"/>
      <c r="BQ38" s="46"/>
      <c r="BR38" s="46"/>
      <c r="BS38" s="45"/>
      <c r="BT38" s="45"/>
      <c r="BU38" s="45"/>
      <c r="BV38" s="45"/>
      <c r="BW38" s="46"/>
      <c r="BX38" s="46"/>
      <c r="BY38" s="46"/>
      <c r="BZ38" s="46"/>
      <c r="CA38" s="46"/>
      <c r="CB38" s="46"/>
      <c r="CC38" s="46"/>
      <c r="CD38" s="46"/>
      <c r="CE38" s="46"/>
      <c r="CF38" s="46"/>
      <c r="CG38" s="46"/>
      <c r="CH38" s="46"/>
      <c r="CI38" s="46"/>
      <c r="CJ38" s="46"/>
      <c r="CK38" s="46"/>
      <c r="CL38" s="46"/>
      <c r="CM38" s="46"/>
    </row>
    <row r="39">
      <c r="A39" s="39"/>
      <c r="B39" s="30"/>
      <c r="C39" s="39"/>
      <c r="D39" s="3"/>
      <c r="E39" s="3"/>
      <c r="F39" s="47">
        <v>45500.0</v>
      </c>
      <c r="G39" s="25">
        <v>24200.0</v>
      </c>
      <c r="H39" s="38" t="s">
        <v>331</v>
      </c>
      <c r="I39" s="3"/>
      <c r="J39" s="3"/>
      <c r="K39" s="47">
        <v>45518.0</v>
      </c>
      <c r="L39" s="25">
        <v>3570.0</v>
      </c>
      <c r="M39" s="49" t="s">
        <v>332</v>
      </c>
      <c r="O39" s="3"/>
      <c r="P39" s="11">
        <v>45555.0</v>
      </c>
      <c r="Q39" s="25">
        <v>220000.0</v>
      </c>
      <c r="R39" s="49" t="s">
        <v>333</v>
      </c>
      <c r="S39" s="25">
        <f>150000+S29-Q39-Q40-Q41</f>
        <v>7938</v>
      </c>
      <c r="T39" s="3"/>
      <c r="U39" s="11">
        <v>45569.0</v>
      </c>
      <c r="V39" s="25">
        <v>111000.0</v>
      </c>
      <c r="W39" s="51" t="s">
        <v>21</v>
      </c>
      <c r="X39" s="25"/>
      <c r="Y39" s="3"/>
      <c r="Z39" s="11">
        <v>45607.0</v>
      </c>
      <c r="AA39" s="25">
        <v>53295.0</v>
      </c>
      <c r="AB39" s="49" t="s">
        <v>334</v>
      </c>
      <c r="AC39" s="25"/>
      <c r="AD39" s="3"/>
      <c r="AE39" s="11">
        <v>45635.0</v>
      </c>
      <c r="AF39" s="18">
        <v>5000.0</v>
      </c>
      <c r="AG39" s="19" t="s">
        <v>335</v>
      </c>
      <c r="AH39" s="3"/>
      <c r="AI39" s="3"/>
      <c r="AJ39" s="11">
        <v>45678.0</v>
      </c>
      <c r="AK39" s="18">
        <v>12130.0</v>
      </c>
      <c r="AL39" s="68" t="s">
        <v>165</v>
      </c>
      <c r="AM39" s="3"/>
      <c r="AN39" s="3"/>
      <c r="AO39" s="11">
        <v>45698.0</v>
      </c>
      <c r="AP39" s="18">
        <v>85000.0</v>
      </c>
      <c r="AQ39" s="19" t="s">
        <v>336</v>
      </c>
      <c r="AR39" s="3">
        <f>1695286+361905+361905+16000-227500-156250-100000-55000-25000-20833-200000-120000-331594-51000-310685-50000-45000-61558-184615-85000-200000-15000-AP48</f>
        <v>181061</v>
      </c>
      <c r="AS39" s="81"/>
      <c r="AT39" s="11">
        <v>45723.0</v>
      </c>
      <c r="AU39" s="80">
        <v>4000.0</v>
      </c>
      <c r="AV39" s="68" t="s">
        <v>121</v>
      </c>
      <c r="AW39" s="3"/>
      <c r="AX39" s="3"/>
      <c r="AY39" s="11">
        <v>45765.0</v>
      </c>
      <c r="AZ39" s="18">
        <v>20200.0</v>
      </c>
      <c r="BA39" s="68" t="s">
        <v>121</v>
      </c>
      <c r="BB39" s="3"/>
      <c r="BC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9"/>
      <c r="BT39" s="39"/>
      <c r="BU39" s="39"/>
      <c r="BV39" s="39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</row>
    <row r="40">
      <c r="A40" s="39"/>
      <c r="B40" s="30"/>
      <c r="C40" s="39"/>
      <c r="D40" s="3"/>
      <c r="E40" s="3"/>
      <c r="F40" s="11">
        <v>45504.0</v>
      </c>
      <c r="G40" s="25">
        <v>350.0</v>
      </c>
      <c r="H40" s="38" t="s">
        <v>337</v>
      </c>
      <c r="I40" s="3"/>
      <c r="J40" s="3"/>
      <c r="K40" s="47">
        <v>45519.0</v>
      </c>
      <c r="L40" s="25">
        <v>10000.0</v>
      </c>
      <c r="M40" s="49" t="s">
        <v>220</v>
      </c>
      <c r="O40" s="3"/>
      <c r="P40" s="11">
        <v>45555.0</v>
      </c>
      <c r="Q40" s="25">
        <v>2700.0</v>
      </c>
      <c r="R40" s="49" t="s">
        <v>52</v>
      </c>
      <c r="T40" s="3"/>
      <c r="U40" s="11">
        <v>45572.0</v>
      </c>
      <c r="V40" s="25">
        <v>76000.0</v>
      </c>
      <c r="W40" s="48" t="s">
        <v>21</v>
      </c>
      <c r="Y40" s="3"/>
      <c r="Z40" s="11">
        <v>45607.0</v>
      </c>
      <c r="AA40" s="25">
        <v>5700.0</v>
      </c>
      <c r="AB40" s="49" t="s">
        <v>25</v>
      </c>
      <c r="AD40" s="3"/>
      <c r="AE40" s="11">
        <v>45635.0</v>
      </c>
      <c r="AF40" s="18">
        <v>1200.0</v>
      </c>
      <c r="AG40" s="19" t="s">
        <v>186</v>
      </c>
      <c r="AH40" s="18"/>
      <c r="AI40" s="3"/>
      <c r="AJ40" s="11">
        <v>45679.0</v>
      </c>
      <c r="AK40" s="18">
        <v>309500.0</v>
      </c>
      <c r="AL40" s="68" t="s">
        <v>338</v>
      </c>
      <c r="AM40" s="3"/>
      <c r="AN40" s="3"/>
      <c r="AO40" s="11">
        <v>45689.0</v>
      </c>
      <c r="AP40" s="18">
        <v>1950.0</v>
      </c>
      <c r="AQ40" s="68" t="s">
        <v>59</v>
      </c>
      <c r="AR40" s="3"/>
      <c r="AS40" s="3"/>
      <c r="AT40" s="11">
        <v>45723.0</v>
      </c>
      <c r="AU40" s="80">
        <v>82800.0</v>
      </c>
      <c r="AV40" s="68" t="s">
        <v>121</v>
      </c>
      <c r="AW40" s="3"/>
      <c r="AX40" s="3"/>
      <c r="AY40" s="11">
        <v>45766.0</v>
      </c>
      <c r="AZ40" s="18">
        <v>6000.0</v>
      </c>
      <c r="BA40" s="68" t="s">
        <v>121</v>
      </c>
      <c r="BB40" s="3"/>
      <c r="BC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9"/>
      <c r="BT40" s="39"/>
      <c r="BU40" s="39"/>
      <c r="BV40" s="39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</row>
    <row r="41">
      <c r="A41" s="39"/>
      <c r="B41" s="30"/>
      <c r="C41" s="39"/>
      <c r="D41" s="3"/>
      <c r="E41" s="3"/>
      <c r="F41" s="11">
        <v>45504.0</v>
      </c>
      <c r="G41" s="25">
        <v>720.0</v>
      </c>
      <c r="H41" s="38" t="s">
        <v>52</v>
      </c>
      <c r="I41" s="3"/>
      <c r="J41" s="3"/>
      <c r="K41" s="47">
        <v>45519.0</v>
      </c>
      <c r="L41" s="25">
        <v>2750.0</v>
      </c>
      <c r="M41" s="49" t="s">
        <v>339</v>
      </c>
      <c r="O41" s="3"/>
      <c r="P41" s="11">
        <v>45555.0</v>
      </c>
      <c r="Q41" s="25">
        <v>34000.0</v>
      </c>
      <c r="R41" s="49" t="s">
        <v>340</v>
      </c>
      <c r="T41" s="3"/>
      <c r="U41" s="11">
        <v>45573.0</v>
      </c>
      <c r="V41" s="25">
        <v>9474.0</v>
      </c>
      <c r="W41" s="48" t="s">
        <v>21</v>
      </c>
      <c r="Y41" s="3"/>
      <c r="Z41" s="11">
        <v>45607.0</v>
      </c>
      <c r="AA41" s="25">
        <v>5664.0</v>
      </c>
      <c r="AB41" s="49" t="s">
        <v>341</v>
      </c>
      <c r="AD41" s="3"/>
      <c r="AE41" s="11">
        <v>45635.0</v>
      </c>
      <c r="AF41" s="18">
        <v>174000.0</v>
      </c>
      <c r="AG41" s="19" t="s">
        <v>342</v>
      </c>
      <c r="AH41" s="3"/>
      <c r="AI41" s="3"/>
      <c r="AJ41" s="11">
        <v>45686.0</v>
      </c>
      <c r="AK41" s="18">
        <v>7000.0</v>
      </c>
      <c r="AL41" s="68" t="s">
        <v>121</v>
      </c>
      <c r="AM41" s="3"/>
      <c r="AN41" s="3"/>
      <c r="AO41" s="11">
        <v>45691.0</v>
      </c>
      <c r="AP41" s="18">
        <v>2620.0</v>
      </c>
      <c r="AQ41" s="68" t="s">
        <v>121</v>
      </c>
      <c r="AR41" s="3"/>
      <c r="AS41" s="3"/>
      <c r="AT41" s="11">
        <v>45726.0</v>
      </c>
      <c r="AU41" s="80">
        <v>1640.0</v>
      </c>
      <c r="AV41" s="68" t="s">
        <v>121</v>
      </c>
      <c r="AW41" s="3"/>
      <c r="AX41" s="3"/>
      <c r="AY41" s="11">
        <v>45768.0</v>
      </c>
      <c r="AZ41" s="18">
        <v>1480.0</v>
      </c>
      <c r="BA41" s="68" t="s">
        <v>121</v>
      </c>
      <c r="BB41" s="3"/>
      <c r="BC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9"/>
      <c r="BT41" s="39"/>
      <c r="BU41" s="39"/>
      <c r="BV41" s="39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</row>
    <row r="42">
      <c r="A42" s="39"/>
      <c r="B42" s="30"/>
      <c r="C42" s="39"/>
      <c r="D42" s="3"/>
      <c r="E42" s="3"/>
      <c r="F42" s="11">
        <v>45504.0</v>
      </c>
      <c r="G42" s="25">
        <v>164829.0</v>
      </c>
      <c r="H42" s="38" t="s">
        <v>65</v>
      </c>
      <c r="I42" s="3"/>
      <c r="J42" s="3"/>
      <c r="K42" s="47">
        <v>45520.0</v>
      </c>
      <c r="L42" s="25">
        <v>17500.0</v>
      </c>
      <c r="M42" s="49" t="s">
        <v>343</v>
      </c>
      <c r="O42" s="3"/>
      <c r="P42" s="11">
        <v>45557.0</v>
      </c>
      <c r="Q42" s="25">
        <v>23200.0</v>
      </c>
      <c r="R42" s="48" t="s">
        <v>39</v>
      </c>
      <c r="S42" s="52">
        <f>100000+S39-Q43-Q45-Q46-Q47-Q49-Q48</f>
        <v>76352</v>
      </c>
      <c r="T42" s="3"/>
      <c r="U42" s="11">
        <v>45573.0</v>
      </c>
      <c r="V42" s="25">
        <v>4000.0</v>
      </c>
      <c r="W42" s="48" t="s">
        <v>21</v>
      </c>
      <c r="Y42" s="3"/>
      <c r="Z42" s="11">
        <v>45609.0</v>
      </c>
      <c r="AA42" s="25">
        <v>230000.0</v>
      </c>
      <c r="AB42" s="49" t="s">
        <v>344</v>
      </c>
      <c r="AC42" s="52">
        <f>225000+AC34-25000</f>
        <v>199027</v>
      </c>
      <c r="AD42" s="3"/>
      <c r="AE42" s="11">
        <v>45635.0</v>
      </c>
      <c r="AF42" s="18">
        <v>13000.0</v>
      </c>
      <c r="AG42" s="19" t="s">
        <v>345</v>
      </c>
      <c r="AH42" s="81"/>
      <c r="AI42" s="3"/>
      <c r="AJ42" s="11">
        <v>45686.0</v>
      </c>
      <c r="AK42" s="18">
        <v>185700.0</v>
      </c>
      <c r="AL42" s="68" t="s">
        <v>338</v>
      </c>
      <c r="AM42" s="3"/>
      <c r="AN42" s="3"/>
      <c r="AO42" s="11">
        <v>45693.0</v>
      </c>
      <c r="AP42" s="18">
        <v>17222.0</v>
      </c>
      <c r="AQ42" s="68" t="s">
        <v>121</v>
      </c>
      <c r="AR42" s="3"/>
      <c r="AS42" s="3"/>
      <c r="AT42" s="11">
        <v>45727.0</v>
      </c>
      <c r="AU42" s="18">
        <v>44840.0</v>
      </c>
      <c r="AV42" s="68" t="s">
        <v>121</v>
      </c>
      <c r="AW42" s="3"/>
      <c r="AX42" s="82"/>
      <c r="AY42" s="11">
        <v>45769.0</v>
      </c>
      <c r="AZ42" s="18">
        <v>9000.0</v>
      </c>
      <c r="BA42" s="68" t="s">
        <v>121</v>
      </c>
      <c r="BB42" s="3"/>
      <c r="BC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9"/>
      <c r="BT42" s="39"/>
      <c r="BU42" s="39"/>
      <c r="BV42" s="39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</row>
    <row r="43">
      <c r="A43" s="39"/>
      <c r="B43" s="30"/>
      <c r="C43" s="39"/>
      <c r="D43" s="3"/>
      <c r="E43" s="3"/>
      <c r="F43" s="47">
        <v>45500.0</v>
      </c>
      <c r="G43" s="25">
        <v>600.0</v>
      </c>
      <c r="H43" s="38" t="s">
        <v>346</v>
      </c>
      <c r="I43" s="3"/>
      <c r="J43" s="3"/>
      <c r="K43" s="47">
        <v>45520.0</v>
      </c>
      <c r="L43" s="25">
        <v>34386.0</v>
      </c>
      <c r="M43" s="49" t="s">
        <v>347</v>
      </c>
      <c r="O43" s="3"/>
      <c r="P43" s="11">
        <v>45558.0</v>
      </c>
      <c r="Q43" s="25">
        <v>2300.0</v>
      </c>
      <c r="R43" s="49" t="s">
        <v>228</v>
      </c>
      <c r="T43" s="3"/>
      <c r="U43" s="11">
        <v>45576.0</v>
      </c>
      <c r="V43" s="25">
        <v>114000.0</v>
      </c>
      <c r="W43" s="48" t="s">
        <v>21</v>
      </c>
      <c r="Y43" s="3"/>
      <c r="Z43" s="11">
        <v>45609.0</v>
      </c>
      <c r="AA43" s="25">
        <f>64950+38700</f>
        <v>103650</v>
      </c>
      <c r="AB43" s="49" t="s">
        <v>348</v>
      </c>
      <c r="AD43" s="3"/>
      <c r="AE43" s="11">
        <v>45635.0</v>
      </c>
      <c r="AF43" s="18">
        <v>40000.0</v>
      </c>
      <c r="AG43" s="19" t="s">
        <v>124</v>
      </c>
      <c r="AH43" s="3"/>
      <c r="AI43" s="3"/>
      <c r="AJ43" s="11">
        <v>45688.0</v>
      </c>
      <c r="AK43" s="18">
        <v>4800.0</v>
      </c>
      <c r="AL43" s="68" t="s">
        <v>121</v>
      </c>
      <c r="AM43" s="3"/>
      <c r="AN43" s="3"/>
      <c r="AO43" s="11">
        <v>45694.0</v>
      </c>
      <c r="AP43" s="18">
        <v>16000.0</v>
      </c>
      <c r="AQ43" s="68" t="s">
        <v>121</v>
      </c>
      <c r="AR43" s="3"/>
      <c r="AS43" s="3"/>
      <c r="AT43" s="11">
        <v>45730.0</v>
      </c>
      <c r="AU43" s="18">
        <v>4000.0</v>
      </c>
      <c r="AV43" s="68" t="s">
        <v>121</v>
      </c>
      <c r="AW43" s="3"/>
      <c r="AX43" s="3"/>
      <c r="AY43" s="11">
        <v>45771.0</v>
      </c>
      <c r="AZ43" s="18">
        <v>10120.0</v>
      </c>
      <c r="BA43" s="68" t="s">
        <v>121</v>
      </c>
      <c r="BB43" s="3"/>
      <c r="BC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9"/>
      <c r="BT43" s="39"/>
      <c r="BU43" s="39"/>
      <c r="BV43" s="39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</row>
    <row r="44">
      <c r="A44" s="39"/>
      <c r="B44" s="30"/>
      <c r="C44" s="39"/>
      <c r="D44" s="3"/>
      <c r="E44" s="3"/>
      <c r="F44" s="47">
        <v>45482.0</v>
      </c>
      <c r="G44" s="25">
        <v>115500.0</v>
      </c>
      <c r="H44" s="38" t="s">
        <v>349</v>
      </c>
      <c r="I44" s="3"/>
      <c r="J44" s="3"/>
      <c r="K44" s="47">
        <v>45520.0</v>
      </c>
      <c r="L44" s="25">
        <v>220932.0</v>
      </c>
      <c r="M44" s="48" t="s">
        <v>19</v>
      </c>
      <c r="O44" s="3"/>
      <c r="P44" s="11">
        <v>45561.0</v>
      </c>
      <c r="Q44" s="25">
        <v>12000.0</v>
      </c>
      <c r="R44" s="51" t="s">
        <v>21</v>
      </c>
      <c r="T44" s="3"/>
      <c r="U44" s="11">
        <v>45573.0</v>
      </c>
      <c r="V44" s="13">
        <v>280390.0</v>
      </c>
      <c r="W44" s="70" t="s">
        <v>65</v>
      </c>
      <c r="Y44" s="3"/>
      <c r="Z44" s="11">
        <v>45609.0</v>
      </c>
      <c r="AA44" s="13">
        <v>2070.0</v>
      </c>
      <c r="AB44" s="16" t="s">
        <v>52</v>
      </c>
      <c r="AC44" s="52">
        <f>400000+AC42-AA42-AA43-AA44-AA45-AA46-AA47-41400-AA48-AA49</f>
        <v>66307</v>
      </c>
      <c r="AD44" s="3"/>
      <c r="AE44" s="17">
        <v>45636.0</v>
      </c>
      <c r="AF44" s="18">
        <v>20620.0</v>
      </c>
      <c r="AG44" s="19" t="s">
        <v>350</v>
      </c>
      <c r="AH44" s="81">
        <f>300000-19436-AF43+80000-AF44-AF45-AF46-AF47-AF48-AF49-AF50</f>
        <v>237443</v>
      </c>
      <c r="AI44" s="3"/>
      <c r="AJ44" s="36"/>
      <c r="AK44" s="36"/>
      <c r="AL44" s="36"/>
      <c r="AM44" s="3"/>
      <c r="AN44" s="3"/>
      <c r="AO44" s="11">
        <v>45695.0</v>
      </c>
      <c r="AP44" s="18">
        <v>4800.0</v>
      </c>
      <c r="AQ44" s="68" t="s">
        <v>121</v>
      </c>
      <c r="AR44" s="3"/>
      <c r="AS44" s="3"/>
      <c r="AT44" s="11">
        <v>45730.0</v>
      </c>
      <c r="AU44" s="18">
        <v>28185.0</v>
      </c>
      <c r="AV44" s="20" t="s">
        <v>190</v>
      </c>
      <c r="AW44" s="3"/>
      <c r="AX44" s="3"/>
      <c r="AY44" s="11">
        <v>45772.0</v>
      </c>
      <c r="AZ44" s="18">
        <v>700.0</v>
      </c>
      <c r="BA44" s="68" t="s">
        <v>121</v>
      </c>
      <c r="BB44" s="3"/>
      <c r="BC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9"/>
      <c r="BT44" s="39"/>
      <c r="BU44" s="39"/>
      <c r="BV44" s="39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</row>
    <row r="45">
      <c r="A45" s="39"/>
      <c r="B45" s="30"/>
      <c r="C45" s="39"/>
      <c r="D45" s="3"/>
      <c r="E45" s="3"/>
      <c r="F45" s="47">
        <v>45482.0</v>
      </c>
      <c r="G45" s="25">
        <v>15000.0</v>
      </c>
      <c r="H45" s="38" t="s">
        <v>34</v>
      </c>
      <c r="I45" s="3"/>
      <c r="J45" s="3"/>
      <c r="K45" s="47">
        <v>45520.0</v>
      </c>
      <c r="L45" s="25">
        <v>26100.0</v>
      </c>
      <c r="M45" s="49" t="s">
        <v>351</v>
      </c>
      <c r="N45" s="22">
        <f>50000+N36-L45</f>
        <v>16547</v>
      </c>
      <c r="O45" s="3"/>
      <c r="P45" s="11">
        <v>45561.0</v>
      </c>
      <c r="Q45" s="25">
        <v>11396.0</v>
      </c>
      <c r="R45" s="49" t="s">
        <v>352</v>
      </c>
      <c r="T45" s="3"/>
      <c r="U45" s="11">
        <v>45576.0</v>
      </c>
      <c r="V45" s="13">
        <v>286005.0</v>
      </c>
      <c r="W45" s="70" t="s">
        <v>65</v>
      </c>
      <c r="Y45" s="3"/>
      <c r="Z45" s="11">
        <v>45609.0</v>
      </c>
      <c r="AA45" s="13">
        <v>59900.0</v>
      </c>
      <c r="AB45" s="16" t="s">
        <v>353</v>
      </c>
      <c r="AD45" s="3"/>
      <c r="AE45" s="17">
        <v>45636.0</v>
      </c>
      <c r="AF45" s="18">
        <v>2000.0</v>
      </c>
      <c r="AG45" s="19" t="s">
        <v>354</v>
      </c>
      <c r="AH45" s="3"/>
      <c r="AI45" s="3"/>
      <c r="AJ45" s="36"/>
      <c r="AK45" s="36"/>
      <c r="AL45" s="36"/>
      <c r="AM45" s="3"/>
      <c r="AN45" s="3"/>
      <c r="AO45" s="11">
        <v>45698.0</v>
      </c>
      <c r="AP45" s="18">
        <v>181500.0</v>
      </c>
      <c r="AQ45" s="68" t="s">
        <v>338</v>
      </c>
      <c r="AR45" s="3"/>
      <c r="AS45" s="3"/>
      <c r="AT45" s="11">
        <v>45731.0</v>
      </c>
      <c r="AU45" s="18">
        <v>2800.0</v>
      </c>
      <c r="AV45" s="68" t="s">
        <v>121</v>
      </c>
      <c r="AW45" s="3"/>
      <c r="AX45" s="3"/>
      <c r="AY45" s="11">
        <v>45773.0</v>
      </c>
      <c r="AZ45" s="18">
        <v>5500.0</v>
      </c>
      <c r="BA45" s="68" t="s">
        <v>121</v>
      </c>
      <c r="BB45" s="3"/>
      <c r="BC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9"/>
      <c r="BT45" s="39"/>
      <c r="BU45" s="39"/>
      <c r="BV45" s="39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</row>
    <row r="46">
      <c r="A46" s="39"/>
      <c r="B46" s="30"/>
      <c r="C46" s="39"/>
      <c r="D46" s="3"/>
      <c r="E46" s="3"/>
      <c r="F46" s="47">
        <v>45482.0</v>
      </c>
      <c r="G46" s="25">
        <v>164829.0</v>
      </c>
      <c r="H46" s="38" t="s">
        <v>65</v>
      </c>
      <c r="I46" s="3"/>
      <c r="J46" s="3"/>
      <c r="K46" s="47">
        <v>45523.0</v>
      </c>
      <c r="L46" s="25">
        <v>8000.0</v>
      </c>
      <c r="M46" s="15" t="s">
        <v>21</v>
      </c>
      <c r="N46" s="22">
        <f>25000+N45-L48-25000</f>
        <v>2047</v>
      </c>
      <c r="O46" s="3"/>
      <c r="P46" s="47">
        <v>45561.0</v>
      </c>
      <c r="Q46" s="25">
        <v>2160.0</v>
      </c>
      <c r="R46" s="49" t="s">
        <v>355</v>
      </c>
      <c r="T46" s="3"/>
      <c r="U46" s="11">
        <v>45576.0</v>
      </c>
      <c r="V46" s="25">
        <v>28064.0</v>
      </c>
      <c r="W46" s="48" t="s">
        <v>21</v>
      </c>
      <c r="Y46" s="3"/>
      <c r="Z46" s="11">
        <v>45609.0</v>
      </c>
      <c r="AA46" s="25">
        <v>46000.0</v>
      </c>
      <c r="AB46" s="49" t="s">
        <v>356</v>
      </c>
      <c r="AD46" s="3"/>
      <c r="AE46" s="17">
        <v>45636.0</v>
      </c>
      <c r="AF46" s="18">
        <v>10690.0</v>
      </c>
      <c r="AG46" s="19" t="s">
        <v>357</v>
      </c>
      <c r="AH46" s="3"/>
      <c r="AI46" s="3"/>
      <c r="AJ46" s="36"/>
      <c r="AK46" s="36"/>
      <c r="AL46" s="36"/>
      <c r="AM46" s="3"/>
      <c r="AN46" s="3"/>
      <c r="AO46" s="11">
        <v>45698.0</v>
      </c>
      <c r="AP46" s="18">
        <v>128717.0</v>
      </c>
      <c r="AQ46" s="68" t="s">
        <v>121</v>
      </c>
      <c r="AR46" s="3"/>
      <c r="AS46" s="3"/>
      <c r="AT46" s="11">
        <v>45733.0</v>
      </c>
      <c r="AU46" s="18">
        <v>2200.0</v>
      </c>
      <c r="AV46" s="68" t="s">
        <v>121</v>
      </c>
      <c r="AW46" s="3"/>
      <c r="AX46" s="3"/>
      <c r="AY46" s="11">
        <v>45777.0</v>
      </c>
      <c r="AZ46" s="18">
        <v>1200.0</v>
      </c>
      <c r="BA46" s="68" t="s">
        <v>121</v>
      </c>
      <c r="BB46" s="3"/>
      <c r="BC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9"/>
      <c r="BT46" s="39"/>
      <c r="BU46" s="39"/>
      <c r="BV46" s="39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</row>
    <row r="47">
      <c r="A47" s="39"/>
      <c r="B47" s="30"/>
      <c r="C47" s="39"/>
      <c r="D47" s="3"/>
      <c r="E47" s="3"/>
      <c r="F47" s="47">
        <v>45485.0</v>
      </c>
      <c r="G47" s="25">
        <v>20000.0</v>
      </c>
      <c r="H47" s="38" t="s">
        <v>34</v>
      </c>
      <c r="I47" s="3"/>
      <c r="J47" s="3"/>
      <c r="K47" s="11">
        <v>45518.0</v>
      </c>
      <c r="L47" s="25">
        <v>4000.0</v>
      </c>
      <c r="M47" s="15" t="s">
        <v>21</v>
      </c>
      <c r="O47" s="3"/>
      <c r="P47" s="47">
        <v>45559.0</v>
      </c>
      <c r="Q47" s="25">
        <v>2550.0</v>
      </c>
      <c r="R47" s="16" t="s">
        <v>358</v>
      </c>
      <c r="T47" s="3"/>
      <c r="U47" s="47">
        <v>45579.0</v>
      </c>
      <c r="V47" s="25">
        <v>5500.0</v>
      </c>
      <c r="W47" s="16" t="s">
        <v>41</v>
      </c>
      <c r="Y47" s="3"/>
      <c r="Z47" s="11">
        <v>45609.0</v>
      </c>
      <c r="AA47" s="25">
        <v>40000.0</v>
      </c>
      <c r="AB47" s="16" t="s">
        <v>359</v>
      </c>
      <c r="AD47" s="3"/>
      <c r="AE47" s="17">
        <v>45636.0</v>
      </c>
      <c r="AF47" s="18">
        <v>13390.0</v>
      </c>
      <c r="AG47" s="19" t="s">
        <v>360</v>
      </c>
      <c r="AH47" s="3"/>
      <c r="AI47" s="3"/>
      <c r="AJ47" s="36"/>
      <c r="AK47" s="36"/>
      <c r="AL47" s="36"/>
      <c r="AM47" s="3"/>
      <c r="AN47" s="3"/>
      <c r="AO47" s="11">
        <v>45698.0</v>
      </c>
      <c r="AP47" s="18">
        <v>8000.0</v>
      </c>
      <c r="AQ47" s="68" t="s">
        <v>121</v>
      </c>
      <c r="AR47" s="3"/>
      <c r="AS47" s="3"/>
      <c r="AT47" s="11">
        <v>45734.0</v>
      </c>
      <c r="AU47" s="18">
        <v>53920.0</v>
      </c>
      <c r="AV47" s="68" t="s">
        <v>121</v>
      </c>
      <c r="AW47" s="3"/>
      <c r="AX47" s="3"/>
      <c r="AY47" s="11"/>
      <c r="AZ47" s="18"/>
      <c r="BA47" s="18"/>
      <c r="BB47" s="3"/>
      <c r="BC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9"/>
      <c r="BT47" s="39"/>
      <c r="BU47" s="39"/>
      <c r="BV47" s="39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</row>
    <row r="48">
      <c r="A48" s="39"/>
      <c r="B48" s="30"/>
      <c r="C48" s="39"/>
      <c r="D48" s="3"/>
      <c r="E48" s="3"/>
      <c r="F48" s="47">
        <v>45491.0</v>
      </c>
      <c r="G48" s="25">
        <v>164829.0</v>
      </c>
      <c r="H48" s="38" t="s">
        <v>19</v>
      </c>
      <c r="I48" s="3"/>
      <c r="J48" s="3"/>
      <c r="K48" s="47">
        <v>45524.0</v>
      </c>
      <c r="L48" s="25">
        <v>14500.0</v>
      </c>
      <c r="M48" s="49" t="s">
        <v>361</v>
      </c>
      <c r="O48" s="3"/>
      <c r="P48" s="11">
        <v>45559.0</v>
      </c>
      <c r="Q48" s="25">
        <v>4180.0</v>
      </c>
      <c r="R48" s="16" t="s">
        <v>362</v>
      </c>
      <c r="T48" s="3"/>
      <c r="U48" s="47">
        <v>45579.0</v>
      </c>
      <c r="V48" s="25">
        <v>500.0</v>
      </c>
      <c r="W48" s="16" t="s">
        <v>41</v>
      </c>
      <c r="Y48" s="3"/>
      <c r="Z48" s="47">
        <v>45611.0</v>
      </c>
      <c r="AA48" s="25">
        <v>4500.0</v>
      </c>
      <c r="AB48" s="16" t="s">
        <v>25</v>
      </c>
      <c r="AD48" s="3"/>
      <c r="AE48" s="17">
        <v>45636.0</v>
      </c>
      <c r="AF48" s="18">
        <v>4000.0</v>
      </c>
      <c r="AG48" s="19" t="s">
        <v>363</v>
      </c>
      <c r="AH48" s="81">
        <f>120000+AH44-244280-100000-AF51</f>
        <v>-6837</v>
      </c>
      <c r="AI48" s="3"/>
      <c r="AJ48" s="36"/>
      <c r="AK48" s="36"/>
      <c r="AL48" s="36"/>
      <c r="AM48" s="3"/>
      <c r="AN48" s="3"/>
      <c r="AO48" s="11">
        <v>45699.0</v>
      </c>
      <c r="AP48" s="18">
        <v>15000.0</v>
      </c>
      <c r="AQ48" s="19" t="s">
        <v>364</v>
      </c>
      <c r="AR48" s="3"/>
      <c r="AS48" s="3"/>
      <c r="AT48" s="11">
        <v>45736.0</v>
      </c>
      <c r="AU48" s="18">
        <v>6000.0</v>
      </c>
      <c r="AV48" s="68" t="s">
        <v>121</v>
      </c>
      <c r="AW48" s="3"/>
      <c r="AX48" s="3"/>
      <c r="AY48" s="11"/>
      <c r="AZ48" s="18"/>
      <c r="BA48" s="18"/>
      <c r="BB48" s="3"/>
      <c r="BC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9"/>
      <c r="BT48" s="39"/>
      <c r="BU48" s="39"/>
      <c r="BV48" s="39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</row>
    <row r="49">
      <c r="A49" s="39"/>
      <c r="B49" s="30"/>
      <c r="C49" s="39"/>
      <c r="D49" s="3"/>
      <c r="E49" s="3"/>
      <c r="F49" s="47"/>
      <c r="G49" s="25"/>
      <c r="H49" s="38"/>
      <c r="I49" s="3"/>
      <c r="J49" s="3"/>
      <c r="K49" s="47">
        <v>45525.0</v>
      </c>
      <c r="L49" s="30"/>
      <c r="M49" s="39"/>
      <c r="N49" s="52">
        <f>300000+N46-L51-L52-81600-40000-100000-L54-L55-L56-L57-L58-L59</f>
        <v>13477</v>
      </c>
      <c r="O49" s="3"/>
      <c r="P49" s="47">
        <v>45560.0</v>
      </c>
      <c r="Q49" s="25">
        <v>9000.0</v>
      </c>
      <c r="R49" s="49" t="s">
        <v>365</v>
      </c>
      <c r="S49" s="52">
        <f>100000+S42-Q50-Q51-Q52-Q53-T54-Q58-Q59-Q60</f>
        <v>77843</v>
      </c>
      <c r="T49" s="3"/>
      <c r="U49" s="47">
        <v>45577.0</v>
      </c>
      <c r="V49" s="25">
        <v>100000.0</v>
      </c>
      <c r="W49" s="51" t="s">
        <v>366</v>
      </c>
      <c r="Y49" s="3"/>
      <c r="Z49" s="47">
        <v>45611.0</v>
      </c>
      <c r="AA49" s="25">
        <v>5200.0</v>
      </c>
      <c r="AB49" s="49" t="s">
        <v>367</v>
      </c>
      <c r="AD49" s="3"/>
      <c r="AE49" s="17">
        <v>45636.0</v>
      </c>
      <c r="AF49" s="18">
        <v>13985.0</v>
      </c>
      <c r="AG49" s="19" t="s">
        <v>368</v>
      </c>
      <c r="AH49" s="3"/>
      <c r="AI49" s="3"/>
      <c r="AJ49" s="36"/>
      <c r="AK49" s="36"/>
      <c r="AL49" s="36"/>
      <c r="AM49" s="3"/>
      <c r="AN49" s="3"/>
      <c r="AO49" s="11">
        <v>45705.0</v>
      </c>
      <c r="AP49" s="18">
        <v>44184.0</v>
      </c>
      <c r="AQ49" s="20" t="s">
        <v>121</v>
      </c>
      <c r="AR49" s="81">
        <f>80000+AR39-224000-AP50-AP51-AP52</f>
        <v>-2739</v>
      </c>
      <c r="AS49" s="3"/>
      <c r="AT49" s="11">
        <v>45736.0</v>
      </c>
      <c r="AU49" s="18">
        <v>800.0</v>
      </c>
      <c r="AV49" s="68" t="s">
        <v>121</v>
      </c>
      <c r="AW49" s="81"/>
      <c r="AX49" s="3"/>
      <c r="AY49" s="11"/>
      <c r="AZ49" s="18"/>
      <c r="BA49" s="18"/>
      <c r="BB49" s="81"/>
      <c r="BC49" s="81"/>
      <c r="BH49" s="81"/>
      <c r="BI49" s="46"/>
      <c r="BJ49" s="46"/>
      <c r="BK49" s="46"/>
      <c r="BL49" s="46"/>
      <c r="BM49" s="81"/>
      <c r="BN49" s="46"/>
      <c r="BO49" s="46"/>
      <c r="BP49" s="46"/>
      <c r="BQ49" s="46"/>
      <c r="BR49" s="46"/>
      <c r="BS49" s="45"/>
      <c r="BT49" s="45"/>
      <c r="BU49" s="45"/>
      <c r="BV49" s="45"/>
      <c r="BW49" s="46"/>
      <c r="BX49" s="46"/>
      <c r="BY49" s="46"/>
      <c r="BZ49" s="46"/>
      <c r="CA49" s="46"/>
      <c r="CB49" s="46"/>
      <c r="CC49" s="46"/>
      <c r="CD49" s="46"/>
      <c r="CE49" s="46"/>
      <c r="CF49" s="46"/>
      <c r="CG49" s="46"/>
      <c r="CH49" s="46"/>
      <c r="CI49" s="46"/>
      <c r="CJ49" s="46"/>
      <c r="CK49" s="46"/>
      <c r="CL49" s="46"/>
      <c r="CM49" s="46"/>
    </row>
    <row r="50">
      <c r="C50" s="83"/>
      <c r="E50" s="21" t="s">
        <v>369</v>
      </c>
      <c r="K50" s="47">
        <v>45526.0</v>
      </c>
      <c r="L50" s="25">
        <v>220932.0</v>
      </c>
      <c r="M50" s="48" t="s">
        <v>65</v>
      </c>
      <c r="P50" s="47">
        <v>45560.0</v>
      </c>
      <c r="Q50" s="25">
        <v>50000.0</v>
      </c>
      <c r="R50" s="49" t="s">
        <v>370</v>
      </c>
      <c r="U50" s="47">
        <v>45579.0</v>
      </c>
      <c r="V50" s="25">
        <v>1494350.0</v>
      </c>
      <c r="W50" s="51" t="s">
        <v>371</v>
      </c>
      <c r="Z50" s="11">
        <v>45607.0</v>
      </c>
      <c r="AA50" s="12">
        <v>22000.0</v>
      </c>
      <c r="AB50" s="70" t="s">
        <v>21</v>
      </c>
      <c r="AE50" s="17">
        <v>45636.0</v>
      </c>
      <c r="AF50" s="18">
        <v>18436.0</v>
      </c>
      <c r="AG50" s="19" t="s">
        <v>372</v>
      </c>
      <c r="AJ50" s="36"/>
      <c r="AK50" s="36"/>
      <c r="AL50" s="36"/>
      <c r="AO50" s="11">
        <v>45705.0</v>
      </c>
      <c r="AP50" s="18">
        <v>20000.0</v>
      </c>
      <c r="AQ50" s="19" t="s">
        <v>373</v>
      </c>
      <c r="AT50" s="11">
        <v>45740.0</v>
      </c>
      <c r="AU50" s="18">
        <v>8800.0</v>
      </c>
      <c r="AV50" s="68" t="s">
        <v>121</v>
      </c>
      <c r="AY50" s="11"/>
      <c r="AZ50" s="18"/>
      <c r="BA50" s="18"/>
      <c r="BI50" s="3"/>
      <c r="BJ50" s="3"/>
      <c r="BK50" s="3"/>
      <c r="BL50" s="3"/>
      <c r="BN50" s="3"/>
      <c r="BO50" s="3"/>
      <c r="BP50" s="3"/>
      <c r="BQ50" s="3"/>
      <c r="BR50" s="3"/>
      <c r="BS50" s="39"/>
      <c r="BT50" s="39"/>
      <c r="BU50" s="39"/>
      <c r="BV50" s="39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</row>
    <row r="51">
      <c r="C51" s="84">
        <v>1196697.0</v>
      </c>
      <c r="K51" s="47">
        <v>45526.0</v>
      </c>
      <c r="L51" s="25">
        <v>10000.0</v>
      </c>
      <c r="M51" s="49" t="s">
        <v>374</v>
      </c>
      <c r="P51" s="47">
        <v>45561.0</v>
      </c>
      <c r="Q51" s="25">
        <v>1830.0</v>
      </c>
      <c r="R51" s="49" t="s">
        <v>29</v>
      </c>
      <c r="U51" s="47">
        <v>45579.0</v>
      </c>
      <c r="V51" s="25">
        <v>24000.0</v>
      </c>
      <c r="W51" s="85" t="s">
        <v>375</v>
      </c>
      <c r="Z51" s="47">
        <v>45612.0</v>
      </c>
      <c r="AA51" s="25">
        <v>100000.0</v>
      </c>
      <c r="AB51" s="49" t="s">
        <v>376</v>
      </c>
      <c r="AC51" s="52">
        <f>200000+AC44-AA51-AA54-AA60-AA61-AA62-AA63-AA64-AA87-AA88-AA89-AA90-AA91-AA92-AA93</f>
        <v>58374</v>
      </c>
      <c r="AE51" s="17">
        <v>45636.0</v>
      </c>
      <c r="AF51" s="18">
        <v>20000.0</v>
      </c>
      <c r="AG51" s="19" t="s">
        <v>377</v>
      </c>
      <c r="AJ51" s="36"/>
      <c r="AK51" s="36"/>
      <c r="AL51" s="36"/>
      <c r="AO51" s="11">
        <v>45705.0</v>
      </c>
      <c r="AP51" s="18">
        <v>13500.0</v>
      </c>
      <c r="AQ51" s="19" t="s">
        <v>378</v>
      </c>
      <c r="AT51" s="11">
        <v>45742.0</v>
      </c>
      <c r="AU51" s="18">
        <v>7325.0</v>
      </c>
      <c r="AV51" s="20" t="s">
        <v>190</v>
      </c>
      <c r="AY51" s="11"/>
      <c r="AZ51" s="18"/>
      <c r="BA51" s="18"/>
      <c r="BI51" s="3"/>
      <c r="BJ51" s="3"/>
      <c r="BK51" s="3"/>
      <c r="BL51" s="3"/>
      <c r="BN51" s="3"/>
      <c r="BO51" s="3"/>
      <c r="BP51" s="3"/>
      <c r="BQ51" s="3"/>
      <c r="BR51" s="3"/>
      <c r="BS51" s="39"/>
      <c r="BT51" s="39"/>
      <c r="BU51" s="39"/>
      <c r="BV51" s="39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</row>
    <row r="52">
      <c r="C52" s="83"/>
      <c r="K52" s="47">
        <v>45526.0</v>
      </c>
      <c r="L52" s="25">
        <v>13000.0</v>
      </c>
      <c r="M52" s="49" t="s">
        <v>379</v>
      </c>
      <c r="P52" s="47">
        <v>45554.0</v>
      </c>
      <c r="Q52" s="25">
        <v>6240.0</v>
      </c>
      <c r="R52" s="49" t="s">
        <v>380</v>
      </c>
      <c r="U52" s="47">
        <v>45580.0</v>
      </c>
      <c r="V52" s="25">
        <v>17200.0</v>
      </c>
      <c r="W52" s="48" t="s">
        <v>39</v>
      </c>
      <c r="Z52" s="11">
        <v>45608.0</v>
      </c>
      <c r="AA52" s="12">
        <v>9000.0</v>
      </c>
      <c r="AB52" s="70" t="s">
        <v>21</v>
      </c>
      <c r="AE52" s="17">
        <v>45637.0</v>
      </c>
      <c r="AF52" s="18">
        <v>23645.0</v>
      </c>
      <c r="AG52" s="19" t="s">
        <v>381</v>
      </c>
      <c r="AH52" s="21">
        <f>100000-6837-AF52-AF53-AF54</f>
        <v>7518</v>
      </c>
      <c r="AJ52" s="36"/>
      <c r="AK52" s="36"/>
      <c r="AL52" s="36"/>
      <c r="AO52" s="11">
        <v>45701.0</v>
      </c>
      <c r="AP52" s="18">
        <v>6300.0</v>
      </c>
      <c r="AQ52" s="19" t="s">
        <v>54</v>
      </c>
      <c r="AT52" s="11">
        <v>45742.0</v>
      </c>
      <c r="AU52" s="18">
        <v>8800.0</v>
      </c>
      <c r="AV52" s="68" t="s">
        <v>121</v>
      </c>
      <c r="AY52" s="11"/>
      <c r="AZ52" s="18"/>
      <c r="BA52" s="18"/>
      <c r="BI52" s="3"/>
      <c r="BJ52" s="3"/>
      <c r="BK52" s="3"/>
      <c r="BL52" s="3"/>
      <c r="BN52" s="3"/>
      <c r="BO52" s="3"/>
      <c r="BP52" s="3"/>
      <c r="BQ52" s="3"/>
      <c r="BR52" s="3"/>
      <c r="BS52" s="39"/>
      <c r="BT52" s="39"/>
      <c r="BU52" s="39"/>
      <c r="BV52" s="39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</row>
    <row r="53">
      <c r="C53" s="83"/>
      <c r="I53" s="21" t="s">
        <v>382</v>
      </c>
      <c r="K53" s="47">
        <v>45527.0</v>
      </c>
      <c r="L53" s="25">
        <v>33400.0</v>
      </c>
      <c r="M53" s="48" t="s">
        <v>121</v>
      </c>
      <c r="P53" s="47">
        <v>45561.0</v>
      </c>
      <c r="Q53" s="25">
        <v>33739.0</v>
      </c>
      <c r="R53" s="49" t="s">
        <v>383</v>
      </c>
      <c r="U53" s="47">
        <v>45579.0</v>
      </c>
      <c r="V53" s="25">
        <v>25000.0</v>
      </c>
      <c r="W53" s="49" t="s">
        <v>384</v>
      </c>
      <c r="Y53" s="21" t="s">
        <v>0</v>
      </c>
      <c r="Z53" s="11">
        <v>45609.0</v>
      </c>
      <c r="AA53" s="12">
        <v>16000.0</v>
      </c>
      <c r="AB53" s="70" t="s">
        <v>21</v>
      </c>
      <c r="AE53" s="17">
        <v>45637.0</v>
      </c>
      <c r="AF53" s="18">
        <v>12000.0</v>
      </c>
      <c r="AG53" s="19" t="s">
        <v>165</v>
      </c>
      <c r="AJ53" s="36"/>
      <c r="AK53" s="36"/>
      <c r="AL53" s="36"/>
      <c r="AO53" s="11">
        <v>45710.0</v>
      </c>
      <c r="AP53" s="18">
        <v>4800.0</v>
      </c>
      <c r="AQ53" s="19" t="s">
        <v>54</v>
      </c>
      <c r="AT53" s="11">
        <v>45743.0</v>
      </c>
      <c r="AU53" s="18">
        <v>18100.0</v>
      </c>
      <c r="AV53" s="20" t="s">
        <v>385</v>
      </c>
      <c r="AY53" s="11"/>
      <c r="AZ53" s="18"/>
      <c r="BA53" s="18"/>
      <c r="BI53" s="3"/>
      <c r="BJ53" s="3"/>
      <c r="BK53" s="3"/>
      <c r="BL53" s="3"/>
      <c r="BN53" s="3"/>
      <c r="BO53" s="3"/>
      <c r="BP53" s="3"/>
      <c r="BQ53" s="3"/>
      <c r="BR53" s="3"/>
      <c r="BS53" s="39"/>
      <c r="BT53" s="39"/>
      <c r="BU53" s="39"/>
      <c r="BV53" s="39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</row>
    <row r="54">
      <c r="C54" s="83"/>
      <c r="E54" s="52">
        <f>118000-100000-G30-G32-G31</f>
        <v>-30270</v>
      </c>
      <c r="H54" s="52">
        <f>100000-9000-5000-24200-350-720-G38-G43-I54</f>
        <v>-24690</v>
      </c>
      <c r="I54" s="21">
        <v>81600.0</v>
      </c>
      <c r="K54" s="47">
        <v>45532.0</v>
      </c>
      <c r="L54" s="25">
        <v>7450.0</v>
      </c>
      <c r="M54" s="49" t="s">
        <v>386</v>
      </c>
      <c r="P54" s="47">
        <v>45561.0</v>
      </c>
      <c r="Q54" s="25">
        <v>20000.0</v>
      </c>
      <c r="R54" s="51" t="s">
        <v>21</v>
      </c>
      <c r="U54" s="47">
        <v>45580.0</v>
      </c>
      <c r="V54" s="25">
        <v>10500.0</v>
      </c>
      <c r="W54" s="49" t="s">
        <v>387</v>
      </c>
      <c r="Z54" s="47">
        <v>45612.0</v>
      </c>
      <c r="AA54" s="25">
        <v>20000.0</v>
      </c>
      <c r="AB54" s="49" t="s">
        <v>223</v>
      </c>
      <c r="AE54" s="17">
        <v>45637.0</v>
      </c>
      <c r="AF54" s="18">
        <v>50000.0</v>
      </c>
      <c r="AG54" s="19" t="s">
        <v>388</v>
      </c>
      <c r="AJ54" s="36"/>
      <c r="AK54" s="36"/>
      <c r="AL54" s="36"/>
      <c r="AO54" s="11">
        <v>45710.0</v>
      </c>
      <c r="AP54" s="18">
        <v>48135.0</v>
      </c>
      <c r="AQ54" s="19" t="s">
        <v>389</v>
      </c>
      <c r="AT54" s="11">
        <v>45744.0</v>
      </c>
      <c r="AU54" s="21">
        <v>6000.0</v>
      </c>
      <c r="AV54" s="68" t="s">
        <v>121</v>
      </c>
      <c r="AY54" s="11"/>
      <c r="AZ54" s="18"/>
      <c r="BA54" s="18"/>
      <c r="BI54" s="3"/>
      <c r="BJ54" s="3"/>
      <c r="BK54" s="3"/>
      <c r="BL54" s="3"/>
      <c r="BN54" s="3"/>
      <c r="BO54" s="3"/>
      <c r="BP54" s="3"/>
      <c r="BQ54" s="3"/>
      <c r="BR54" s="3"/>
      <c r="BS54" s="39"/>
      <c r="BT54" s="39"/>
      <c r="BU54" s="39"/>
      <c r="BV54" s="39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</row>
    <row r="55">
      <c r="C55" s="83"/>
      <c r="K55" s="47">
        <v>45533.0</v>
      </c>
      <c r="L55" s="25">
        <v>2370.0</v>
      </c>
      <c r="M55" s="49" t="s">
        <v>390</v>
      </c>
      <c r="P55" s="47">
        <v>45562.0</v>
      </c>
      <c r="Q55" s="25">
        <v>280640.0</v>
      </c>
      <c r="R55" s="51" t="s">
        <v>65</v>
      </c>
      <c r="U55" s="47">
        <v>45580.0</v>
      </c>
      <c r="V55" s="25">
        <v>16000.0</v>
      </c>
      <c r="W55" s="48" t="s">
        <v>21</v>
      </c>
      <c r="Z55" s="11">
        <v>45610.0</v>
      </c>
      <c r="AA55" s="12">
        <v>16079.0</v>
      </c>
      <c r="AB55" s="70" t="s">
        <v>128</v>
      </c>
      <c r="AE55" s="17">
        <v>45637.0</v>
      </c>
      <c r="AF55" s="18">
        <v>800000.0</v>
      </c>
      <c r="AG55" s="19" t="s">
        <v>391</v>
      </c>
      <c r="AH55" s="35">
        <f>1400000-800000-100000-28729-150000-200000+AH52-AF58-AF59-AF60-AF61-AF62-AF63-AF64-AF65-AF66-AF67</f>
        <v>-9455</v>
      </c>
      <c r="AJ55" s="36"/>
      <c r="AK55" s="36"/>
      <c r="AL55" s="36"/>
      <c r="AO55" s="11">
        <v>45713.0</v>
      </c>
      <c r="AP55" s="21">
        <v>17431.0</v>
      </c>
      <c r="AQ55" s="19" t="s">
        <v>392</v>
      </c>
      <c r="AT55" s="11">
        <v>45746.0</v>
      </c>
      <c r="AU55" s="86">
        <v>4000.0</v>
      </c>
      <c r="AV55" s="68" t="s">
        <v>121</v>
      </c>
      <c r="AY55" s="11"/>
      <c r="BA55" s="18"/>
      <c r="BI55" s="3"/>
      <c r="BJ55" s="3"/>
      <c r="BK55" s="3"/>
      <c r="BL55" s="3"/>
      <c r="BN55" s="3"/>
      <c r="BO55" s="3"/>
      <c r="BP55" s="3"/>
      <c r="BQ55" s="3"/>
      <c r="BR55" s="3"/>
      <c r="BS55" s="39"/>
      <c r="BT55" s="39"/>
      <c r="BU55" s="39"/>
      <c r="BV55" s="39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</row>
    <row r="56">
      <c r="C56" s="83"/>
      <c r="K56" s="47">
        <v>45528.0</v>
      </c>
      <c r="L56" s="25">
        <v>11000.0</v>
      </c>
      <c r="M56" s="49" t="s">
        <v>393</v>
      </c>
      <c r="P56" s="47">
        <v>45562.0</v>
      </c>
      <c r="Q56" s="25">
        <v>16000.0</v>
      </c>
      <c r="R56" s="51" t="s">
        <v>21</v>
      </c>
      <c r="U56" s="47">
        <v>45580.0</v>
      </c>
      <c r="V56" s="25">
        <v>11600.0</v>
      </c>
      <c r="W56" s="48" t="s">
        <v>21</v>
      </c>
      <c r="Z56" s="11">
        <v>45611.0</v>
      </c>
      <c r="AA56" s="12">
        <v>118041.0</v>
      </c>
      <c r="AB56" s="70" t="s">
        <v>394</v>
      </c>
      <c r="AE56" s="17">
        <v>45637.0</v>
      </c>
      <c r="AF56" s="18">
        <v>28729.0</v>
      </c>
      <c r="AG56" s="19" t="s">
        <v>395</v>
      </c>
      <c r="AJ56" s="36"/>
      <c r="AK56" s="36"/>
      <c r="AL56" s="36"/>
      <c r="AO56" s="11">
        <v>45713.0</v>
      </c>
      <c r="AP56" s="87">
        <v>6950.0</v>
      </c>
      <c r="AQ56" s="19" t="s">
        <v>396</v>
      </c>
      <c r="AR56" s="21">
        <f>42065-AP56-AP57-AP58-AP59</f>
        <v>5715</v>
      </c>
      <c r="AT56" s="11">
        <v>45746.0</v>
      </c>
      <c r="AU56" s="18">
        <v>5579.0</v>
      </c>
      <c r="AV56" s="20" t="s">
        <v>190</v>
      </c>
      <c r="AY56" s="11"/>
      <c r="AZ56" s="86"/>
      <c r="BA56" s="18"/>
      <c r="BI56" s="3"/>
      <c r="BJ56" s="3"/>
      <c r="BK56" s="3"/>
      <c r="BL56" s="3"/>
      <c r="BN56" s="3"/>
      <c r="BO56" s="3"/>
      <c r="BP56" s="3"/>
      <c r="BQ56" s="3"/>
      <c r="BR56" s="3"/>
      <c r="BS56" s="39"/>
      <c r="BT56" s="39"/>
      <c r="BU56" s="39"/>
      <c r="BV56" s="39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</row>
    <row r="57">
      <c r="C57" s="83"/>
      <c r="E57" s="21">
        <v>412000.0</v>
      </c>
      <c r="K57" s="47">
        <v>45533.0</v>
      </c>
      <c r="L57" s="25">
        <v>1650.0</v>
      </c>
      <c r="M57" s="49" t="s">
        <v>397</v>
      </c>
      <c r="P57" s="47">
        <v>45562.0</v>
      </c>
      <c r="Q57" s="25">
        <v>23239.0</v>
      </c>
      <c r="R57" s="51" t="s">
        <v>315</v>
      </c>
      <c r="U57" s="47">
        <v>45580.0</v>
      </c>
      <c r="V57" s="25">
        <v>400000.0</v>
      </c>
      <c r="W57" s="49" t="s">
        <v>398</v>
      </c>
      <c r="Z57" s="47">
        <v>45611.0</v>
      </c>
      <c r="AA57" s="25">
        <v>4100.0</v>
      </c>
      <c r="AB57" s="49" t="s">
        <v>399</v>
      </c>
      <c r="AE57" s="17">
        <v>45637.0</v>
      </c>
      <c r="AF57" s="18">
        <v>100000.0</v>
      </c>
      <c r="AG57" s="19" t="s">
        <v>400</v>
      </c>
      <c r="AJ57" s="36"/>
      <c r="AK57" s="36"/>
      <c r="AL57" s="36"/>
      <c r="AO57" s="11">
        <v>45713.0</v>
      </c>
      <c r="AP57" s="18">
        <v>5400.0</v>
      </c>
      <c r="AQ57" s="19" t="s">
        <v>25</v>
      </c>
      <c r="AT57" s="11">
        <v>45746.0</v>
      </c>
      <c r="AU57" s="21">
        <v>12000.0</v>
      </c>
      <c r="AV57" s="68" t="s">
        <v>121</v>
      </c>
      <c r="AY57" s="11"/>
      <c r="AZ57" s="18"/>
      <c r="BA57" s="18"/>
      <c r="BI57" s="3"/>
      <c r="BJ57" s="3"/>
      <c r="BK57" s="3"/>
      <c r="BL57" s="3"/>
      <c r="BN57" s="3"/>
      <c r="BO57" s="3"/>
      <c r="BP57" s="3"/>
      <c r="BQ57" s="3"/>
      <c r="BR57" s="3"/>
      <c r="BS57" s="39"/>
      <c r="BT57" s="39"/>
      <c r="BU57" s="39"/>
      <c r="BV57" s="39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</row>
    <row r="58">
      <c r="C58" s="83"/>
      <c r="E58" s="21" t="s">
        <v>401</v>
      </c>
      <c r="K58" s="47">
        <v>45534.0</v>
      </c>
      <c r="L58" s="25">
        <v>16500.0</v>
      </c>
      <c r="M58" s="49" t="s">
        <v>402</v>
      </c>
      <c r="P58" s="47">
        <v>45499.0</v>
      </c>
      <c r="Q58" s="25">
        <v>1700.0</v>
      </c>
      <c r="R58" s="49" t="s">
        <v>403</v>
      </c>
      <c r="U58" s="47">
        <v>45580.0</v>
      </c>
      <c r="V58" s="25">
        <v>700000.0</v>
      </c>
      <c r="W58" s="48" t="s">
        <v>404</v>
      </c>
      <c r="Z58" s="11">
        <v>45611.0</v>
      </c>
      <c r="AA58" s="12">
        <v>170500.0</v>
      </c>
      <c r="AB58" s="70" t="s">
        <v>237</v>
      </c>
      <c r="AE58" s="17">
        <v>45637.0</v>
      </c>
      <c r="AF58" s="18">
        <v>35980.0</v>
      </c>
      <c r="AG58" s="19" t="s">
        <v>184</v>
      </c>
      <c r="AJ58" s="36"/>
      <c r="AK58" s="36"/>
      <c r="AL58" s="36"/>
      <c r="AO58" s="11">
        <v>45714.0</v>
      </c>
      <c r="AP58" s="18">
        <v>4000.0</v>
      </c>
      <c r="AQ58" s="19" t="s">
        <v>405</v>
      </c>
      <c r="AT58" s="11">
        <v>45746.0</v>
      </c>
      <c r="AU58" s="21">
        <v>2000.0</v>
      </c>
      <c r="AV58" s="68" t="s">
        <v>121</v>
      </c>
      <c r="AY58" s="11"/>
      <c r="AZ58" s="18"/>
      <c r="BA58" s="18"/>
      <c r="BI58" s="3"/>
      <c r="BJ58" s="3"/>
      <c r="BK58" s="3"/>
      <c r="BL58" s="3"/>
      <c r="BN58" s="3"/>
      <c r="BO58" s="3"/>
      <c r="BP58" s="3"/>
      <c r="BQ58" s="3"/>
      <c r="BR58" s="3"/>
      <c r="BS58" s="39"/>
      <c r="BT58" s="39"/>
      <c r="BU58" s="39"/>
      <c r="BV58" s="39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</row>
    <row r="59">
      <c r="C59" s="83"/>
      <c r="E59" s="21">
        <v>51000.0</v>
      </c>
      <c r="K59" s="47">
        <v>45534.0</v>
      </c>
      <c r="L59" s="25">
        <v>5000.0</v>
      </c>
      <c r="M59" s="49" t="s">
        <v>406</v>
      </c>
      <c r="P59" s="47">
        <v>45500.0</v>
      </c>
      <c r="Q59" s="25">
        <v>3000.0</v>
      </c>
      <c r="R59" s="49" t="s">
        <v>382</v>
      </c>
      <c r="U59" s="88">
        <v>45581.0</v>
      </c>
      <c r="V59" s="25">
        <v>780.0</v>
      </c>
      <c r="W59" s="49" t="s">
        <v>407</v>
      </c>
      <c r="Z59" s="11">
        <v>45612.0</v>
      </c>
      <c r="AA59" s="12">
        <v>8000.0</v>
      </c>
      <c r="AB59" s="70" t="s">
        <v>21</v>
      </c>
      <c r="AE59" s="17">
        <v>45638.0</v>
      </c>
      <c r="AF59" s="18">
        <v>16380.0</v>
      </c>
      <c r="AG59" s="19" t="s">
        <v>408</v>
      </c>
      <c r="AJ59" s="36"/>
      <c r="AK59" s="36"/>
      <c r="AL59" s="36"/>
      <c r="AO59" s="11">
        <v>45714.0</v>
      </c>
      <c r="AP59" s="18">
        <v>20000.0</v>
      </c>
      <c r="AQ59" s="19" t="s">
        <v>409</v>
      </c>
      <c r="AT59" s="11"/>
      <c r="AV59" s="68"/>
      <c r="AY59" s="11"/>
      <c r="AZ59" s="18"/>
      <c r="BA59" s="18"/>
      <c r="BI59" s="3"/>
      <c r="BJ59" s="3"/>
      <c r="BK59" s="3"/>
      <c r="BL59" s="3"/>
      <c r="BN59" s="3"/>
      <c r="BO59" s="3"/>
      <c r="BP59" s="3"/>
      <c r="BQ59" s="3"/>
      <c r="BR59" s="3"/>
      <c r="BS59" s="39"/>
      <c r="BT59" s="39"/>
      <c r="BU59" s="39"/>
      <c r="BV59" s="39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</row>
    <row r="60">
      <c r="C60" s="83"/>
      <c r="E60" s="52">
        <f>1463000-B26-B27-B28-B29-B30</f>
        <v>1196697</v>
      </c>
      <c r="K60" s="69"/>
      <c r="P60" s="11">
        <v>45500.0</v>
      </c>
      <c r="Q60" s="18">
        <v>2000.0</v>
      </c>
      <c r="R60" s="19" t="s">
        <v>410</v>
      </c>
      <c r="U60" s="17">
        <v>45581.0</v>
      </c>
      <c r="V60" s="18">
        <v>2010.0</v>
      </c>
      <c r="W60" s="19" t="s">
        <v>52</v>
      </c>
      <c r="Z60" s="17">
        <v>45611.0</v>
      </c>
      <c r="AA60" s="18">
        <v>5200.0</v>
      </c>
      <c r="AB60" s="19" t="s">
        <v>411</v>
      </c>
      <c r="AE60" s="17">
        <v>45638.0</v>
      </c>
      <c r="AF60" s="18">
        <v>4746.0</v>
      </c>
      <c r="AG60" s="19" t="s">
        <v>412</v>
      </c>
      <c r="AJ60" s="36"/>
      <c r="AK60" s="36"/>
      <c r="AL60" s="36"/>
      <c r="AO60" s="11">
        <v>45714.0</v>
      </c>
      <c r="AP60" s="18">
        <v>20000.0</v>
      </c>
      <c r="AQ60" s="19" t="s">
        <v>41</v>
      </c>
      <c r="AR60" s="21">
        <f>70000-AP60+AR56-2739</f>
        <v>52976</v>
      </c>
      <c r="AT60" s="11"/>
      <c r="AU60" s="18"/>
      <c r="AV60" s="18"/>
      <c r="AY60" s="11"/>
      <c r="AZ60" s="18"/>
      <c r="BA60" s="18"/>
      <c r="BI60" s="3"/>
      <c r="BJ60" s="3"/>
      <c r="BK60" s="3"/>
      <c r="BL60" s="3"/>
      <c r="BN60" s="3"/>
      <c r="BO60" s="3"/>
      <c r="BP60" s="3"/>
      <c r="BQ60" s="3"/>
      <c r="BR60" s="3"/>
      <c r="BS60" s="39"/>
      <c r="BT60" s="39"/>
      <c r="BU60" s="39"/>
      <c r="BV60" s="39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</row>
    <row r="61">
      <c r="C61" s="83"/>
      <c r="K61" s="69"/>
      <c r="U61" s="17">
        <v>45581.0</v>
      </c>
      <c r="V61" s="18">
        <v>8217.0</v>
      </c>
      <c r="W61" s="19" t="s">
        <v>413</v>
      </c>
      <c r="Z61" s="17">
        <v>45611.0</v>
      </c>
      <c r="AA61" s="18">
        <v>4500.0</v>
      </c>
      <c r="AB61" s="19" t="s">
        <v>414</v>
      </c>
      <c r="AE61" s="17">
        <v>45638.0</v>
      </c>
      <c r="AF61" s="18">
        <v>6475.0</v>
      </c>
      <c r="AG61" s="19" t="s">
        <v>396</v>
      </c>
      <c r="AJ61" s="36"/>
      <c r="AK61" s="36"/>
      <c r="AL61" s="36"/>
      <c r="AO61" s="11">
        <v>45705.0</v>
      </c>
      <c r="AP61" s="18">
        <v>8000.0</v>
      </c>
      <c r="AQ61" s="20" t="s">
        <v>121</v>
      </c>
      <c r="AT61" s="36"/>
      <c r="AU61" s="36"/>
      <c r="AV61" s="36"/>
      <c r="AY61" s="36"/>
      <c r="AZ61" s="36"/>
      <c r="BA61" s="36"/>
      <c r="BI61" s="3"/>
      <c r="BJ61" s="3"/>
      <c r="BK61" s="3"/>
      <c r="BL61" s="3"/>
      <c r="BN61" s="3"/>
      <c r="BO61" s="3"/>
      <c r="BP61" s="3"/>
      <c r="BQ61" s="3"/>
      <c r="BR61" s="3"/>
      <c r="BS61" s="39"/>
      <c r="BT61" s="39"/>
      <c r="BU61" s="39"/>
      <c r="BV61" s="39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</row>
    <row r="62">
      <c r="C62" s="83"/>
      <c r="U62" s="17">
        <v>45581.0</v>
      </c>
      <c r="V62" s="18">
        <f>1290+1660</f>
        <v>2950</v>
      </c>
      <c r="W62" s="19" t="s">
        <v>415</v>
      </c>
      <c r="Z62" s="17">
        <v>45611.0</v>
      </c>
      <c r="AA62" s="18">
        <v>3079.0</v>
      </c>
      <c r="AB62" s="19" t="s">
        <v>416</v>
      </c>
      <c r="AE62" s="17">
        <v>45638.0</v>
      </c>
      <c r="AF62" s="18">
        <v>35743.0</v>
      </c>
      <c r="AG62" s="19" t="s">
        <v>417</v>
      </c>
      <c r="AJ62" s="36"/>
      <c r="AK62" s="36"/>
      <c r="AL62" s="36"/>
      <c r="AO62" s="11">
        <v>45708.0</v>
      </c>
      <c r="AP62" s="18">
        <v>16500.0</v>
      </c>
      <c r="AQ62" s="20" t="s">
        <v>249</v>
      </c>
      <c r="AT62" s="36"/>
      <c r="AU62" s="36"/>
      <c r="AV62" s="36"/>
      <c r="AY62" s="36"/>
      <c r="AZ62" s="36"/>
      <c r="BA62" s="36"/>
      <c r="BI62" s="3"/>
      <c r="BJ62" s="3"/>
      <c r="BK62" s="3"/>
      <c r="BL62" s="3"/>
      <c r="BN62" s="3"/>
      <c r="BO62" s="3"/>
      <c r="BP62" s="3"/>
      <c r="BQ62" s="3"/>
      <c r="BR62" s="3"/>
      <c r="BS62" s="39"/>
      <c r="BT62" s="39"/>
      <c r="BU62" s="39"/>
      <c r="BV62" s="39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</row>
    <row r="63">
      <c r="C63" s="83"/>
      <c r="U63" s="17">
        <v>45581.0</v>
      </c>
      <c r="V63" s="18">
        <f>3360+1360</f>
        <v>4720</v>
      </c>
      <c r="W63" s="19" t="s">
        <v>418</v>
      </c>
      <c r="Z63" s="17">
        <v>45611.0</v>
      </c>
      <c r="AA63" s="18">
        <v>2860.0</v>
      </c>
      <c r="AB63" s="19" t="s">
        <v>52</v>
      </c>
      <c r="AE63" s="17">
        <v>45638.0</v>
      </c>
      <c r="AF63" s="18">
        <v>4500.0</v>
      </c>
      <c r="AG63" s="19" t="s">
        <v>25</v>
      </c>
      <c r="AJ63" s="36"/>
      <c r="AK63" s="36"/>
      <c r="AL63" s="36"/>
      <c r="AO63" s="11">
        <v>45713.0</v>
      </c>
      <c r="AP63" s="18">
        <v>19200.0</v>
      </c>
      <c r="AQ63" s="20" t="s">
        <v>121</v>
      </c>
      <c r="AT63" s="36"/>
      <c r="AU63" s="36"/>
      <c r="AV63" s="36"/>
      <c r="AY63" s="36"/>
      <c r="AZ63" s="36"/>
      <c r="BA63" s="36"/>
      <c r="BI63" s="3"/>
      <c r="BJ63" s="3"/>
      <c r="BK63" s="3"/>
      <c r="BL63" s="3"/>
      <c r="BN63" s="3"/>
      <c r="BO63" s="3"/>
      <c r="BP63" s="3"/>
      <c r="BQ63" s="3"/>
      <c r="BR63" s="3"/>
      <c r="BS63" s="39"/>
      <c r="BT63" s="39"/>
      <c r="BU63" s="39"/>
      <c r="BV63" s="39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</row>
    <row r="64">
      <c r="C64" s="83"/>
      <c r="U64" s="17">
        <v>45581.0</v>
      </c>
      <c r="V64" s="18">
        <v>6800.0</v>
      </c>
      <c r="W64" s="19" t="s">
        <v>26</v>
      </c>
      <c r="Z64" s="17">
        <v>45615.0</v>
      </c>
      <c r="AA64" s="18">
        <v>28000.0</v>
      </c>
      <c r="AB64" s="19" t="s">
        <v>419</v>
      </c>
      <c r="AE64" s="17">
        <v>45638.0</v>
      </c>
      <c r="AF64" s="18">
        <v>5040.0</v>
      </c>
      <c r="AG64" s="19" t="s">
        <v>420</v>
      </c>
      <c r="AJ64" s="36"/>
      <c r="AK64" s="36"/>
      <c r="AL64" s="36"/>
      <c r="AO64" s="11">
        <v>45714.0</v>
      </c>
      <c r="AP64" s="18">
        <v>18100.0</v>
      </c>
      <c r="AQ64" s="20" t="s">
        <v>385</v>
      </c>
      <c r="AT64" s="36"/>
      <c r="AU64" s="36"/>
      <c r="AV64" s="36"/>
      <c r="AY64" s="36"/>
      <c r="AZ64" s="36"/>
      <c r="BA64" s="36"/>
      <c r="BI64" s="3"/>
      <c r="BJ64" s="3"/>
      <c r="BK64" s="3"/>
      <c r="BL64" s="3"/>
      <c r="BN64" s="3"/>
      <c r="BO64" s="3"/>
      <c r="BP64" s="3"/>
      <c r="BQ64" s="3"/>
      <c r="BR64" s="3"/>
      <c r="BS64" s="39"/>
      <c r="BT64" s="39"/>
      <c r="BU64" s="39"/>
      <c r="BV64" s="39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</row>
    <row r="65">
      <c r="C65" s="83"/>
      <c r="U65" s="17">
        <v>45582.0</v>
      </c>
      <c r="V65" s="18">
        <v>19190.0</v>
      </c>
      <c r="W65" s="19" t="s">
        <v>421</v>
      </c>
      <c r="Z65" s="17">
        <v>45616.0</v>
      </c>
      <c r="AA65" s="18">
        <v>62000.0</v>
      </c>
      <c r="AB65" s="55" t="s">
        <v>422</v>
      </c>
      <c r="AE65" s="17">
        <v>45638.0</v>
      </c>
      <c r="AF65" s="18">
        <v>2830.0</v>
      </c>
      <c r="AG65" s="19" t="s">
        <v>423</v>
      </c>
      <c r="AJ65" s="36"/>
      <c r="AK65" s="36"/>
      <c r="AL65" s="36"/>
      <c r="AO65" s="11">
        <v>45714.0</v>
      </c>
      <c r="AP65" s="18">
        <v>42374.0</v>
      </c>
      <c r="AQ65" s="20" t="s">
        <v>190</v>
      </c>
      <c r="AT65" s="36"/>
      <c r="AU65" s="36"/>
      <c r="AV65" s="36"/>
      <c r="AY65" s="36"/>
      <c r="AZ65" s="36"/>
      <c r="BA65" s="36"/>
      <c r="BI65" s="3"/>
      <c r="BJ65" s="3"/>
      <c r="BK65" s="3"/>
      <c r="BL65" s="3"/>
      <c r="BN65" s="3"/>
      <c r="BO65" s="3"/>
      <c r="BP65" s="3"/>
      <c r="BQ65" s="3"/>
      <c r="BR65" s="3"/>
      <c r="BS65" s="39"/>
      <c r="BT65" s="39"/>
      <c r="BU65" s="39"/>
      <c r="BV65" s="39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</row>
    <row r="66">
      <c r="C66" s="83"/>
      <c r="U66" s="17">
        <v>45582.0</v>
      </c>
      <c r="V66" s="18">
        <v>14000.0</v>
      </c>
      <c r="W66" s="19" t="s">
        <v>424</v>
      </c>
      <c r="Z66" s="17">
        <v>45616.0</v>
      </c>
      <c r="AA66" s="18">
        <v>2480.0</v>
      </c>
      <c r="AB66" s="20" t="s">
        <v>21</v>
      </c>
      <c r="AC66" s="35">
        <f>1000000-AA68-AA69-AA70-AA71-AA72-AA73-100000-120000-250000-100000-43076</f>
        <v>3196</v>
      </c>
      <c r="AE66" s="17">
        <v>45638.0</v>
      </c>
      <c r="AF66" s="18">
        <v>4400.0</v>
      </c>
      <c r="AG66" s="19" t="s">
        <v>97</v>
      </c>
      <c r="AJ66" s="36"/>
      <c r="AK66" s="36"/>
      <c r="AL66" s="36"/>
      <c r="AO66" s="11">
        <v>45714.0</v>
      </c>
      <c r="AP66" s="18">
        <v>21200.0</v>
      </c>
      <c r="AQ66" s="20" t="s">
        <v>121</v>
      </c>
      <c r="AT66" s="36"/>
      <c r="AU66" s="36"/>
      <c r="AV66" s="36"/>
      <c r="AY66" s="36"/>
      <c r="AZ66" s="36"/>
      <c r="BA66" s="36"/>
      <c r="BI66" s="3"/>
      <c r="BJ66" s="3"/>
      <c r="BK66" s="3"/>
      <c r="BL66" s="3"/>
      <c r="BN66" s="3"/>
      <c r="BO66" s="3"/>
      <c r="BP66" s="3"/>
      <c r="BQ66" s="3"/>
      <c r="BR66" s="3"/>
      <c r="BS66" s="39"/>
      <c r="BT66" s="39"/>
      <c r="BU66" s="39"/>
      <c r="BV66" s="39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</row>
    <row r="67">
      <c r="C67" s="83"/>
      <c r="U67" s="17">
        <v>45582.0</v>
      </c>
      <c r="V67" s="36">
        <f>1850+2500</f>
        <v>4350</v>
      </c>
      <c r="W67" s="19" t="s">
        <v>425</v>
      </c>
      <c r="Z67" s="17">
        <v>45615.0</v>
      </c>
      <c r="AA67" s="18">
        <v>572300.0</v>
      </c>
      <c r="AB67" s="20" t="s">
        <v>19</v>
      </c>
      <c r="AE67" s="17">
        <v>45638.0</v>
      </c>
      <c r="AF67" s="21">
        <f>8800+13350</f>
        <v>22150</v>
      </c>
      <c r="AG67" s="19" t="s">
        <v>426</v>
      </c>
      <c r="AJ67" s="36"/>
      <c r="AK67" s="36"/>
      <c r="AL67" s="36"/>
      <c r="AO67" s="11">
        <v>45714.0</v>
      </c>
      <c r="AP67" s="18">
        <v>2800.0</v>
      </c>
      <c r="AQ67" s="20" t="s">
        <v>121</v>
      </c>
      <c r="AT67" s="36"/>
      <c r="AU67" s="36"/>
      <c r="AV67" s="36"/>
      <c r="AY67" s="36"/>
      <c r="AZ67" s="36"/>
      <c r="BA67" s="36"/>
      <c r="BI67" s="3"/>
      <c r="BJ67" s="3"/>
      <c r="BK67" s="3"/>
      <c r="BL67" s="3"/>
      <c r="BN67" s="3"/>
      <c r="BO67" s="3"/>
      <c r="BP67" s="3"/>
      <c r="BQ67" s="3"/>
      <c r="BR67" s="3"/>
      <c r="BS67" s="39"/>
      <c r="BT67" s="39"/>
      <c r="BU67" s="39"/>
      <c r="BV67" s="39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</row>
    <row r="68">
      <c r="C68" s="83"/>
      <c r="U68" s="17">
        <v>45582.0</v>
      </c>
      <c r="V68" s="18">
        <v>2360.0</v>
      </c>
      <c r="W68" s="19" t="s">
        <v>427</v>
      </c>
      <c r="Z68" s="17">
        <v>45616.0</v>
      </c>
      <c r="AA68" s="18">
        <v>9000.0</v>
      </c>
      <c r="AB68" s="55" t="s">
        <v>115</v>
      </c>
      <c r="AC68" s="22">
        <f>50000-AA68-AA69+200000-43076+16575+200000-AA70-AA71-AA72-AA73+130000-100000-AA74+100000-AA75-AA80-AA81-AA82-AA83-AA84-AA87+AC51</f>
        <v>70240</v>
      </c>
      <c r="AE68" s="17">
        <v>45639.0</v>
      </c>
      <c r="AF68" s="18">
        <v>100000.0</v>
      </c>
      <c r="AG68" s="19" t="s">
        <v>428</v>
      </c>
      <c r="AH68" s="21">
        <f>250000-9455-AF68-AF70-AF69-AF71-AF72-AF73-AF74-50000-AF75-AF76-AF77-AF78-AF79-AF80</f>
        <v>-234480</v>
      </c>
      <c r="AJ68" s="36"/>
      <c r="AK68" s="36"/>
      <c r="AL68" s="36"/>
      <c r="AO68" s="11">
        <v>45715.0</v>
      </c>
      <c r="AP68" s="18">
        <v>6000.0</v>
      </c>
      <c r="AQ68" s="20" t="s">
        <v>121</v>
      </c>
      <c r="AT68" s="36"/>
      <c r="AU68" s="36"/>
      <c r="AV68" s="36"/>
      <c r="AY68" s="36"/>
      <c r="AZ68" s="36"/>
      <c r="BA68" s="36"/>
      <c r="BI68" s="3"/>
      <c r="BJ68" s="3"/>
      <c r="BK68" s="3"/>
      <c r="BL68" s="3"/>
      <c r="BN68" s="3"/>
      <c r="BO68" s="3"/>
      <c r="BP68" s="3"/>
      <c r="BQ68" s="3"/>
      <c r="BR68" s="3"/>
      <c r="BS68" s="39"/>
      <c r="BT68" s="39"/>
      <c r="BU68" s="39"/>
      <c r="BV68" s="39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</row>
    <row r="69">
      <c r="C69" s="83"/>
      <c r="U69" s="17">
        <v>45582.0</v>
      </c>
      <c r="V69" s="18">
        <v>1500.0</v>
      </c>
      <c r="W69" s="19" t="s">
        <v>429</v>
      </c>
      <c r="Z69" s="17">
        <v>45616.0</v>
      </c>
      <c r="AA69" s="18">
        <v>30000.0</v>
      </c>
      <c r="AB69" s="55" t="s">
        <v>430</v>
      </c>
      <c r="AE69" s="17">
        <v>45639.0</v>
      </c>
      <c r="AF69" s="18">
        <v>29420.0</v>
      </c>
      <c r="AG69" s="19" t="s">
        <v>431</v>
      </c>
      <c r="AJ69" s="36"/>
      <c r="AK69" s="36"/>
      <c r="AL69" s="36"/>
      <c r="AO69" s="11"/>
      <c r="AP69" s="18"/>
      <c r="AQ69" s="20"/>
      <c r="AT69" s="36"/>
      <c r="AU69" s="36"/>
      <c r="AV69" s="36"/>
      <c r="AY69" s="36"/>
      <c r="AZ69" s="36"/>
      <c r="BA69" s="36"/>
      <c r="BI69" s="3"/>
      <c r="BJ69" s="3"/>
      <c r="BK69" s="3"/>
      <c r="BL69" s="3"/>
      <c r="BN69" s="3"/>
      <c r="BO69" s="3"/>
      <c r="BP69" s="3"/>
      <c r="BQ69" s="3"/>
      <c r="BR69" s="3"/>
      <c r="BS69" s="39"/>
      <c r="BT69" s="39"/>
      <c r="BU69" s="39"/>
      <c r="BV69" s="39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</row>
    <row r="70">
      <c r="C70" s="83"/>
      <c r="U70" s="17">
        <v>45583.0</v>
      </c>
      <c r="V70" s="18">
        <v>27500.0</v>
      </c>
      <c r="W70" s="19" t="s">
        <v>26</v>
      </c>
      <c r="Z70" s="17">
        <v>45618.0</v>
      </c>
      <c r="AA70" s="18">
        <v>46000.0</v>
      </c>
      <c r="AB70" s="55" t="s">
        <v>432</v>
      </c>
      <c r="AE70" s="17">
        <v>45639.0</v>
      </c>
      <c r="AF70" s="18">
        <v>15675.0</v>
      </c>
      <c r="AG70" s="19" t="s">
        <v>433</v>
      </c>
      <c r="AJ70" s="36"/>
      <c r="AK70" s="36"/>
      <c r="AL70" s="36"/>
      <c r="AO70" s="36"/>
      <c r="AP70" s="36"/>
      <c r="AQ70" s="36"/>
      <c r="AT70" s="36"/>
      <c r="AU70" s="36"/>
      <c r="AV70" s="36"/>
      <c r="AY70" s="36"/>
      <c r="AZ70" s="36"/>
      <c r="BA70" s="36"/>
      <c r="BI70" s="3"/>
      <c r="BJ70" s="3"/>
      <c r="BK70" s="3"/>
      <c r="BL70" s="3"/>
      <c r="BN70" s="3"/>
      <c r="BO70" s="3"/>
      <c r="BP70" s="3"/>
      <c r="BQ70" s="3"/>
      <c r="BR70" s="3"/>
      <c r="BS70" s="39"/>
      <c r="BT70" s="39"/>
      <c r="BU70" s="39"/>
      <c r="BV70" s="39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</row>
    <row r="71">
      <c r="C71" s="83"/>
      <c r="U71" s="17">
        <v>45583.0</v>
      </c>
      <c r="V71" s="18">
        <v>60000.0</v>
      </c>
      <c r="W71" s="19" t="s">
        <v>434</v>
      </c>
      <c r="X71" s="22">
        <f>200000+X37-V71-V118-V119-V120-V121-V117</f>
        <v>17223</v>
      </c>
      <c r="Z71" s="17">
        <v>45618.0</v>
      </c>
      <c r="AA71" s="18">
        <v>40728.0</v>
      </c>
      <c r="AB71" s="55" t="s">
        <v>435</v>
      </c>
      <c r="AE71" s="17">
        <v>45639.0</v>
      </c>
      <c r="AF71" s="18">
        <v>36500.0</v>
      </c>
      <c r="AG71" s="19" t="s">
        <v>436</v>
      </c>
      <c r="AJ71" s="36"/>
      <c r="AK71" s="36"/>
      <c r="AL71" s="36"/>
      <c r="AO71" s="36"/>
      <c r="AP71" s="36"/>
      <c r="AQ71" s="36"/>
      <c r="AT71" s="36"/>
      <c r="AU71" s="36"/>
      <c r="AV71" s="36"/>
      <c r="AY71" s="36"/>
      <c r="AZ71" s="36"/>
      <c r="BA71" s="36"/>
      <c r="BI71" s="3"/>
      <c r="BJ71" s="3"/>
      <c r="BK71" s="3"/>
      <c r="BL71" s="3"/>
      <c r="BN71" s="3"/>
      <c r="BO71" s="3"/>
      <c r="BP71" s="3"/>
      <c r="BQ71" s="3"/>
      <c r="BR71" s="3"/>
      <c r="BS71" s="39"/>
      <c r="BT71" s="39"/>
      <c r="BU71" s="39"/>
      <c r="BV71" s="39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</row>
    <row r="72">
      <c r="C72" s="83"/>
      <c r="U72" s="17">
        <v>45582.0</v>
      </c>
      <c r="V72" s="18">
        <v>54000.0</v>
      </c>
      <c r="W72" s="73" t="s">
        <v>437</v>
      </c>
      <c r="Z72" s="17">
        <v>45618.0</v>
      </c>
      <c r="AA72" s="18">
        <v>198000.0</v>
      </c>
      <c r="AB72" s="55" t="s">
        <v>438</v>
      </c>
      <c r="AE72" s="17">
        <v>45640.0</v>
      </c>
      <c r="AF72" s="18">
        <v>81000.0</v>
      </c>
      <c r="AG72" s="19" t="s">
        <v>439</v>
      </c>
      <c r="AJ72" s="36"/>
      <c r="AK72" s="36"/>
      <c r="AL72" s="36"/>
      <c r="AO72" s="36"/>
      <c r="AP72" s="36"/>
      <c r="AQ72" s="36"/>
      <c r="AT72" s="36"/>
      <c r="AU72" s="36"/>
      <c r="AV72" s="36"/>
      <c r="AY72" s="36"/>
      <c r="AZ72" s="36"/>
      <c r="BA72" s="36"/>
      <c r="BI72" s="3"/>
      <c r="BJ72" s="3"/>
      <c r="BK72" s="3"/>
      <c r="BL72" s="3"/>
      <c r="BN72" s="3"/>
      <c r="BO72" s="3"/>
      <c r="BP72" s="3"/>
      <c r="BQ72" s="3"/>
      <c r="BR72" s="3"/>
      <c r="BS72" s="39"/>
      <c r="BT72" s="39"/>
      <c r="BU72" s="39"/>
      <c r="BV72" s="39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</row>
    <row r="73">
      <c r="C73" s="83"/>
      <c r="U73" s="17">
        <v>45582.0</v>
      </c>
      <c r="V73" s="18">
        <v>12000.0</v>
      </c>
      <c r="W73" s="73" t="s">
        <v>21</v>
      </c>
      <c r="Z73" s="17">
        <v>45619.0</v>
      </c>
      <c r="AA73" s="18">
        <v>60000.0</v>
      </c>
      <c r="AB73" s="55" t="s">
        <v>440</v>
      </c>
      <c r="AE73" s="17">
        <v>45640.0</v>
      </c>
      <c r="AF73" s="18">
        <v>100000.0</v>
      </c>
      <c r="AG73" s="19" t="s">
        <v>441</v>
      </c>
      <c r="AJ73" s="36"/>
      <c r="AK73" s="36"/>
      <c r="AL73" s="36"/>
      <c r="AO73" s="36"/>
      <c r="AP73" s="36"/>
      <c r="AQ73" s="36"/>
      <c r="AT73" s="36"/>
      <c r="AU73" s="36"/>
      <c r="AV73" s="36"/>
      <c r="AY73" s="36"/>
      <c r="AZ73" s="36"/>
      <c r="BA73" s="36"/>
      <c r="BI73" s="3"/>
      <c r="BJ73" s="3"/>
      <c r="BK73" s="3"/>
      <c r="BL73" s="3"/>
      <c r="BN73" s="3"/>
      <c r="BO73" s="3"/>
      <c r="BP73" s="3"/>
      <c r="BQ73" s="3"/>
      <c r="BR73" s="3"/>
      <c r="BS73" s="39"/>
      <c r="BT73" s="39"/>
      <c r="BU73" s="39"/>
      <c r="BV73" s="39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</row>
    <row r="74">
      <c r="C74" s="83"/>
      <c r="U74" s="17">
        <v>45583.0</v>
      </c>
      <c r="V74" s="18">
        <v>20000.0</v>
      </c>
      <c r="W74" s="73" t="s">
        <v>21</v>
      </c>
      <c r="Z74" s="17">
        <v>45617.0</v>
      </c>
      <c r="AA74" s="18">
        <v>8500.0</v>
      </c>
      <c r="AB74" s="55" t="s">
        <v>442</v>
      </c>
      <c r="AE74" s="17">
        <v>45640.0</v>
      </c>
      <c r="AF74" s="18">
        <v>10000.0</v>
      </c>
      <c r="AG74" s="19" t="s">
        <v>443</v>
      </c>
      <c r="AH74" s="21">
        <v>2500000.0</v>
      </c>
      <c r="AI74" s="21" t="s">
        <v>444</v>
      </c>
      <c r="AJ74" s="36"/>
      <c r="AK74" s="36"/>
      <c r="AL74" s="36"/>
      <c r="AO74" s="36"/>
      <c r="AP74" s="36"/>
      <c r="AQ74" s="36"/>
      <c r="AT74" s="36"/>
      <c r="AU74" s="36"/>
      <c r="AV74" s="36"/>
      <c r="AY74" s="36"/>
      <c r="AZ74" s="36"/>
      <c r="BA74" s="36"/>
      <c r="BI74" s="3"/>
      <c r="BJ74" s="3"/>
      <c r="BK74" s="3"/>
      <c r="BL74" s="3"/>
      <c r="BN74" s="3"/>
      <c r="BO74" s="3"/>
      <c r="BP74" s="3"/>
      <c r="BQ74" s="3"/>
      <c r="BR74" s="3"/>
      <c r="BS74" s="39"/>
      <c r="BT74" s="39"/>
      <c r="BU74" s="39"/>
      <c r="BV74" s="39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</row>
    <row r="75">
      <c r="C75" s="83"/>
      <c r="U75" s="17">
        <v>45583.0</v>
      </c>
      <c r="V75" s="18">
        <v>16000.0</v>
      </c>
      <c r="W75" s="73" t="s">
        <v>21</v>
      </c>
      <c r="Z75" s="17">
        <v>45620.0</v>
      </c>
      <c r="AA75" s="18">
        <v>90000.0</v>
      </c>
      <c r="AB75" s="55" t="s">
        <v>445</v>
      </c>
      <c r="AE75" s="17">
        <v>45642.0</v>
      </c>
      <c r="AF75" s="18">
        <v>10000.0</v>
      </c>
      <c r="AG75" s="19" t="s">
        <v>446</v>
      </c>
      <c r="AH75" s="21">
        <v>1000000.0</v>
      </c>
      <c r="AI75" s="21" t="s">
        <v>447</v>
      </c>
      <c r="AJ75" s="36"/>
      <c r="AK75" s="36"/>
      <c r="AL75" s="36"/>
      <c r="AO75" s="36"/>
      <c r="AP75" s="36"/>
      <c r="AQ75" s="36"/>
      <c r="AT75" s="36"/>
      <c r="AU75" s="36"/>
      <c r="AV75" s="36"/>
      <c r="AY75" s="36"/>
      <c r="AZ75" s="36"/>
      <c r="BA75" s="36"/>
      <c r="BI75" s="3"/>
      <c r="BJ75" s="3"/>
      <c r="BK75" s="3"/>
      <c r="BL75" s="3"/>
      <c r="BN75" s="3"/>
      <c r="BO75" s="3"/>
      <c r="BP75" s="3"/>
      <c r="BQ75" s="3"/>
      <c r="BR75" s="3"/>
      <c r="BS75" s="39"/>
      <c r="BT75" s="39"/>
      <c r="BU75" s="39"/>
      <c r="BV75" s="39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</row>
    <row r="76">
      <c r="C76" s="83"/>
      <c r="U76" s="17">
        <v>45586.0</v>
      </c>
      <c r="V76" s="18">
        <v>281200.0</v>
      </c>
      <c r="W76" s="73" t="s">
        <v>65</v>
      </c>
      <c r="X76" s="21"/>
      <c r="Z76" s="17">
        <v>45616.0</v>
      </c>
      <c r="AA76" s="18">
        <v>750000.0</v>
      </c>
      <c r="AB76" s="73" t="s">
        <v>448</v>
      </c>
      <c r="AE76" s="17">
        <v>45642.0</v>
      </c>
      <c r="AF76" s="18">
        <v>16000.0</v>
      </c>
      <c r="AG76" s="19" t="s">
        <v>449</v>
      </c>
      <c r="AH76" s="21">
        <v>2256000.0</v>
      </c>
      <c r="AI76" s="21" t="s">
        <v>450</v>
      </c>
      <c r="AJ76" s="36"/>
      <c r="AK76" s="36"/>
      <c r="AL76" s="36"/>
      <c r="AO76" s="36"/>
      <c r="AP76" s="36"/>
      <c r="AQ76" s="36"/>
      <c r="AT76" s="36"/>
      <c r="AU76" s="36"/>
      <c r="AV76" s="36"/>
      <c r="AY76" s="36"/>
      <c r="AZ76" s="36"/>
      <c r="BA76" s="36"/>
      <c r="BI76" s="3"/>
      <c r="BJ76" s="3"/>
      <c r="BK76" s="3"/>
      <c r="BL76" s="3"/>
      <c r="BN76" s="3"/>
      <c r="BO76" s="3"/>
      <c r="BP76" s="3"/>
      <c r="BQ76" s="3"/>
      <c r="BR76" s="3"/>
      <c r="BS76" s="39"/>
      <c r="BT76" s="39"/>
      <c r="BU76" s="39"/>
      <c r="BV76" s="39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</row>
    <row r="77">
      <c r="C77" s="83"/>
      <c r="U77" s="17">
        <v>45587.0</v>
      </c>
      <c r="V77" s="18">
        <v>50000.0</v>
      </c>
      <c r="W77" s="55" t="s">
        <v>451</v>
      </c>
      <c r="Z77" s="17">
        <v>45616.0</v>
      </c>
      <c r="AA77" s="18">
        <v>2000.0</v>
      </c>
      <c r="AB77" s="73" t="s">
        <v>21</v>
      </c>
      <c r="AE77" s="17">
        <v>45642.0</v>
      </c>
      <c r="AF77" s="18">
        <v>3600.0</v>
      </c>
      <c r="AG77" s="89"/>
      <c r="AJ77" s="36"/>
      <c r="AK77" s="36"/>
      <c r="AL77" s="36"/>
      <c r="AO77" s="36"/>
      <c r="AP77" s="36"/>
      <c r="AQ77" s="36"/>
      <c r="AT77" s="36"/>
      <c r="AU77" s="36"/>
      <c r="AV77" s="36"/>
      <c r="AY77" s="36"/>
      <c r="AZ77" s="36"/>
      <c r="BA77" s="36"/>
      <c r="BI77" s="3"/>
      <c r="BJ77" s="3"/>
      <c r="BK77" s="3"/>
      <c r="BL77" s="3"/>
      <c r="BN77" s="3"/>
      <c r="BO77" s="3"/>
      <c r="BP77" s="3"/>
      <c r="BQ77" s="3"/>
      <c r="BR77" s="3"/>
      <c r="BS77" s="39"/>
      <c r="BT77" s="39"/>
      <c r="BU77" s="39"/>
      <c r="BV77" s="39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</row>
    <row r="78">
      <c r="C78" s="83"/>
      <c r="U78" s="17">
        <v>45586.0</v>
      </c>
      <c r="V78" s="18">
        <v>20000.0</v>
      </c>
      <c r="W78" s="55" t="s">
        <v>452</v>
      </c>
      <c r="Y78" s="17"/>
      <c r="Z78" s="17">
        <v>45618.0</v>
      </c>
      <c r="AA78" s="18">
        <v>10100.0</v>
      </c>
      <c r="AB78" s="73" t="s">
        <v>103</v>
      </c>
      <c r="AE78" s="17">
        <v>45642.0</v>
      </c>
      <c r="AF78" s="18">
        <v>8100.0</v>
      </c>
      <c r="AG78" s="19" t="s">
        <v>453</v>
      </c>
      <c r="AJ78" s="36"/>
      <c r="AK78" s="36"/>
      <c r="AL78" s="36"/>
      <c r="AO78" s="36"/>
      <c r="AP78" s="36"/>
      <c r="AQ78" s="36"/>
      <c r="AT78" s="36"/>
      <c r="AU78" s="36"/>
      <c r="AV78" s="36"/>
      <c r="AY78" s="36"/>
      <c r="AZ78" s="36"/>
      <c r="BA78" s="36"/>
      <c r="BI78" s="3"/>
      <c r="BJ78" s="3"/>
      <c r="BK78" s="3"/>
      <c r="BL78" s="3"/>
      <c r="BN78" s="3"/>
      <c r="BO78" s="3"/>
      <c r="BP78" s="3"/>
      <c r="BQ78" s="3"/>
      <c r="BR78" s="3"/>
      <c r="BS78" s="39"/>
      <c r="BT78" s="39"/>
      <c r="BU78" s="39"/>
      <c r="BV78" s="39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</row>
    <row r="79">
      <c r="C79" s="83"/>
      <c r="U79" s="17">
        <v>45586.0</v>
      </c>
      <c r="V79" s="18">
        <v>8000.0</v>
      </c>
      <c r="W79" s="73" t="s">
        <v>21</v>
      </c>
      <c r="Z79" s="17">
        <v>45621.0</v>
      </c>
      <c r="AA79" s="18">
        <v>4000.0</v>
      </c>
      <c r="AB79" s="73" t="s">
        <v>21</v>
      </c>
      <c r="AE79" s="17">
        <v>45642.0</v>
      </c>
      <c r="AF79" s="18">
        <v>6000.0</v>
      </c>
      <c r="AG79" s="19" t="s">
        <v>118</v>
      </c>
      <c r="AJ79" s="36"/>
      <c r="AK79" s="36"/>
      <c r="AL79" s="36"/>
      <c r="AO79" s="36"/>
      <c r="AP79" s="36"/>
      <c r="AQ79" s="36"/>
      <c r="AT79" s="36"/>
      <c r="AU79" s="36"/>
      <c r="AV79" s="36"/>
      <c r="AY79" s="36"/>
      <c r="AZ79" s="36"/>
      <c r="BA79" s="36"/>
      <c r="BI79" s="3"/>
      <c r="BJ79" s="3"/>
      <c r="BK79" s="3"/>
      <c r="BL79" s="3"/>
      <c r="BN79" s="3"/>
      <c r="BO79" s="3"/>
      <c r="BP79" s="3"/>
      <c r="BQ79" s="3"/>
      <c r="BR79" s="3"/>
      <c r="BS79" s="39"/>
      <c r="BT79" s="39"/>
      <c r="BU79" s="39"/>
      <c r="BV79" s="39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</row>
    <row r="80">
      <c r="C80" s="83"/>
      <c r="U80" s="17">
        <v>45587.0</v>
      </c>
      <c r="V80" s="18">
        <v>49282.0</v>
      </c>
      <c r="W80" s="55" t="s">
        <v>103</v>
      </c>
      <c r="Z80" s="17">
        <v>45621.0</v>
      </c>
      <c r="AA80" s="18">
        <v>9200.0</v>
      </c>
      <c r="AB80" s="55" t="s">
        <v>454</v>
      </c>
      <c r="AE80" s="17">
        <v>45642.0</v>
      </c>
      <c r="AF80" s="18">
        <f>3600+5130</f>
        <v>8730</v>
      </c>
      <c r="AG80" s="19" t="s">
        <v>42</v>
      </c>
      <c r="AJ80" s="36"/>
      <c r="AK80" s="36"/>
      <c r="AL80" s="36"/>
      <c r="AO80" s="36"/>
      <c r="AP80" s="36"/>
      <c r="AQ80" s="36"/>
      <c r="AT80" s="36"/>
      <c r="AU80" s="36"/>
      <c r="AV80" s="36"/>
      <c r="AY80" s="36"/>
      <c r="AZ80" s="36"/>
      <c r="BA80" s="36"/>
      <c r="BI80" s="3"/>
      <c r="BJ80" s="3"/>
      <c r="BK80" s="3"/>
      <c r="BL80" s="3"/>
      <c r="BN80" s="3"/>
      <c r="BO80" s="3"/>
      <c r="BP80" s="3"/>
      <c r="BQ80" s="3"/>
      <c r="BR80" s="3"/>
      <c r="BS80" s="39"/>
      <c r="BT80" s="39"/>
      <c r="BU80" s="39"/>
      <c r="BV80" s="39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</row>
    <row r="81">
      <c r="C81" s="83"/>
      <c r="U81" s="17">
        <v>45586.0</v>
      </c>
      <c r="V81" s="18">
        <v>4000.0</v>
      </c>
      <c r="W81" s="73" t="s">
        <v>21</v>
      </c>
      <c r="Z81" s="17">
        <v>45621.0</v>
      </c>
      <c r="AA81" s="18">
        <v>6705.0</v>
      </c>
      <c r="AB81" s="55" t="s">
        <v>455</v>
      </c>
      <c r="AE81" s="17">
        <v>45643.0</v>
      </c>
      <c r="AF81" s="18">
        <v>10000.0</v>
      </c>
      <c r="AG81" s="19" t="s">
        <v>456</v>
      </c>
      <c r="AJ81" s="36"/>
      <c r="AK81" s="36"/>
      <c r="AL81" s="36"/>
      <c r="AO81" s="36"/>
      <c r="AP81" s="36"/>
      <c r="AQ81" s="36"/>
      <c r="AT81" s="36"/>
      <c r="AU81" s="36"/>
      <c r="AV81" s="36"/>
      <c r="AY81" s="36"/>
      <c r="AZ81" s="36"/>
      <c r="BA81" s="36"/>
      <c r="BI81" s="3"/>
      <c r="BJ81" s="3"/>
      <c r="BK81" s="3"/>
      <c r="BL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</row>
    <row r="82">
      <c r="C82" s="83"/>
      <c r="U82" s="17">
        <v>45587.0</v>
      </c>
      <c r="V82" s="18">
        <v>1214.0</v>
      </c>
      <c r="W82" s="55" t="s">
        <v>457</v>
      </c>
      <c r="Z82" s="17">
        <v>45621.0</v>
      </c>
      <c r="AA82" s="18">
        <v>7500.0</v>
      </c>
      <c r="AB82" s="55" t="s">
        <v>458</v>
      </c>
      <c r="AE82" s="17">
        <v>45643.0</v>
      </c>
      <c r="AF82" s="18">
        <v>100000.0</v>
      </c>
      <c r="AG82" s="19" t="s">
        <v>459</v>
      </c>
      <c r="AH82" s="21">
        <f>1070890-234480-AF82-AF83-AF84-AF85-AF86-AF87-AF88-AF89-AF90-AF91-AF92-AF93-AF94-AF95-AF96</f>
        <v>196698</v>
      </c>
      <c r="AJ82" s="36"/>
      <c r="AK82" s="36"/>
      <c r="AL82" s="36"/>
      <c r="AO82" s="36"/>
      <c r="AP82" s="36"/>
      <c r="AQ82" s="36"/>
      <c r="AT82" s="36"/>
      <c r="AU82" s="36"/>
      <c r="AV82" s="36"/>
      <c r="AY82" s="36"/>
      <c r="AZ82" s="36"/>
      <c r="BA82" s="36"/>
      <c r="BI82" s="3"/>
      <c r="BJ82" s="3"/>
      <c r="BK82" s="3"/>
      <c r="BL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</row>
    <row r="83">
      <c r="C83" s="83"/>
      <c r="U83" s="17">
        <v>45587.0</v>
      </c>
      <c r="V83" s="18">
        <v>1610.0</v>
      </c>
      <c r="W83" s="55" t="s">
        <v>52</v>
      </c>
      <c r="Z83" s="17">
        <v>45621.0</v>
      </c>
      <c r="AA83" s="18">
        <v>10000.0</v>
      </c>
      <c r="AB83" s="55" t="s">
        <v>460</v>
      </c>
      <c r="AE83" s="17">
        <v>45643.0</v>
      </c>
      <c r="AF83" s="18">
        <v>7000.0</v>
      </c>
      <c r="AG83" s="19" t="s">
        <v>461</v>
      </c>
      <c r="AJ83" s="36"/>
      <c r="AK83" s="36"/>
      <c r="AL83" s="36"/>
      <c r="AO83" s="36"/>
      <c r="AP83" s="36"/>
      <c r="AQ83" s="36"/>
      <c r="AT83" s="36"/>
      <c r="AU83" s="36"/>
      <c r="AV83" s="36"/>
      <c r="AY83" s="36"/>
      <c r="AZ83" s="36"/>
      <c r="BA83" s="36"/>
      <c r="BI83" s="3"/>
      <c r="BJ83" s="3"/>
      <c r="BK83" s="3"/>
      <c r="BL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</row>
    <row r="84">
      <c r="C84" s="83"/>
      <c r="U84" s="17">
        <v>45587.0</v>
      </c>
      <c r="V84" s="18">
        <v>5000.0</v>
      </c>
      <c r="W84" s="55" t="s">
        <v>462</v>
      </c>
      <c r="Z84" s="17">
        <v>45622.0</v>
      </c>
      <c r="AA84" s="18">
        <v>14000.0</v>
      </c>
      <c r="AB84" s="55" t="s">
        <v>463</v>
      </c>
      <c r="AC84" s="21" t="s">
        <v>464</v>
      </c>
      <c r="AE84" s="17">
        <v>45643.0</v>
      </c>
      <c r="AF84" s="18">
        <v>11250.0</v>
      </c>
      <c r="AG84" s="19" t="s">
        <v>41</v>
      </c>
      <c r="AJ84" s="36"/>
      <c r="AK84" s="36"/>
      <c r="AL84" s="36"/>
      <c r="AO84" s="36"/>
      <c r="AP84" s="36"/>
      <c r="AQ84" s="36"/>
      <c r="AT84" s="36"/>
      <c r="AU84" s="36"/>
      <c r="AV84" s="36"/>
      <c r="AY84" s="36"/>
      <c r="AZ84" s="36"/>
      <c r="BA84" s="36"/>
      <c r="BI84" s="3"/>
      <c r="BJ84" s="3"/>
      <c r="BK84" s="3"/>
      <c r="BL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</row>
    <row r="85">
      <c r="C85" s="83"/>
      <c r="Q85" s="90"/>
      <c r="R85" s="21"/>
      <c r="S85" s="21"/>
      <c r="U85" s="17">
        <v>45587.0</v>
      </c>
      <c r="V85" s="18">
        <v>45000.0</v>
      </c>
      <c r="W85" s="55" t="s">
        <v>465</v>
      </c>
      <c r="Z85" s="17">
        <v>45622.0</v>
      </c>
      <c r="AA85" s="18">
        <v>200.0</v>
      </c>
      <c r="AB85" s="73" t="s">
        <v>466</v>
      </c>
      <c r="AE85" s="17">
        <v>45643.0</v>
      </c>
      <c r="AF85" s="18">
        <v>900.0</v>
      </c>
      <c r="AG85" s="19" t="s">
        <v>41</v>
      </c>
      <c r="AJ85" s="36"/>
      <c r="AK85" s="36"/>
      <c r="AL85" s="36"/>
      <c r="AO85" s="36"/>
      <c r="AP85" s="36"/>
      <c r="AQ85" s="36"/>
      <c r="AT85" s="36"/>
      <c r="AU85" s="36"/>
      <c r="AV85" s="36"/>
      <c r="AY85" s="36"/>
      <c r="AZ85" s="36"/>
      <c r="BA85" s="36"/>
      <c r="BI85" s="3"/>
      <c r="BJ85" s="3"/>
      <c r="BK85" s="3"/>
      <c r="BL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</row>
    <row r="86">
      <c r="C86" s="83"/>
      <c r="U86" s="17">
        <v>45588.0</v>
      </c>
      <c r="V86" s="18">
        <v>1530.0</v>
      </c>
      <c r="W86" s="55" t="s">
        <v>467</v>
      </c>
      <c r="Z86" s="17">
        <v>45622.0</v>
      </c>
      <c r="AA86" s="18">
        <v>17160.0</v>
      </c>
      <c r="AB86" s="73" t="s">
        <v>392</v>
      </c>
      <c r="AE86" s="17">
        <v>45643.0</v>
      </c>
      <c r="AF86" s="18">
        <v>10000.0</v>
      </c>
      <c r="AG86" s="19" t="s">
        <v>468</v>
      </c>
      <c r="AJ86" s="36"/>
      <c r="AK86" s="36"/>
      <c r="AL86" s="36"/>
      <c r="AO86" s="36"/>
      <c r="AP86" s="36"/>
      <c r="AQ86" s="36"/>
      <c r="AT86" s="36"/>
      <c r="AU86" s="36"/>
      <c r="AV86" s="36"/>
      <c r="AY86" s="36"/>
      <c r="AZ86" s="36"/>
      <c r="BA86" s="36"/>
      <c r="BI86" s="3"/>
      <c r="BJ86" s="3"/>
      <c r="BK86" s="3"/>
      <c r="BL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</row>
    <row r="87">
      <c r="C87" s="83"/>
      <c r="U87" s="17">
        <v>45588.0</v>
      </c>
      <c r="V87" s="18">
        <v>6500.0</v>
      </c>
      <c r="W87" s="55" t="s">
        <v>469</v>
      </c>
      <c r="Z87" s="17">
        <v>45621.0</v>
      </c>
      <c r="AA87" s="18">
        <v>12000.0</v>
      </c>
      <c r="AB87" s="19" t="s">
        <v>470</v>
      </c>
      <c r="AE87" s="17">
        <v>45644.0</v>
      </c>
      <c r="AF87" s="18">
        <v>25000.0</v>
      </c>
      <c r="AG87" s="19" t="s">
        <v>291</v>
      </c>
      <c r="AJ87" s="36"/>
      <c r="AK87" s="36"/>
      <c r="AL87" s="36"/>
      <c r="AO87" s="36"/>
      <c r="AP87" s="36"/>
      <c r="AQ87" s="36"/>
      <c r="AT87" s="36"/>
      <c r="AU87" s="36"/>
      <c r="AV87" s="36"/>
      <c r="AY87" s="36"/>
      <c r="AZ87" s="36"/>
      <c r="BA87" s="36"/>
      <c r="BI87" s="3"/>
      <c r="BJ87" s="3"/>
      <c r="BK87" s="3"/>
      <c r="BL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</row>
    <row r="88">
      <c r="C88" s="83"/>
      <c r="U88" s="17">
        <v>45588.0</v>
      </c>
      <c r="V88" s="18">
        <v>30480.0</v>
      </c>
      <c r="W88" s="55" t="s">
        <v>471</v>
      </c>
      <c r="Z88" s="17">
        <v>45621.0</v>
      </c>
      <c r="AA88" s="18">
        <v>7075.0</v>
      </c>
      <c r="AB88" s="19" t="s">
        <v>472</v>
      </c>
      <c r="AE88" s="17">
        <v>45644.0</v>
      </c>
      <c r="AF88" s="18">
        <v>3000.0</v>
      </c>
      <c r="AG88" s="19" t="s">
        <v>29</v>
      </c>
      <c r="AJ88" s="36"/>
      <c r="AK88" s="36"/>
      <c r="AL88" s="36"/>
      <c r="AO88" s="36"/>
      <c r="AP88" s="36"/>
      <c r="AQ88" s="36"/>
      <c r="AT88" s="36"/>
      <c r="AU88" s="36"/>
      <c r="AV88" s="36"/>
      <c r="AY88" s="36"/>
      <c r="AZ88" s="36"/>
      <c r="BA88" s="36"/>
      <c r="BI88" s="3"/>
      <c r="BJ88" s="3"/>
      <c r="BK88" s="3"/>
      <c r="BL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</row>
    <row r="89">
      <c r="C89" s="83"/>
      <c r="U89" s="17">
        <v>45588.0</v>
      </c>
      <c r="V89" s="18">
        <v>8795.0</v>
      </c>
      <c r="W89" s="55" t="s">
        <v>473</v>
      </c>
      <c r="Z89" s="17">
        <v>45618.0</v>
      </c>
      <c r="AA89" s="18">
        <v>5000.0</v>
      </c>
      <c r="AB89" s="19" t="s">
        <v>474</v>
      </c>
      <c r="AE89" s="17">
        <v>45644.0</v>
      </c>
      <c r="AF89" s="18"/>
      <c r="AG89" s="19"/>
      <c r="AJ89" s="36"/>
      <c r="AK89" s="36"/>
      <c r="AL89" s="36"/>
      <c r="AO89" s="36"/>
      <c r="AP89" s="36"/>
      <c r="AQ89" s="36"/>
      <c r="AT89" s="36"/>
      <c r="AU89" s="36"/>
      <c r="AV89" s="36"/>
      <c r="AY89" s="36"/>
      <c r="AZ89" s="36"/>
      <c r="BA89" s="36"/>
      <c r="BI89" s="3"/>
      <c r="BJ89" s="3"/>
      <c r="BK89" s="3"/>
      <c r="BL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</row>
    <row r="90">
      <c r="C90" s="83"/>
      <c r="U90" s="17">
        <v>45588.0</v>
      </c>
      <c r="V90" s="18">
        <v>1540.0</v>
      </c>
      <c r="W90" s="55" t="s">
        <v>475</v>
      </c>
      <c r="Z90" s="17">
        <v>45619.0</v>
      </c>
      <c r="AA90" s="18">
        <v>2870.0</v>
      </c>
      <c r="AB90" s="19" t="s">
        <v>476</v>
      </c>
      <c r="AD90" s="21">
        <f>1100000+1500000-200000-200000-300000</f>
        <v>1900000</v>
      </c>
      <c r="AE90" s="17">
        <v>45644.0</v>
      </c>
      <c r="AF90" s="18">
        <v>1810.0</v>
      </c>
      <c r="AG90" s="19" t="s">
        <v>52</v>
      </c>
      <c r="AJ90" s="36"/>
      <c r="AK90" s="36"/>
      <c r="AL90" s="36"/>
      <c r="AO90" s="36"/>
      <c r="AP90" s="36"/>
      <c r="AQ90" s="36"/>
      <c r="AT90" s="36"/>
      <c r="AU90" s="36"/>
      <c r="AV90" s="36"/>
      <c r="AY90" s="36"/>
      <c r="AZ90" s="36"/>
      <c r="BA90" s="36"/>
      <c r="BI90" s="3"/>
      <c r="BJ90" s="3"/>
      <c r="BK90" s="3"/>
      <c r="BL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</row>
    <row r="91">
      <c r="C91" s="83"/>
      <c r="U91" s="17">
        <v>45588.0</v>
      </c>
      <c r="V91" s="18">
        <v>33440.0</v>
      </c>
      <c r="W91" s="55" t="s">
        <v>471</v>
      </c>
      <c r="Z91" s="17">
        <v>45620.0</v>
      </c>
      <c r="AA91" s="18">
        <v>10749.0</v>
      </c>
      <c r="AB91" s="19" t="s">
        <v>477</v>
      </c>
      <c r="AE91" s="17">
        <v>45644.0</v>
      </c>
      <c r="AF91" s="18">
        <v>25752.0</v>
      </c>
      <c r="AG91" s="19" t="s">
        <v>478</v>
      </c>
      <c r="AH91" s="21" t="s">
        <v>479</v>
      </c>
      <c r="AJ91" s="36"/>
      <c r="AK91" s="36"/>
      <c r="AL91" s="36"/>
      <c r="AO91" s="36"/>
      <c r="AP91" s="36"/>
      <c r="AQ91" s="36"/>
      <c r="AT91" s="36"/>
      <c r="AU91" s="36"/>
      <c r="AV91" s="36"/>
      <c r="AY91" s="36"/>
      <c r="AZ91" s="36"/>
      <c r="BA91" s="36"/>
      <c r="BI91" s="3"/>
      <c r="BJ91" s="3"/>
      <c r="BK91" s="3"/>
      <c r="BL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</row>
    <row r="92">
      <c r="C92" s="83"/>
      <c r="U92" s="17">
        <v>45588.0</v>
      </c>
      <c r="V92" s="18">
        <v>1720.0</v>
      </c>
      <c r="W92" s="55" t="s">
        <v>473</v>
      </c>
      <c r="Z92" s="17">
        <v>45621.0</v>
      </c>
      <c r="AA92" s="18">
        <v>3600.0</v>
      </c>
      <c r="AB92" s="19" t="s">
        <v>25</v>
      </c>
      <c r="AE92" s="17">
        <v>45644.0</v>
      </c>
      <c r="AF92" s="18">
        <v>30000.0</v>
      </c>
      <c r="AG92" s="19" t="s">
        <v>480</v>
      </c>
      <c r="AH92" s="21" t="s">
        <v>481</v>
      </c>
      <c r="AJ92" s="36"/>
      <c r="AK92" s="36"/>
      <c r="AL92" s="36"/>
      <c r="AO92" s="36"/>
      <c r="AP92" s="36"/>
      <c r="AQ92" s="36"/>
      <c r="AT92" s="36"/>
      <c r="AU92" s="36"/>
      <c r="AV92" s="36"/>
      <c r="AY92" s="36"/>
      <c r="AZ92" s="36"/>
      <c r="BA92" s="36"/>
      <c r="BI92" s="3"/>
      <c r="BJ92" s="3"/>
      <c r="BK92" s="3"/>
      <c r="BL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</row>
    <row r="93">
      <c r="C93" s="83"/>
      <c r="U93" s="17">
        <v>45588.0</v>
      </c>
      <c r="V93" s="18">
        <v>1390.0</v>
      </c>
      <c r="W93" s="55" t="s">
        <v>482</v>
      </c>
      <c r="Y93" s="21"/>
      <c r="Z93" s="17">
        <v>45622.0</v>
      </c>
      <c r="AA93" s="18">
        <v>3000.0</v>
      </c>
      <c r="AB93" s="19" t="s">
        <v>483</v>
      </c>
      <c r="AE93" s="17">
        <v>45644.0</v>
      </c>
      <c r="AF93" s="18">
        <v>36500.0</v>
      </c>
      <c r="AG93" s="19" t="s">
        <v>484</v>
      </c>
      <c r="AJ93" s="36"/>
      <c r="AK93" s="36"/>
      <c r="AL93" s="36"/>
      <c r="AO93" s="36"/>
      <c r="AP93" s="36"/>
      <c r="AQ93" s="36"/>
      <c r="AT93" s="36"/>
      <c r="AU93" s="36"/>
      <c r="AV93" s="36"/>
      <c r="AY93" s="36"/>
      <c r="AZ93" s="36"/>
      <c r="BA93" s="36"/>
      <c r="BI93" s="3"/>
      <c r="BJ93" s="3"/>
      <c r="BK93" s="3"/>
      <c r="BL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</row>
    <row r="94">
      <c r="C94" s="83"/>
      <c r="U94" s="17">
        <v>45588.0</v>
      </c>
      <c r="V94" s="18">
        <v>2570.0</v>
      </c>
      <c r="W94" s="55" t="s">
        <v>485</v>
      </c>
      <c r="Z94" s="17">
        <v>45623.0</v>
      </c>
      <c r="AA94" s="18">
        <v>40000.0</v>
      </c>
      <c r="AB94" s="73" t="s">
        <v>21</v>
      </c>
      <c r="AE94" s="17">
        <v>45644.0</v>
      </c>
      <c r="AF94" s="18">
        <v>170000.0</v>
      </c>
      <c r="AG94" s="19" t="s">
        <v>486</v>
      </c>
      <c r="AJ94" s="36"/>
      <c r="AK94" s="36"/>
      <c r="AL94" s="36"/>
      <c r="AO94" s="36"/>
      <c r="AP94" s="36"/>
      <c r="AQ94" s="36"/>
      <c r="AT94" s="36"/>
      <c r="AU94" s="36"/>
      <c r="AV94" s="36"/>
      <c r="AY94" s="36"/>
      <c r="AZ94" s="36"/>
      <c r="BA94" s="36"/>
      <c r="BI94" s="3"/>
      <c r="BJ94" s="3"/>
      <c r="BK94" s="3"/>
      <c r="BL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</row>
    <row r="95">
      <c r="C95" s="83"/>
      <c r="U95" s="17">
        <v>45588.0</v>
      </c>
      <c r="V95" s="18">
        <v>35000.0</v>
      </c>
      <c r="W95" s="55" t="s">
        <v>487</v>
      </c>
      <c r="Z95" s="17">
        <v>45623.0</v>
      </c>
      <c r="AA95" s="21">
        <v>576920.0</v>
      </c>
      <c r="AB95" s="73" t="s">
        <v>19</v>
      </c>
      <c r="AE95" s="17">
        <v>45644.0</v>
      </c>
      <c r="AF95" s="18">
        <v>2000.0</v>
      </c>
      <c r="AG95" s="19" t="s">
        <v>29</v>
      </c>
      <c r="AJ95" s="36"/>
      <c r="AK95" s="36"/>
      <c r="AL95" s="36"/>
      <c r="AO95" s="36"/>
      <c r="AP95" s="36"/>
      <c r="AQ95" s="36"/>
      <c r="AT95" s="36"/>
      <c r="AU95" s="36"/>
      <c r="AV95" s="36"/>
      <c r="AY95" s="36"/>
      <c r="AZ95" s="36"/>
      <c r="BA95" s="36"/>
      <c r="BI95" s="3"/>
      <c r="BJ95" s="3"/>
      <c r="BK95" s="3"/>
      <c r="BL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</row>
    <row r="96">
      <c r="C96" s="83"/>
      <c r="U96" s="17">
        <v>45588.0</v>
      </c>
      <c r="V96" s="18">
        <v>50000.0</v>
      </c>
      <c r="W96" s="55" t="s">
        <v>488</v>
      </c>
      <c r="Z96" s="17">
        <v>45623.0</v>
      </c>
      <c r="AA96" s="18">
        <v>50000.0</v>
      </c>
      <c r="AB96" s="73" t="s">
        <v>148</v>
      </c>
      <c r="AE96" s="17">
        <v>45644.0</v>
      </c>
      <c r="AF96" s="18">
        <v>216500.0</v>
      </c>
      <c r="AG96" s="19" t="s">
        <v>489</v>
      </c>
      <c r="AJ96" s="36"/>
      <c r="AK96" s="36"/>
      <c r="AL96" s="36"/>
      <c r="AO96" s="36"/>
      <c r="AP96" s="36"/>
      <c r="AQ96" s="36"/>
      <c r="AT96" s="36"/>
      <c r="AU96" s="36"/>
      <c r="AV96" s="36"/>
      <c r="AY96" s="36"/>
      <c r="AZ96" s="36"/>
      <c r="BA96" s="36"/>
      <c r="BI96" s="3"/>
      <c r="BJ96" s="3"/>
      <c r="BK96" s="3"/>
      <c r="BL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</row>
    <row r="97">
      <c r="C97" s="83"/>
      <c r="U97" s="17">
        <v>45588.0</v>
      </c>
      <c r="V97" s="18">
        <v>5000.0</v>
      </c>
      <c r="W97" s="55" t="s">
        <v>490</v>
      </c>
      <c r="Z97" s="17">
        <v>45624.0</v>
      </c>
      <c r="AA97" s="18">
        <v>250000.0</v>
      </c>
      <c r="AB97" s="19" t="s">
        <v>440</v>
      </c>
      <c r="AC97" s="91">
        <f>500000+AC68-AA97-100000-AA98-AA99-AA100-AA101-AF4-AF5-AF6-AF7-AF8-AF9</f>
        <v>3146</v>
      </c>
      <c r="AE97" s="17">
        <v>45645.0</v>
      </c>
      <c r="AF97" s="18">
        <v>30000.0</v>
      </c>
      <c r="AG97" s="19" t="s">
        <v>491</v>
      </c>
      <c r="AH97" s="21">
        <f>200000+AH82-AF97-AF98-AF99-AF100-AF101-AF102-AF103-AF104-AF105-AF106-AF107-AF108-AF109-AF110-AF111-AF112-AF113-AF114</f>
        <v>-32499</v>
      </c>
      <c r="AJ97" s="36"/>
      <c r="AK97" s="36"/>
      <c r="AL97" s="36"/>
      <c r="AO97" s="36"/>
      <c r="AP97" s="36"/>
      <c r="AQ97" s="36"/>
      <c r="AT97" s="36"/>
      <c r="AU97" s="36"/>
      <c r="AV97" s="36"/>
      <c r="AY97" s="36"/>
      <c r="AZ97" s="36"/>
      <c r="BA97" s="36"/>
      <c r="BI97" s="3"/>
      <c r="BJ97" s="3"/>
      <c r="BK97" s="3"/>
      <c r="BL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</row>
    <row r="98">
      <c r="C98" s="83"/>
      <c r="U98" s="17">
        <v>45588.0</v>
      </c>
      <c r="V98" s="18">
        <v>3000.0</v>
      </c>
      <c r="W98" s="55" t="s">
        <v>492</v>
      </c>
      <c r="Z98" s="17">
        <v>45624.0</v>
      </c>
      <c r="AA98" s="18">
        <v>4500.0</v>
      </c>
      <c r="AB98" s="19" t="s">
        <v>25</v>
      </c>
      <c r="AE98" s="17">
        <v>45645.0</v>
      </c>
      <c r="AF98" s="18">
        <v>35000.0</v>
      </c>
      <c r="AG98" s="19" t="s">
        <v>256</v>
      </c>
      <c r="AJ98" s="36"/>
      <c r="AK98" s="36"/>
      <c r="AL98" s="36"/>
      <c r="AO98" s="36"/>
      <c r="AP98" s="36"/>
      <c r="AQ98" s="36"/>
      <c r="AT98" s="36"/>
      <c r="AU98" s="36"/>
      <c r="AV98" s="36"/>
      <c r="AY98" s="36"/>
      <c r="AZ98" s="36"/>
      <c r="BA98" s="36"/>
      <c r="BI98" s="3"/>
      <c r="BJ98" s="3"/>
      <c r="BK98" s="3"/>
      <c r="BL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</row>
    <row r="99">
      <c r="C99" s="83"/>
      <c r="U99" s="17">
        <v>45588.0</v>
      </c>
      <c r="V99" s="18">
        <v>24000.0</v>
      </c>
      <c r="W99" s="55" t="s">
        <v>493</v>
      </c>
      <c r="Z99" s="17">
        <v>45625.0</v>
      </c>
      <c r="AA99" s="18">
        <v>50000.0</v>
      </c>
      <c r="AB99" s="19" t="s">
        <v>494</v>
      </c>
      <c r="AE99" s="17">
        <v>45645.0</v>
      </c>
      <c r="AF99" s="18">
        <f>5995+20270</f>
        <v>26265</v>
      </c>
      <c r="AG99" s="19" t="s">
        <v>495</v>
      </c>
      <c r="AJ99" s="36"/>
      <c r="AK99" s="36"/>
      <c r="AL99" s="36"/>
      <c r="AO99" s="36"/>
      <c r="AP99" s="36"/>
      <c r="AQ99" s="36"/>
      <c r="AT99" s="36"/>
      <c r="AU99" s="36"/>
      <c r="AV99" s="36"/>
      <c r="AY99" s="36"/>
      <c r="AZ99" s="36"/>
      <c r="BA99" s="36"/>
      <c r="BI99" s="3"/>
      <c r="BJ99" s="3"/>
      <c r="BK99" s="3"/>
      <c r="BL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</row>
    <row r="100">
      <c r="C100" s="83"/>
      <c r="U100" s="17">
        <v>45588.0</v>
      </c>
      <c r="V100" s="18">
        <v>66290.0</v>
      </c>
      <c r="W100" s="55" t="s">
        <v>496</v>
      </c>
      <c r="Z100" s="17">
        <v>45626.0</v>
      </c>
      <c r="AA100" s="18">
        <v>37325.0</v>
      </c>
      <c r="AB100" s="19" t="s">
        <v>67</v>
      </c>
      <c r="AE100" s="17">
        <v>45645.0</v>
      </c>
      <c r="AF100" s="18">
        <v>2400.0</v>
      </c>
      <c r="AG100" s="19" t="s">
        <v>41</v>
      </c>
      <c r="AJ100" s="36"/>
      <c r="AK100" s="36"/>
      <c r="AL100" s="36"/>
      <c r="AO100" s="36"/>
      <c r="AP100" s="36"/>
      <c r="AQ100" s="36"/>
      <c r="AT100" s="36"/>
      <c r="AU100" s="36"/>
      <c r="AV100" s="36"/>
      <c r="AY100" s="36"/>
      <c r="AZ100" s="36"/>
      <c r="BA100" s="36"/>
      <c r="BI100" s="3"/>
      <c r="BJ100" s="3"/>
      <c r="BK100" s="3"/>
      <c r="BL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</row>
    <row r="101">
      <c r="C101" s="83"/>
      <c r="U101" s="17">
        <v>45588.0</v>
      </c>
      <c r="V101" s="18">
        <v>7960.0</v>
      </c>
      <c r="W101" s="55" t="s">
        <v>497</v>
      </c>
      <c r="Z101" s="17">
        <v>45626.0</v>
      </c>
      <c r="AA101" s="18">
        <v>2190.0</v>
      </c>
      <c r="AB101" s="19" t="s">
        <v>42</v>
      </c>
      <c r="AE101" s="17">
        <v>45645.0</v>
      </c>
      <c r="AF101" s="18">
        <v>4000.0</v>
      </c>
      <c r="AG101" s="19" t="s">
        <v>498</v>
      </c>
      <c r="AJ101" s="36"/>
      <c r="AK101" s="36"/>
      <c r="AL101" s="36"/>
      <c r="AO101" s="36"/>
      <c r="AP101" s="36"/>
      <c r="AQ101" s="36"/>
      <c r="AT101" s="36"/>
      <c r="AU101" s="36"/>
      <c r="AV101" s="36"/>
      <c r="AY101" s="36"/>
      <c r="AZ101" s="36"/>
      <c r="BA101" s="36"/>
      <c r="BI101" s="3"/>
      <c r="BJ101" s="3"/>
      <c r="BK101" s="3"/>
      <c r="BL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</row>
    <row r="102">
      <c r="C102" s="83"/>
      <c r="U102" s="17">
        <v>45588.0</v>
      </c>
      <c r="V102" s="18">
        <v>50450.0</v>
      </c>
      <c r="W102" s="55" t="s">
        <v>499</v>
      </c>
      <c r="Z102" s="17">
        <v>45624.0</v>
      </c>
      <c r="AA102" s="18">
        <v>91750.0</v>
      </c>
      <c r="AB102" s="20" t="s">
        <v>500</v>
      </c>
      <c r="AE102" s="17">
        <v>45645.0</v>
      </c>
      <c r="AF102" s="18">
        <v>15000.0</v>
      </c>
      <c r="AG102" s="19" t="s">
        <v>501</v>
      </c>
      <c r="AJ102" s="36"/>
      <c r="AK102" s="36"/>
      <c r="AL102" s="36"/>
      <c r="AO102" s="36"/>
      <c r="AP102" s="36"/>
      <c r="AQ102" s="36"/>
      <c r="AT102" s="36"/>
      <c r="AU102" s="36"/>
      <c r="AV102" s="36"/>
      <c r="AY102" s="36"/>
      <c r="AZ102" s="36"/>
      <c r="BA102" s="36"/>
      <c r="BI102" s="3"/>
      <c r="BJ102" s="3"/>
      <c r="BK102" s="3"/>
      <c r="BL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</row>
    <row r="103">
      <c r="C103" s="83"/>
      <c r="U103" s="17">
        <v>45588.0</v>
      </c>
      <c r="V103" s="18">
        <v>5000.0</v>
      </c>
      <c r="W103" s="55" t="s">
        <v>502</v>
      </c>
      <c r="Z103" s="17">
        <v>45624.0</v>
      </c>
      <c r="AA103" s="18">
        <v>20000.0</v>
      </c>
      <c r="AB103" s="20" t="s">
        <v>21</v>
      </c>
      <c r="AE103" s="17">
        <v>45645.0</v>
      </c>
      <c r="AF103" s="18">
        <v>3850.0</v>
      </c>
      <c r="AG103" s="19" t="s">
        <v>52</v>
      </c>
      <c r="AJ103" s="36"/>
      <c r="AK103" s="36"/>
      <c r="AL103" s="36"/>
      <c r="AO103" s="36"/>
      <c r="AP103" s="36"/>
      <c r="AQ103" s="36"/>
      <c r="AT103" s="36"/>
      <c r="AU103" s="36"/>
      <c r="AV103" s="36"/>
      <c r="AY103" s="36"/>
      <c r="AZ103" s="36"/>
      <c r="BA103" s="36"/>
      <c r="BI103" s="3"/>
      <c r="BJ103" s="3"/>
      <c r="BK103" s="3"/>
      <c r="BL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</row>
    <row r="104">
      <c r="C104" s="83"/>
      <c r="U104" s="17">
        <v>45588.0</v>
      </c>
      <c r="V104" s="18">
        <v>2840.0</v>
      </c>
      <c r="W104" s="55" t="s">
        <v>475</v>
      </c>
      <c r="Z104" s="17">
        <v>45624.0</v>
      </c>
      <c r="AA104" s="18">
        <v>11393.0</v>
      </c>
      <c r="AB104" s="20" t="s">
        <v>103</v>
      </c>
      <c r="AE104" s="17">
        <v>45645.0</v>
      </c>
      <c r="AF104" s="18">
        <v>25000.0</v>
      </c>
      <c r="AG104" s="19" t="s">
        <v>41</v>
      </c>
      <c r="AJ104" s="36"/>
      <c r="AK104" s="36"/>
      <c r="AL104" s="36"/>
      <c r="AO104" s="36"/>
      <c r="AP104" s="36"/>
      <c r="AQ104" s="36"/>
      <c r="AT104" s="36"/>
      <c r="AU104" s="36"/>
      <c r="AV104" s="36"/>
      <c r="AY104" s="36"/>
      <c r="AZ104" s="36"/>
      <c r="BA104" s="36"/>
      <c r="BI104" s="3"/>
      <c r="BJ104" s="3"/>
      <c r="BK104" s="3"/>
      <c r="BL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</row>
    <row r="105">
      <c r="C105" s="83"/>
      <c r="U105" s="17">
        <v>45588.0</v>
      </c>
      <c r="V105" s="18">
        <v>5000.0</v>
      </c>
      <c r="W105" s="55" t="s">
        <v>503</v>
      </c>
      <c r="Z105" s="17">
        <v>45626.0</v>
      </c>
      <c r="AA105" s="18">
        <v>23000.0</v>
      </c>
      <c r="AB105" s="20" t="s">
        <v>504</v>
      </c>
      <c r="AE105" s="17">
        <v>45645.0</v>
      </c>
      <c r="AF105" s="18">
        <v>34500.0</v>
      </c>
      <c r="AG105" s="19" t="s">
        <v>505</v>
      </c>
      <c r="AJ105" s="36"/>
      <c r="AK105" s="36"/>
      <c r="AL105" s="36"/>
      <c r="AO105" s="36"/>
      <c r="AP105" s="36"/>
      <c r="AQ105" s="36"/>
      <c r="AT105" s="36"/>
      <c r="AU105" s="36"/>
      <c r="AV105" s="36"/>
      <c r="AY105" s="36"/>
      <c r="AZ105" s="36"/>
      <c r="BA105" s="36"/>
      <c r="BI105" s="3"/>
      <c r="BJ105" s="3"/>
      <c r="BK105" s="3"/>
      <c r="BL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</row>
    <row r="106">
      <c r="C106" s="83"/>
      <c r="U106" s="17">
        <v>45588.0</v>
      </c>
      <c r="V106" s="18">
        <v>3510.0</v>
      </c>
      <c r="W106" s="55" t="s">
        <v>506</v>
      </c>
      <c r="Z106" s="17"/>
      <c r="AA106" s="18"/>
      <c r="AB106" s="18"/>
      <c r="AE106" s="17">
        <v>45645.0</v>
      </c>
      <c r="AF106" s="18">
        <v>98100.0</v>
      </c>
      <c r="AG106" s="19" t="s">
        <v>411</v>
      </c>
      <c r="AJ106" s="36"/>
      <c r="AK106" s="36"/>
      <c r="AL106" s="36"/>
      <c r="AO106" s="36"/>
      <c r="AP106" s="36"/>
      <c r="AQ106" s="36"/>
      <c r="AT106" s="36"/>
      <c r="AU106" s="36"/>
      <c r="AV106" s="36"/>
      <c r="AY106" s="36"/>
      <c r="AZ106" s="36"/>
      <c r="BA106" s="36"/>
      <c r="BI106" s="3"/>
      <c r="BJ106" s="3"/>
      <c r="BK106" s="3"/>
      <c r="BL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</row>
    <row r="107">
      <c r="C107" s="83"/>
      <c r="U107" s="17">
        <v>45588.0</v>
      </c>
      <c r="V107" s="18">
        <v>5000.0</v>
      </c>
      <c r="W107" s="55" t="s">
        <v>507</v>
      </c>
      <c r="Z107" s="17"/>
      <c r="AA107" s="18"/>
      <c r="AB107" s="18"/>
      <c r="AE107" s="17">
        <v>45645.0</v>
      </c>
      <c r="AF107" s="18">
        <v>18345.0</v>
      </c>
      <c r="AG107" s="19" t="s">
        <v>495</v>
      </c>
      <c r="AJ107" s="36"/>
      <c r="AK107" s="36"/>
      <c r="AL107" s="36"/>
      <c r="AO107" s="36"/>
      <c r="AP107" s="36"/>
      <c r="AQ107" s="36"/>
      <c r="AT107" s="36"/>
      <c r="AU107" s="36"/>
      <c r="AV107" s="36"/>
      <c r="AY107" s="36"/>
      <c r="AZ107" s="36"/>
      <c r="BA107" s="36"/>
      <c r="BI107" s="3"/>
      <c r="BJ107" s="3"/>
      <c r="BK107" s="3"/>
      <c r="BL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</row>
    <row r="108">
      <c r="C108" s="83"/>
      <c r="U108" s="17">
        <v>45587.0</v>
      </c>
      <c r="V108" s="18">
        <v>126000.0</v>
      </c>
      <c r="W108" s="73" t="s">
        <v>508</v>
      </c>
      <c r="Z108" s="17"/>
      <c r="AA108" s="18"/>
      <c r="AB108" s="18"/>
      <c r="AE108" s="17">
        <v>45645.0</v>
      </c>
      <c r="AF108" s="18">
        <v>42160.0</v>
      </c>
      <c r="AG108" s="19" t="s">
        <v>509</v>
      </c>
      <c r="AJ108" s="36"/>
      <c r="AK108" s="36"/>
      <c r="AL108" s="36"/>
      <c r="AO108" s="36"/>
      <c r="AP108" s="36"/>
      <c r="AQ108" s="36"/>
      <c r="AT108" s="36"/>
      <c r="AU108" s="36"/>
      <c r="AV108" s="36"/>
      <c r="AY108" s="36"/>
      <c r="AZ108" s="36"/>
      <c r="BA108" s="36"/>
      <c r="BI108" s="3"/>
      <c r="BJ108" s="3"/>
      <c r="BK108" s="3"/>
      <c r="BL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</row>
    <row r="109">
      <c r="C109" s="83"/>
      <c r="U109" s="17">
        <v>45587.0</v>
      </c>
      <c r="V109" s="18">
        <v>59759.0</v>
      </c>
      <c r="W109" s="73" t="s">
        <v>163</v>
      </c>
      <c r="Z109" s="17"/>
      <c r="AA109" s="18"/>
      <c r="AB109" s="18"/>
      <c r="AE109" s="17">
        <v>45645.0</v>
      </c>
      <c r="AF109" s="18">
        <v>38000.0</v>
      </c>
      <c r="AG109" s="19" t="s">
        <v>510</v>
      </c>
      <c r="AJ109" s="36"/>
      <c r="AK109" s="36"/>
      <c r="AL109" s="36"/>
      <c r="AO109" s="36"/>
      <c r="AP109" s="36"/>
      <c r="AQ109" s="36"/>
      <c r="AT109" s="36"/>
      <c r="AU109" s="36"/>
      <c r="AV109" s="36"/>
      <c r="AY109" s="36"/>
      <c r="AZ109" s="36"/>
      <c r="BA109" s="36"/>
      <c r="BI109" s="3"/>
      <c r="BJ109" s="3"/>
      <c r="BK109" s="3"/>
      <c r="BL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</row>
    <row r="110">
      <c r="C110" s="83"/>
      <c r="U110" s="17">
        <v>45588.0</v>
      </c>
      <c r="V110" s="18">
        <v>20650.0</v>
      </c>
      <c r="W110" s="73" t="s">
        <v>103</v>
      </c>
      <c r="Z110" s="17"/>
      <c r="AA110" s="18"/>
      <c r="AB110" s="18"/>
      <c r="AE110" s="17">
        <v>45645.0</v>
      </c>
      <c r="AF110" s="18">
        <v>30000.0</v>
      </c>
      <c r="AG110" s="19" t="s">
        <v>511</v>
      </c>
      <c r="AJ110" s="36"/>
      <c r="AK110" s="36"/>
      <c r="AL110" s="36"/>
      <c r="AO110" s="36"/>
      <c r="AP110" s="36"/>
      <c r="AQ110" s="36"/>
      <c r="AT110" s="36"/>
      <c r="AU110" s="36"/>
      <c r="AV110" s="36"/>
      <c r="AY110" s="36"/>
      <c r="AZ110" s="36"/>
      <c r="BA110" s="36"/>
      <c r="BI110" s="3"/>
      <c r="BJ110" s="3"/>
      <c r="BK110" s="3"/>
      <c r="BL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</row>
    <row r="111">
      <c r="C111" s="83"/>
      <c r="U111" s="17">
        <v>45588.0</v>
      </c>
      <c r="V111" s="18">
        <v>10680.0</v>
      </c>
      <c r="W111" s="73" t="s">
        <v>163</v>
      </c>
      <c r="Z111" s="17"/>
      <c r="AA111" s="18"/>
      <c r="AB111" s="18"/>
      <c r="AE111" s="17">
        <v>45645.0</v>
      </c>
      <c r="AF111" s="18">
        <v>3000.0</v>
      </c>
      <c r="AG111" s="19" t="s">
        <v>512</v>
      </c>
      <c r="AJ111" s="36"/>
      <c r="AK111" s="36"/>
      <c r="AL111" s="36"/>
      <c r="AO111" s="36"/>
      <c r="AP111" s="36"/>
      <c r="AQ111" s="36"/>
      <c r="AT111" s="36"/>
      <c r="AU111" s="36"/>
      <c r="AV111" s="36"/>
      <c r="AY111" s="36"/>
      <c r="AZ111" s="36"/>
      <c r="BA111" s="36"/>
      <c r="BI111" s="3"/>
      <c r="BJ111" s="3"/>
      <c r="BK111" s="3"/>
      <c r="BL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</row>
    <row r="112">
      <c r="C112" s="83"/>
      <c r="U112" s="17">
        <v>45588.0</v>
      </c>
      <c r="V112" s="18">
        <v>54000.0</v>
      </c>
      <c r="W112" s="73" t="s">
        <v>513</v>
      </c>
      <c r="Z112" s="17"/>
      <c r="AA112" s="18"/>
      <c r="AB112" s="18"/>
      <c r="AE112" s="17">
        <v>45645.0</v>
      </c>
      <c r="AF112" s="18">
        <v>7000.0</v>
      </c>
      <c r="AG112" s="19" t="s">
        <v>514</v>
      </c>
      <c r="AJ112" s="36"/>
      <c r="AK112" s="36"/>
      <c r="AL112" s="36"/>
      <c r="AO112" s="36"/>
      <c r="AP112" s="36"/>
      <c r="AQ112" s="36"/>
      <c r="AT112" s="36"/>
      <c r="AU112" s="36"/>
      <c r="AV112" s="36"/>
      <c r="AY112" s="36"/>
      <c r="AZ112" s="36"/>
      <c r="BA112" s="36"/>
      <c r="BI112" s="3"/>
      <c r="BJ112" s="3"/>
      <c r="BK112" s="3"/>
      <c r="BL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</row>
    <row r="113">
      <c r="C113" s="83"/>
      <c r="U113" s="17">
        <v>45589.0</v>
      </c>
      <c r="V113" s="18">
        <v>1450.0</v>
      </c>
      <c r="W113" s="55" t="s">
        <v>515</v>
      </c>
      <c r="Z113" s="17"/>
      <c r="AA113" s="18"/>
      <c r="AB113" s="18"/>
      <c r="AE113" s="17">
        <v>45645.0</v>
      </c>
      <c r="AF113" s="18">
        <v>10400.0</v>
      </c>
      <c r="AG113" s="19" t="s">
        <v>516</v>
      </c>
      <c r="AJ113" s="36"/>
      <c r="AK113" s="36"/>
      <c r="AL113" s="36"/>
      <c r="AO113" s="36"/>
      <c r="AP113" s="36"/>
      <c r="AQ113" s="36"/>
      <c r="AT113" s="36"/>
      <c r="AU113" s="36"/>
      <c r="AV113" s="36"/>
      <c r="AY113" s="36"/>
      <c r="AZ113" s="36"/>
      <c r="BA113" s="36"/>
      <c r="BI113" s="3"/>
      <c r="BJ113" s="3"/>
      <c r="BK113" s="3"/>
      <c r="BL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</row>
    <row r="114">
      <c r="C114" s="83"/>
      <c r="U114" s="17">
        <v>45589.0</v>
      </c>
      <c r="V114" s="18">
        <v>281200.0</v>
      </c>
      <c r="W114" s="73" t="s">
        <v>65</v>
      </c>
      <c r="Z114" s="17"/>
      <c r="AA114" s="18"/>
      <c r="AB114" s="18"/>
      <c r="AE114" s="17">
        <v>45645.0</v>
      </c>
      <c r="AF114" s="18">
        <v>6177.0</v>
      </c>
      <c r="AG114" s="19" t="s">
        <v>517</v>
      </c>
      <c r="AJ114" s="36"/>
      <c r="AK114" s="36"/>
      <c r="AL114" s="36"/>
      <c r="AO114" s="36"/>
      <c r="AP114" s="36"/>
      <c r="AQ114" s="36"/>
      <c r="AT114" s="36"/>
      <c r="AU114" s="36"/>
      <c r="AV114" s="36"/>
      <c r="AY114" s="36"/>
      <c r="AZ114" s="36"/>
      <c r="BA114" s="36"/>
      <c r="BI114" s="3"/>
      <c r="BJ114" s="3"/>
      <c r="BK114" s="3"/>
      <c r="BL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</row>
    <row r="115">
      <c r="C115" s="83"/>
      <c r="U115" s="17">
        <v>45589.0</v>
      </c>
      <c r="V115" s="18">
        <v>25000.0</v>
      </c>
      <c r="W115" s="55" t="s">
        <v>518</v>
      </c>
      <c r="Z115" s="17"/>
      <c r="AA115" s="18"/>
      <c r="AB115" s="18"/>
      <c r="AE115" s="17">
        <v>45645.0</v>
      </c>
      <c r="AF115" s="18">
        <v>4000.0</v>
      </c>
      <c r="AG115" s="19" t="s">
        <v>519</v>
      </c>
      <c r="AH115" s="21">
        <f>600000-32499-AF116-AF117-AF115-AF118-AF119-AF120-AF121-AF122-AF136-AF137-AF138-AF139-AF140-AF141-AF142-AF143-AF144-AF145-AF147</f>
        <v>-49550</v>
      </c>
      <c r="AJ115" s="36"/>
      <c r="AK115" s="36"/>
      <c r="AL115" s="36"/>
      <c r="AO115" s="36"/>
      <c r="AP115" s="36"/>
      <c r="AQ115" s="36"/>
      <c r="AT115" s="36"/>
      <c r="AU115" s="36"/>
      <c r="AV115" s="36"/>
      <c r="AY115" s="36"/>
      <c r="AZ115" s="36"/>
      <c r="BA115" s="36"/>
      <c r="BI115" s="3"/>
      <c r="BJ115" s="3"/>
      <c r="BK115" s="3"/>
      <c r="BL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</row>
    <row r="116">
      <c r="C116" s="83"/>
      <c r="U116" s="17">
        <v>45589.0</v>
      </c>
      <c r="V116" s="18">
        <v>5700.0</v>
      </c>
      <c r="W116" s="55" t="s">
        <v>520</v>
      </c>
      <c r="Z116" s="17"/>
      <c r="AA116" s="18"/>
      <c r="AB116" s="18"/>
      <c r="AE116" s="17">
        <v>45645.0</v>
      </c>
      <c r="AF116" s="18">
        <v>6490.0</v>
      </c>
      <c r="AG116" s="19" t="s">
        <v>521</v>
      </c>
      <c r="AJ116" s="36"/>
      <c r="AK116" s="36"/>
      <c r="AL116" s="36"/>
      <c r="AO116" s="36"/>
      <c r="AP116" s="36"/>
      <c r="AQ116" s="36"/>
      <c r="AT116" s="36"/>
      <c r="AU116" s="36"/>
      <c r="AV116" s="36"/>
      <c r="AY116" s="36"/>
      <c r="AZ116" s="36"/>
      <c r="BA116" s="36"/>
      <c r="BI116" s="3"/>
      <c r="BJ116" s="3"/>
      <c r="BK116" s="3"/>
      <c r="BL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</row>
    <row r="117">
      <c r="C117" s="83"/>
      <c r="U117" s="17">
        <v>45589.0</v>
      </c>
      <c r="V117" s="18">
        <v>40000.0</v>
      </c>
      <c r="W117" s="19" t="s">
        <v>522</v>
      </c>
      <c r="Z117" s="17"/>
      <c r="AA117" s="18"/>
      <c r="AB117" s="18"/>
      <c r="AE117" s="17">
        <v>45645.0</v>
      </c>
      <c r="AF117" s="18">
        <v>6305.0</v>
      </c>
      <c r="AG117" s="19" t="s">
        <v>523</v>
      </c>
      <c r="AJ117" s="36"/>
      <c r="AK117" s="36"/>
      <c r="AL117" s="36"/>
      <c r="AO117" s="36"/>
      <c r="AP117" s="36"/>
      <c r="AQ117" s="36"/>
      <c r="AT117" s="36"/>
      <c r="AU117" s="36"/>
      <c r="AV117" s="36"/>
      <c r="AY117" s="36"/>
      <c r="AZ117" s="36"/>
      <c r="BA117" s="36"/>
      <c r="BI117" s="3"/>
      <c r="BJ117" s="3"/>
      <c r="BK117" s="3"/>
      <c r="BL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</row>
    <row r="118">
      <c r="C118" s="83"/>
      <c r="U118" s="17">
        <v>45589.0</v>
      </c>
      <c r="V118" s="18">
        <v>10000.0</v>
      </c>
      <c r="W118" s="19" t="s">
        <v>26</v>
      </c>
      <c r="Z118" s="17"/>
      <c r="AA118" s="18"/>
      <c r="AB118" s="18"/>
      <c r="AE118" s="17">
        <v>45645.0</v>
      </c>
      <c r="AF118" s="18">
        <v>39000.0</v>
      </c>
      <c r="AG118" s="19" t="s">
        <v>524</v>
      </c>
      <c r="AJ118" s="36"/>
      <c r="AK118" s="36"/>
      <c r="AL118" s="36"/>
      <c r="AO118" s="36"/>
      <c r="AP118" s="36"/>
      <c r="AQ118" s="36"/>
      <c r="AT118" s="36"/>
      <c r="AU118" s="36"/>
      <c r="AV118" s="36"/>
      <c r="AY118" s="36"/>
      <c r="AZ118" s="36"/>
      <c r="BA118" s="36"/>
      <c r="BI118" s="3"/>
      <c r="BJ118" s="3"/>
      <c r="BK118" s="3"/>
      <c r="BL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</row>
    <row r="119">
      <c r="C119" s="83"/>
      <c r="U119" s="17">
        <v>45589.0</v>
      </c>
      <c r="V119" s="18">
        <v>8200.0</v>
      </c>
      <c r="W119" s="19" t="s">
        <v>525</v>
      </c>
      <c r="Z119" s="17"/>
      <c r="AA119" s="18"/>
      <c r="AB119" s="18"/>
      <c r="AE119" s="17">
        <v>45645.0</v>
      </c>
      <c r="AF119" s="18">
        <v>8000.0</v>
      </c>
      <c r="AG119" s="19" t="s">
        <v>526</v>
      </c>
      <c r="AJ119" s="36"/>
      <c r="AK119" s="36"/>
      <c r="AL119" s="36"/>
      <c r="AO119" s="36"/>
      <c r="AP119" s="36"/>
      <c r="AQ119" s="36"/>
      <c r="AT119" s="36"/>
      <c r="AU119" s="36"/>
      <c r="AV119" s="36"/>
      <c r="AY119" s="36"/>
      <c r="AZ119" s="36"/>
      <c r="BA119" s="36"/>
      <c r="BI119" s="3"/>
      <c r="BJ119" s="3"/>
      <c r="BK119" s="3"/>
      <c r="BL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</row>
    <row r="120">
      <c r="C120" s="83"/>
      <c r="U120" s="17">
        <v>45584.0</v>
      </c>
      <c r="V120" s="18">
        <v>15000.0</v>
      </c>
      <c r="W120" s="19" t="s">
        <v>224</v>
      </c>
      <c r="Z120" s="17"/>
      <c r="AA120" s="18"/>
      <c r="AB120" s="18"/>
      <c r="AE120" s="17">
        <v>45645.0</v>
      </c>
      <c r="AF120" s="18">
        <v>80000.0</v>
      </c>
      <c r="AG120" s="19" t="s">
        <v>527</v>
      </c>
      <c r="AJ120" s="36"/>
      <c r="AK120" s="36"/>
      <c r="AL120" s="36"/>
      <c r="AO120" s="36"/>
      <c r="AP120" s="36"/>
      <c r="AQ120" s="36"/>
      <c r="AT120" s="36"/>
      <c r="AU120" s="36"/>
      <c r="AV120" s="36"/>
      <c r="AY120" s="36"/>
      <c r="AZ120" s="36"/>
      <c r="BA120" s="36"/>
      <c r="BI120" s="3"/>
      <c r="BJ120" s="3"/>
      <c r="BK120" s="3"/>
      <c r="BL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</row>
    <row r="121">
      <c r="C121" s="83"/>
      <c r="U121" s="17">
        <v>45590.0</v>
      </c>
      <c r="V121" s="18">
        <v>36700.0</v>
      </c>
      <c r="W121" s="19" t="s">
        <v>528</v>
      </c>
      <c r="X121" s="21">
        <f>200000+400000-V122-V123-V124-V125-V126-V127-V128-V129-V130-V131-V132-V133</f>
        <v>2138</v>
      </c>
      <c r="Z121" s="17"/>
      <c r="AA121" s="18"/>
      <c r="AB121" s="18"/>
      <c r="AE121" s="17">
        <v>45645.0</v>
      </c>
      <c r="AF121" s="18">
        <v>30000.0</v>
      </c>
      <c r="AG121" s="19" t="s">
        <v>529</v>
      </c>
      <c r="AJ121" s="36"/>
      <c r="AK121" s="36"/>
      <c r="AL121" s="36"/>
      <c r="AO121" s="36"/>
      <c r="AP121" s="36"/>
      <c r="AQ121" s="36"/>
      <c r="AT121" s="36"/>
      <c r="AU121" s="36"/>
      <c r="AV121" s="36"/>
      <c r="AY121" s="36"/>
      <c r="AZ121" s="36"/>
      <c r="BA121" s="36"/>
      <c r="BI121" s="3"/>
      <c r="BJ121" s="3"/>
      <c r="BK121" s="3"/>
      <c r="BL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</row>
    <row r="122">
      <c r="C122" s="83"/>
      <c r="U122" s="17">
        <v>45593.0</v>
      </c>
      <c r="V122" s="18">
        <v>12850.0</v>
      </c>
      <c r="W122" s="19" t="s">
        <v>530</v>
      </c>
      <c r="Z122" s="17"/>
      <c r="AA122" s="18"/>
      <c r="AB122" s="18"/>
      <c r="AE122" s="17">
        <v>45645.0</v>
      </c>
      <c r="AF122" s="18">
        <v>15000.0</v>
      </c>
      <c r="AG122" s="19" t="s">
        <v>29</v>
      </c>
      <c r="AJ122" s="36"/>
      <c r="AK122" s="36"/>
      <c r="AL122" s="36"/>
      <c r="AO122" s="36"/>
      <c r="AP122" s="36"/>
      <c r="AQ122" s="36"/>
      <c r="AT122" s="36"/>
      <c r="AU122" s="36"/>
      <c r="AV122" s="36"/>
      <c r="AY122" s="36"/>
      <c r="AZ122" s="36"/>
      <c r="BA122" s="36"/>
      <c r="BI122" s="3"/>
      <c r="BJ122" s="3"/>
      <c r="BK122" s="3"/>
      <c r="BL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</row>
    <row r="123">
      <c r="C123" s="83"/>
      <c r="U123" s="17">
        <v>45593.0</v>
      </c>
      <c r="V123" s="18">
        <v>143960.0</v>
      </c>
      <c r="W123" s="19" t="s">
        <v>531</v>
      </c>
      <c r="Z123" s="17"/>
      <c r="AA123" s="18"/>
      <c r="AB123" s="18"/>
      <c r="AE123" s="17">
        <v>45636.0</v>
      </c>
      <c r="AF123" s="18">
        <v>4800.0</v>
      </c>
      <c r="AG123" s="20" t="s">
        <v>121</v>
      </c>
      <c r="AJ123" s="36"/>
      <c r="AK123" s="36"/>
      <c r="AL123" s="36"/>
      <c r="AO123" s="36"/>
      <c r="AP123" s="36"/>
      <c r="AQ123" s="36"/>
      <c r="AT123" s="36"/>
      <c r="AU123" s="36"/>
      <c r="AV123" s="36"/>
      <c r="AY123" s="36"/>
      <c r="AZ123" s="36"/>
      <c r="BA123" s="36"/>
      <c r="BI123" s="3"/>
      <c r="BJ123" s="3"/>
      <c r="BK123" s="3"/>
      <c r="BL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</row>
    <row r="124">
      <c r="C124" s="83"/>
      <c r="U124" s="17">
        <v>45593.0</v>
      </c>
      <c r="V124" s="18">
        <v>26640.0</v>
      </c>
      <c r="W124" s="19" t="s">
        <v>532</v>
      </c>
      <c r="Z124" s="17"/>
      <c r="AA124" s="18"/>
      <c r="AB124" s="18"/>
      <c r="AE124" s="17">
        <v>45636.0</v>
      </c>
      <c r="AF124" s="18">
        <v>4000.0</v>
      </c>
      <c r="AG124" s="20" t="s">
        <v>121</v>
      </c>
      <c r="AJ124" s="36"/>
      <c r="AK124" s="36"/>
      <c r="AL124" s="36"/>
      <c r="AO124" s="36"/>
      <c r="AP124" s="36"/>
      <c r="AQ124" s="36"/>
      <c r="AT124" s="36"/>
      <c r="AU124" s="36"/>
      <c r="AV124" s="36"/>
      <c r="AY124" s="36"/>
      <c r="AZ124" s="36"/>
      <c r="BA124" s="36"/>
      <c r="BI124" s="3"/>
      <c r="BJ124" s="3"/>
      <c r="BK124" s="3"/>
      <c r="BL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</row>
    <row r="125">
      <c r="C125" s="83"/>
      <c r="U125" s="17">
        <v>45594.0</v>
      </c>
      <c r="V125" s="18">
        <v>4660.0</v>
      </c>
      <c r="W125" s="19" t="s">
        <v>264</v>
      </c>
      <c r="Z125" s="17"/>
      <c r="AA125" s="18"/>
      <c r="AB125" s="18"/>
      <c r="AE125" s="17">
        <v>45637.0</v>
      </c>
      <c r="AF125" s="18">
        <v>104000.0</v>
      </c>
      <c r="AG125" s="20" t="s">
        <v>121</v>
      </c>
      <c r="AJ125" s="36"/>
      <c r="AK125" s="36"/>
      <c r="AL125" s="36"/>
      <c r="AO125" s="36"/>
      <c r="AP125" s="36"/>
      <c r="AQ125" s="36"/>
      <c r="AT125" s="36"/>
      <c r="AU125" s="36"/>
      <c r="AV125" s="36"/>
      <c r="AY125" s="36"/>
      <c r="AZ125" s="36"/>
      <c r="BA125" s="36"/>
      <c r="BI125" s="3"/>
      <c r="BJ125" s="3"/>
      <c r="BK125" s="3"/>
      <c r="BL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</row>
    <row r="126">
      <c r="C126" s="83"/>
      <c r="U126" s="17">
        <v>45595.0</v>
      </c>
      <c r="V126" s="18">
        <v>20977.0</v>
      </c>
      <c r="W126" s="19" t="s">
        <v>107</v>
      </c>
      <c r="Z126" s="17"/>
      <c r="AA126" s="18"/>
      <c r="AB126" s="18"/>
      <c r="AE126" s="17">
        <v>45638.0</v>
      </c>
      <c r="AF126" s="18">
        <v>10000.0</v>
      </c>
      <c r="AG126" s="20" t="s">
        <v>121</v>
      </c>
      <c r="AJ126" s="36"/>
      <c r="AK126" s="36"/>
      <c r="AL126" s="36"/>
      <c r="AO126" s="36"/>
      <c r="AP126" s="36"/>
      <c r="AQ126" s="36"/>
      <c r="AT126" s="36"/>
      <c r="AU126" s="36"/>
      <c r="AV126" s="36"/>
      <c r="AY126" s="36"/>
      <c r="AZ126" s="36"/>
      <c r="BA126" s="36"/>
      <c r="BI126" s="3"/>
      <c r="BJ126" s="3"/>
      <c r="BK126" s="3"/>
      <c r="BL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</row>
    <row r="127">
      <c r="C127" s="83"/>
      <c r="U127" s="17">
        <v>45596.0</v>
      </c>
      <c r="V127" s="18">
        <v>100000.0</v>
      </c>
      <c r="W127" s="19" t="s">
        <v>533</v>
      </c>
      <c r="Z127" s="17"/>
      <c r="AA127" s="18"/>
      <c r="AB127" s="18"/>
      <c r="AE127" s="17">
        <v>45643.0</v>
      </c>
      <c r="AF127" s="18">
        <v>43000.0</v>
      </c>
      <c r="AG127" s="20" t="s">
        <v>121</v>
      </c>
      <c r="AJ127" s="36"/>
      <c r="AK127" s="36"/>
      <c r="AL127" s="36"/>
      <c r="AO127" s="36"/>
      <c r="AP127" s="36"/>
      <c r="AQ127" s="36"/>
      <c r="AT127" s="36"/>
      <c r="AU127" s="36"/>
      <c r="AV127" s="36"/>
      <c r="AY127" s="36"/>
      <c r="AZ127" s="36"/>
      <c r="BA127" s="36"/>
      <c r="BI127" s="3"/>
      <c r="BJ127" s="3"/>
      <c r="BK127" s="3"/>
      <c r="BL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</row>
    <row r="128">
      <c r="C128" s="83"/>
      <c r="U128" s="17">
        <v>45597.0</v>
      </c>
      <c r="V128" s="18">
        <v>120000.0</v>
      </c>
      <c r="W128" s="19" t="s">
        <v>534</v>
      </c>
      <c r="Z128" s="17"/>
      <c r="AA128" s="18"/>
      <c r="AB128" s="18"/>
      <c r="AE128" s="17">
        <v>45644.0</v>
      </c>
      <c r="AF128" s="18">
        <v>8000.0</v>
      </c>
      <c r="AG128" s="20" t="s">
        <v>121</v>
      </c>
      <c r="AJ128" s="36"/>
      <c r="AK128" s="36"/>
      <c r="AL128" s="36"/>
      <c r="AO128" s="36"/>
      <c r="AP128" s="36"/>
      <c r="AQ128" s="36"/>
      <c r="AT128" s="36"/>
      <c r="AU128" s="36"/>
      <c r="AV128" s="36"/>
      <c r="AY128" s="36"/>
      <c r="AZ128" s="36"/>
      <c r="BA128" s="36"/>
      <c r="BI128" s="3"/>
      <c r="BJ128" s="3"/>
      <c r="BK128" s="3"/>
      <c r="BL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</row>
    <row r="129">
      <c r="C129" s="83"/>
      <c r="U129" s="17">
        <v>45598.0</v>
      </c>
      <c r="V129" s="18">
        <v>25000.0</v>
      </c>
      <c r="W129" s="19" t="s">
        <v>535</v>
      </c>
      <c r="Z129" s="17"/>
      <c r="AA129" s="18"/>
      <c r="AB129" s="18"/>
      <c r="AE129" s="17">
        <v>45645.0</v>
      </c>
      <c r="AF129" s="18">
        <v>20000.0</v>
      </c>
      <c r="AG129" s="20" t="s">
        <v>121</v>
      </c>
      <c r="AJ129" s="36"/>
      <c r="AK129" s="36"/>
      <c r="AL129" s="36"/>
      <c r="AO129" s="36"/>
      <c r="AP129" s="36"/>
      <c r="AQ129" s="36"/>
      <c r="AT129" s="36"/>
      <c r="AU129" s="36"/>
      <c r="AV129" s="36"/>
      <c r="AY129" s="36"/>
      <c r="AZ129" s="36"/>
      <c r="BA129" s="36"/>
      <c r="BI129" s="3"/>
      <c r="BJ129" s="3"/>
      <c r="BK129" s="3"/>
      <c r="BL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</row>
    <row r="130">
      <c r="C130" s="83"/>
      <c r="U130" s="17">
        <v>45593.0</v>
      </c>
      <c r="V130" s="18">
        <v>81600.0</v>
      </c>
      <c r="W130" s="19" t="s">
        <v>536</v>
      </c>
      <c r="Z130" s="17"/>
      <c r="AA130" s="18"/>
      <c r="AB130" s="18"/>
      <c r="AE130" s="17">
        <v>45646.0</v>
      </c>
      <c r="AF130" s="18">
        <v>24000.0</v>
      </c>
      <c r="AG130" s="20" t="s">
        <v>121</v>
      </c>
      <c r="AJ130" s="36"/>
      <c r="AK130" s="36"/>
      <c r="AL130" s="36"/>
      <c r="AO130" s="36"/>
      <c r="AP130" s="36"/>
      <c r="AQ130" s="36"/>
      <c r="AT130" s="36"/>
      <c r="AU130" s="36"/>
      <c r="AV130" s="36"/>
      <c r="AY130" s="36"/>
      <c r="AZ130" s="36"/>
      <c r="BA130" s="36"/>
      <c r="BI130" s="3"/>
      <c r="BJ130" s="3"/>
      <c r="BK130" s="3"/>
      <c r="BL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</row>
    <row r="131">
      <c r="C131" s="83"/>
      <c r="U131" s="17">
        <v>45593.0</v>
      </c>
      <c r="V131" s="18">
        <v>23980.0</v>
      </c>
      <c r="W131" s="19" t="s">
        <v>537</v>
      </c>
      <c r="Z131" s="17"/>
      <c r="AA131" s="18"/>
      <c r="AB131" s="18"/>
      <c r="AE131" s="17">
        <v>45637.0</v>
      </c>
      <c r="AF131" s="18">
        <v>395000.0</v>
      </c>
      <c r="AG131" s="20" t="s">
        <v>538</v>
      </c>
      <c r="AJ131" s="36"/>
      <c r="AK131" s="36"/>
      <c r="AL131" s="36"/>
      <c r="AO131" s="36"/>
      <c r="AP131" s="36"/>
      <c r="AQ131" s="36"/>
      <c r="AT131" s="36"/>
      <c r="AU131" s="36"/>
      <c r="AV131" s="36"/>
      <c r="AY131" s="36"/>
      <c r="AZ131" s="36"/>
      <c r="BA131" s="36"/>
      <c r="BI131" s="3"/>
      <c r="BJ131" s="3"/>
      <c r="BK131" s="3"/>
      <c r="BL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</row>
    <row r="132">
      <c r="C132" s="83"/>
      <c r="U132" s="17">
        <v>45593.0</v>
      </c>
      <c r="V132" s="18">
        <v>4895.0</v>
      </c>
      <c r="W132" s="19" t="s">
        <v>411</v>
      </c>
      <c r="Z132" s="17"/>
      <c r="AA132" s="18"/>
      <c r="AB132" s="18"/>
      <c r="AE132" s="17">
        <v>45638.0</v>
      </c>
      <c r="AF132" s="18">
        <v>68000.0</v>
      </c>
      <c r="AG132" s="20" t="s">
        <v>539</v>
      </c>
      <c r="AJ132" s="36"/>
      <c r="AK132" s="36"/>
      <c r="AL132" s="36"/>
      <c r="AO132" s="36"/>
      <c r="AP132" s="36"/>
      <c r="AQ132" s="36"/>
      <c r="AT132" s="36"/>
      <c r="AU132" s="36"/>
      <c r="AV132" s="36"/>
      <c r="AY132" s="36"/>
      <c r="AZ132" s="36"/>
      <c r="BA132" s="36"/>
      <c r="BI132" s="3"/>
      <c r="BJ132" s="3"/>
      <c r="BK132" s="3"/>
      <c r="BL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</row>
    <row r="133">
      <c r="C133" s="83"/>
      <c r="U133" s="17">
        <v>45594.0</v>
      </c>
      <c r="V133" s="18">
        <v>33300.0</v>
      </c>
      <c r="W133" s="19" t="s">
        <v>540</v>
      </c>
      <c r="Z133" s="17"/>
      <c r="AA133" s="18"/>
      <c r="AB133" s="18"/>
      <c r="AE133" s="17">
        <v>45643.0</v>
      </c>
      <c r="AF133" s="18">
        <v>150000.0</v>
      </c>
      <c r="AG133" s="20" t="s">
        <v>541</v>
      </c>
      <c r="AJ133" s="36"/>
      <c r="AK133" s="36"/>
      <c r="AL133" s="36"/>
      <c r="AO133" s="36"/>
      <c r="AP133" s="36"/>
      <c r="AQ133" s="36"/>
      <c r="AT133" s="36"/>
      <c r="AU133" s="36"/>
      <c r="AV133" s="36"/>
      <c r="AY133" s="36"/>
      <c r="AZ133" s="36"/>
      <c r="BA133" s="36"/>
      <c r="BI133" s="3"/>
      <c r="BJ133" s="3"/>
      <c r="BK133" s="3"/>
      <c r="BL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</row>
    <row r="134">
      <c r="C134" s="83"/>
      <c r="U134" s="17">
        <v>45595.0</v>
      </c>
      <c r="V134" s="36">
        <f>1490+180+1380+1020+3760+510+2045</f>
        <v>10385</v>
      </c>
      <c r="W134" s="19" t="s">
        <v>542</v>
      </c>
      <c r="X134" s="21">
        <f>200000+X121-V134-V143-V144-V145-V146-V147-V148-V149</f>
        <v>97316</v>
      </c>
      <c r="Z134" s="17"/>
      <c r="AA134" s="36"/>
      <c r="AB134" s="18"/>
      <c r="AE134" s="17">
        <v>45643.0</v>
      </c>
      <c r="AF134" s="18">
        <v>122273.0</v>
      </c>
      <c r="AG134" s="20" t="s">
        <v>543</v>
      </c>
      <c r="AJ134" s="36"/>
      <c r="AK134" s="36"/>
      <c r="AL134" s="36"/>
      <c r="AO134" s="36"/>
      <c r="AP134" s="36"/>
      <c r="AQ134" s="36"/>
      <c r="AT134" s="36"/>
      <c r="AU134" s="36"/>
      <c r="AV134" s="36"/>
      <c r="AY134" s="36"/>
      <c r="AZ134" s="36"/>
      <c r="BA134" s="36"/>
      <c r="BI134" s="3"/>
      <c r="BJ134" s="3"/>
      <c r="BK134" s="3"/>
      <c r="BL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</row>
    <row r="135">
      <c r="C135" s="83"/>
      <c r="U135" s="17">
        <v>45589.0</v>
      </c>
      <c r="V135" s="18">
        <v>5600.0</v>
      </c>
      <c r="W135" s="20" t="s">
        <v>21</v>
      </c>
      <c r="Z135" s="17"/>
      <c r="AA135" s="18"/>
      <c r="AB135" s="18"/>
      <c r="AE135" s="17">
        <v>45643.0</v>
      </c>
      <c r="AF135" s="18">
        <v>176000.0</v>
      </c>
      <c r="AG135" s="20" t="s">
        <v>544</v>
      </c>
      <c r="AJ135" s="36"/>
      <c r="AK135" s="36"/>
      <c r="AL135" s="36"/>
      <c r="AO135" s="36"/>
      <c r="AP135" s="36"/>
      <c r="AQ135" s="36"/>
      <c r="AT135" s="36"/>
      <c r="AU135" s="36"/>
      <c r="AV135" s="36"/>
      <c r="AY135" s="36"/>
      <c r="AZ135" s="36"/>
      <c r="BA135" s="36"/>
      <c r="BI135" s="3"/>
      <c r="BJ135" s="3"/>
      <c r="BK135" s="3"/>
      <c r="BL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</row>
    <row r="136">
      <c r="C136" s="83"/>
      <c r="U136" s="17">
        <v>45590.0</v>
      </c>
      <c r="V136" s="18">
        <v>10210.0</v>
      </c>
      <c r="W136" s="20" t="s">
        <v>21</v>
      </c>
      <c r="Z136" s="17"/>
      <c r="AA136" s="18"/>
      <c r="AB136" s="18"/>
      <c r="AE136" s="17">
        <v>45647.0</v>
      </c>
      <c r="AF136" s="18">
        <v>2920.0</v>
      </c>
      <c r="AG136" s="19" t="s">
        <v>52</v>
      </c>
      <c r="AJ136" s="36"/>
      <c r="AK136" s="36"/>
      <c r="AL136" s="36"/>
      <c r="AO136" s="36"/>
      <c r="AP136" s="36"/>
      <c r="AQ136" s="36"/>
      <c r="AT136" s="36"/>
      <c r="AU136" s="36"/>
      <c r="AV136" s="36"/>
      <c r="AY136" s="36"/>
      <c r="AZ136" s="36"/>
      <c r="BA136" s="36"/>
      <c r="BI136" s="3"/>
      <c r="BJ136" s="3"/>
      <c r="BK136" s="3"/>
      <c r="BL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</row>
    <row r="137">
      <c r="C137" s="83"/>
      <c r="U137" s="17">
        <v>45591.0</v>
      </c>
      <c r="V137" s="18">
        <v>16000.0</v>
      </c>
      <c r="W137" s="20" t="s">
        <v>21</v>
      </c>
      <c r="Z137" s="17"/>
      <c r="AA137" s="18"/>
      <c r="AB137" s="18"/>
      <c r="AE137" s="17">
        <v>45647.0</v>
      </c>
      <c r="AF137" s="18">
        <v>6000.0</v>
      </c>
      <c r="AG137" s="19" t="s">
        <v>345</v>
      </c>
      <c r="AJ137" s="36"/>
      <c r="AK137" s="36"/>
      <c r="AL137" s="36"/>
      <c r="AO137" s="36"/>
      <c r="AP137" s="36"/>
      <c r="AQ137" s="36"/>
      <c r="AT137" s="36"/>
      <c r="AU137" s="36"/>
      <c r="AV137" s="36"/>
      <c r="AY137" s="36"/>
      <c r="AZ137" s="36"/>
      <c r="BA137" s="36"/>
      <c r="BI137" s="3"/>
      <c r="BJ137" s="3"/>
      <c r="BK137" s="3"/>
      <c r="BL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</row>
    <row r="138">
      <c r="C138" s="83"/>
      <c r="U138" s="17">
        <v>45593.0</v>
      </c>
      <c r="V138" s="18">
        <v>281200.0</v>
      </c>
      <c r="W138" s="20" t="s">
        <v>65</v>
      </c>
      <c r="Z138" s="17"/>
      <c r="AA138" s="18"/>
      <c r="AB138" s="18"/>
      <c r="AE138" s="17">
        <v>45647.0</v>
      </c>
      <c r="AF138" s="18">
        <v>14000.0</v>
      </c>
      <c r="AG138" s="19" t="s">
        <v>165</v>
      </c>
      <c r="AJ138" s="36"/>
      <c r="AK138" s="36"/>
      <c r="AL138" s="36"/>
      <c r="AO138" s="36"/>
      <c r="AP138" s="36"/>
      <c r="AQ138" s="36"/>
      <c r="AT138" s="36"/>
      <c r="AU138" s="36"/>
      <c r="AV138" s="36"/>
      <c r="AY138" s="36"/>
      <c r="AZ138" s="36"/>
      <c r="BA138" s="36"/>
      <c r="BI138" s="3"/>
      <c r="BJ138" s="3"/>
      <c r="BK138" s="3"/>
      <c r="BL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</row>
    <row r="139">
      <c r="C139" s="83"/>
      <c r="U139" s="17">
        <v>45593.0</v>
      </c>
      <c r="V139" s="18">
        <v>5000.0</v>
      </c>
      <c r="W139" s="20" t="s">
        <v>21</v>
      </c>
      <c r="Z139" s="17"/>
      <c r="AA139" s="18"/>
      <c r="AB139" s="18"/>
      <c r="AE139" s="17">
        <v>45647.0</v>
      </c>
      <c r="AF139" s="18">
        <v>650.0</v>
      </c>
      <c r="AG139" s="19" t="s">
        <v>545</v>
      </c>
      <c r="AJ139" s="36"/>
      <c r="AK139" s="36"/>
      <c r="AL139" s="36"/>
      <c r="AO139" s="36"/>
      <c r="AP139" s="36"/>
      <c r="AQ139" s="36"/>
      <c r="AT139" s="36"/>
      <c r="AU139" s="36"/>
      <c r="AV139" s="36"/>
      <c r="AY139" s="36"/>
      <c r="AZ139" s="36"/>
      <c r="BA139" s="36"/>
      <c r="BI139" s="3"/>
      <c r="BJ139" s="3"/>
      <c r="BK139" s="3"/>
      <c r="BL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</row>
    <row r="140">
      <c r="C140" s="83"/>
      <c r="U140" s="17">
        <v>45594.0</v>
      </c>
      <c r="V140" s="18">
        <v>9600.0</v>
      </c>
      <c r="W140" s="20" t="s">
        <v>21</v>
      </c>
      <c r="Z140" s="17"/>
      <c r="AA140" s="18"/>
      <c r="AB140" s="18"/>
      <c r="AE140" s="17">
        <v>45647.0</v>
      </c>
      <c r="AF140" s="18">
        <v>170000.0</v>
      </c>
      <c r="AG140" s="19" t="s">
        <v>546</v>
      </c>
      <c r="AJ140" s="36"/>
      <c r="AK140" s="36"/>
      <c r="AL140" s="36"/>
      <c r="AO140" s="36"/>
      <c r="AP140" s="36"/>
      <c r="AQ140" s="36"/>
      <c r="AT140" s="36"/>
      <c r="AU140" s="36"/>
      <c r="AV140" s="36"/>
      <c r="AY140" s="36"/>
      <c r="AZ140" s="36"/>
      <c r="BA140" s="36"/>
      <c r="BI140" s="3"/>
      <c r="BJ140" s="3"/>
      <c r="BK140" s="3"/>
      <c r="BL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</row>
    <row r="141">
      <c r="C141" s="83"/>
      <c r="U141" s="17">
        <v>45594.0</v>
      </c>
      <c r="V141" s="18">
        <v>450000.0</v>
      </c>
      <c r="W141" s="20" t="s">
        <v>547</v>
      </c>
      <c r="Z141" s="17"/>
      <c r="AA141" s="18"/>
      <c r="AB141" s="18"/>
      <c r="AE141" s="17">
        <v>45647.0</v>
      </c>
      <c r="AF141" s="18">
        <v>20000.0</v>
      </c>
      <c r="AG141" s="19" t="s">
        <v>548</v>
      </c>
      <c r="AJ141" s="36"/>
      <c r="AK141" s="36"/>
      <c r="AL141" s="36"/>
      <c r="AO141" s="36"/>
      <c r="AP141" s="36"/>
      <c r="AQ141" s="36"/>
      <c r="AT141" s="36"/>
      <c r="AU141" s="36"/>
      <c r="AV141" s="36"/>
      <c r="AY141" s="36"/>
      <c r="AZ141" s="36"/>
      <c r="BA141" s="36"/>
      <c r="BI141" s="3"/>
      <c r="BJ141" s="3"/>
      <c r="BK141" s="3"/>
      <c r="BL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</row>
    <row r="142">
      <c r="C142" s="83"/>
      <c r="U142" s="17">
        <v>45595.0</v>
      </c>
      <c r="V142" s="18">
        <v>63360.0</v>
      </c>
      <c r="W142" s="20" t="s">
        <v>549</v>
      </c>
      <c r="Z142" s="17"/>
      <c r="AA142" s="18"/>
      <c r="AB142" s="18"/>
      <c r="AE142" s="17">
        <v>45647.0</v>
      </c>
      <c r="AF142" s="18">
        <v>70000.0</v>
      </c>
      <c r="AG142" s="19" t="s">
        <v>550</v>
      </c>
      <c r="AJ142" s="36"/>
      <c r="AK142" s="36"/>
      <c r="AL142" s="36"/>
      <c r="AO142" s="36"/>
      <c r="AP142" s="36"/>
      <c r="AQ142" s="36"/>
      <c r="AT142" s="36"/>
      <c r="AU142" s="36"/>
      <c r="AV142" s="36"/>
      <c r="AY142" s="36"/>
      <c r="AZ142" s="36"/>
      <c r="BA142" s="36"/>
      <c r="BI142" s="3"/>
      <c r="BJ142" s="3"/>
      <c r="BK142" s="3"/>
      <c r="BL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</row>
    <row r="143">
      <c r="C143" s="83"/>
      <c r="U143" s="17">
        <v>45595.0</v>
      </c>
      <c r="V143" s="18">
        <v>2190.0</v>
      </c>
      <c r="W143" s="19" t="s">
        <v>551</v>
      </c>
      <c r="AE143" s="17">
        <v>45647.0</v>
      </c>
      <c r="AF143" s="18">
        <v>40000.0</v>
      </c>
      <c r="AG143" s="19" t="s">
        <v>552</v>
      </c>
      <c r="AJ143" s="36"/>
      <c r="AK143" s="36"/>
      <c r="AL143" s="36"/>
      <c r="AO143" s="36"/>
      <c r="AP143" s="36"/>
      <c r="AQ143" s="36"/>
      <c r="AT143" s="36"/>
      <c r="AU143" s="36"/>
      <c r="AV143" s="36"/>
      <c r="AY143" s="36"/>
      <c r="AZ143" s="36"/>
      <c r="BA143" s="36"/>
      <c r="BI143" s="3"/>
      <c r="BJ143" s="3"/>
      <c r="BK143" s="3"/>
      <c r="BL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</row>
    <row r="144">
      <c r="C144" s="83"/>
      <c r="U144" s="17">
        <v>45596.0</v>
      </c>
      <c r="V144" s="18">
        <v>76200.0</v>
      </c>
      <c r="W144" s="19" t="s">
        <v>36</v>
      </c>
      <c r="AE144" s="17">
        <v>45647.0</v>
      </c>
      <c r="AF144" s="18">
        <v>42186.0</v>
      </c>
      <c r="AG144" s="19" t="s">
        <v>303</v>
      </c>
      <c r="AJ144" s="36"/>
      <c r="AK144" s="36"/>
      <c r="AL144" s="36"/>
      <c r="AO144" s="36"/>
      <c r="AP144" s="36"/>
      <c r="AQ144" s="36"/>
      <c r="AT144" s="36"/>
      <c r="AU144" s="36"/>
      <c r="AV144" s="36"/>
      <c r="AY144" s="36"/>
      <c r="AZ144" s="36"/>
      <c r="BA144" s="36"/>
      <c r="BI144" s="3"/>
      <c r="BJ144" s="3"/>
      <c r="BK144" s="3"/>
      <c r="BL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</row>
    <row r="145">
      <c r="C145" s="83"/>
      <c r="U145" s="17">
        <v>45596.0</v>
      </c>
      <c r="V145" s="18">
        <v>4490.0</v>
      </c>
      <c r="W145" s="19" t="s">
        <v>553</v>
      </c>
      <c r="AE145" s="17">
        <v>45647.0</v>
      </c>
      <c r="AF145" s="18">
        <v>52500.0</v>
      </c>
      <c r="AG145" s="19" t="s">
        <v>554</v>
      </c>
      <c r="AJ145" s="36"/>
      <c r="AK145" s="36"/>
      <c r="AL145" s="36"/>
      <c r="AO145" s="36"/>
      <c r="AP145" s="36"/>
      <c r="AQ145" s="36"/>
      <c r="AT145" s="36"/>
      <c r="AU145" s="36"/>
      <c r="AV145" s="36"/>
      <c r="AY145" s="36"/>
      <c r="AZ145" s="36"/>
      <c r="BA145" s="36"/>
      <c r="BI145" s="3"/>
      <c r="BJ145" s="3"/>
      <c r="BK145" s="3"/>
      <c r="BL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</row>
    <row r="146">
      <c r="C146" s="83"/>
      <c r="U146" s="17">
        <v>45596.0</v>
      </c>
      <c r="V146" s="18">
        <v>3497.0</v>
      </c>
      <c r="W146" s="19" t="s">
        <v>555</v>
      </c>
      <c r="AE146" s="17">
        <v>45649.0</v>
      </c>
      <c r="AF146" s="18">
        <v>30000.0</v>
      </c>
      <c r="AG146" s="19" t="s">
        <v>556</v>
      </c>
      <c r="AJ146" s="36"/>
      <c r="AK146" s="36"/>
      <c r="AL146" s="36"/>
      <c r="AO146" s="36"/>
      <c r="AP146" s="36"/>
      <c r="AQ146" s="36"/>
      <c r="AT146" s="36"/>
      <c r="AU146" s="36"/>
      <c r="AV146" s="36"/>
      <c r="AY146" s="36"/>
      <c r="AZ146" s="36"/>
      <c r="BA146" s="36"/>
      <c r="BI146" s="3"/>
      <c r="BJ146" s="3"/>
      <c r="BK146" s="3"/>
      <c r="BL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</row>
    <row r="147">
      <c r="C147" s="83"/>
      <c r="U147" s="17">
        <v>45596.0</v>
      </c>
      <c r="V147" s="18">
        <v>2100.0</v>
      </c>
      <c r="W147" s="19" t="s">
        <v>557</v>
      </c>
      <c r="AE147" s="17">
        <v>45649.0</v>
      </c>
      <c r="AF147" s="18">
        <v>10000.0</v>
      </c>
      <c r="AG147" s="19" t="s">
        <v>41</v>
      </c>
      <c r="AJ147" s="36"/>
      <c r="AK147" s="36"/>
      <c r="AL147" s="36"/>
      <c r="AO147" s="36"/>
      <c r="AP147" s="36"/>
      <c r="AQ147" s="36"/>
      <c r="AT147" s="36"/>
      <c r="AU147" s="36"/>
      <c r="AV147" s="36"/>
      <c r="AY147" s="36"/>
      <c r="AZ147" s="36"/>
      <c r="BA147" s="36"/>
      <c r="BI147" s="3"/>
      <c r="BJ147" s="3"/>
      <c r="BK147" s="3"/>
      <c r="BL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</row>
    <row r="148">
      <c r="C148" s="83"/>
      <c r="U148" s="17">
        <v>45596.0</v>
      </c>
      <c r="V148" s="18">
        <v>2960.0</v>
      </c>
      <c r="W148" s="19" t="s">
        <v>52</v>
      </c>
      <c r="X148" s="35">
        <f>V44+V45+V76+V114+V138</f>
        <v>1409995</v>
      </c>
      <c r="AE148" s="17">
        <v>45649.0</v>
      </c>
      <c r="AF148" s="18">
        <v>4500.0</v>
      </c>
      <c r="AG148" s="19" t="s">
        <v>25</v>
      </c>
      <c r="AH148" s="21">
        <f>300000-49550-AF148-AF149-AF151+AH151-AF152-AF153-AF154-AF155-AF156-AF157-30000-AF158-AF159-76500-AF160-AF161-AF162-AF163-AF164-AF165-AF166-AF167+12627</f>
        <v>-32784</v>
      </c>
      <c r="AJ148" s="36"/>
      <c r="AK148" s="36"/>
      <c r="AL148" s="36"/>
      <c r="AO148" s="36"/>
      <c r="AP148" s="36"/>
      <c r="AQ148" s="36"/>
      <c r="AT148" s="36"/>
      <c r="AU148" s="36"/>
      <c r="AV148" s="36"/>
      <c r="AY148" s="36"/>
      <c r="AZ148" s="36"/>
      <c r="BA148" s="36"/>
      <c r="BI148" s="3"/>
      <c r="BJ148" s="3"/>
      <c r="BK148" s="3"/>
      <c r="BL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</row>
    <row r="149">
      <c r="C149" s="83"/>
      <c r="U149" s="17">
        <v>45596.0</v>
      </c>
      <c r="V149" s="18">
        <v>3000.0</v>
      </c>
      <c r="W149" s="19" t="s">
        <v>558</v>
      </c>
      <c r="AE149" s="17">
        <v>45649.0</v>
      </c>
      <c r="AF149" s="18">
        <v>6260.0</v>
      </c>
      <c r="AG149" s="19" t="s">
        <v>559</v>
      </c>
      <c r="AJ149" s="36"/>
      <c r="AK149" s="36"/>
      <c r="AL149" s="36"/>
      <c r="AO149" s="36"/>
      <c r="AP149" s="36"/>
      <c r="AQ149" s="36"/>
      <c r="AT149" s="36"/>
      <c r="AU149" s="36"/>
      <c r="AV149" s="36"/>
      <c r="AY149" s="36"/>
      <c r="AZ149" s="36"/>
      <c r="BA149" s="36"/>
      <c r="BI149" s="3"/>
      <c r="BJ149" s="3"/>
      <c r="BK149" s="3"/>
      <c r="BL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</row>
    <row r="150">
      <c r="C150" s="83"/>
      <c r="U150" s="36"/>
      <c r="V150" s="18"/>
      <c r="W150" s="18"/>
      <c r="AE150" s="17">
        <v>45650.0</v>
      </c>
      <c r="AF150" s="18">
        <v>11036.0</v>
      </c>
      <c r="AG150" s="19" t="s">
        <v>560</v>
      </c>
      <c r="BI150" s="3"/>
      <c r="BJ150" s="3"/>
      <c r="BK150" s="3"/>
      <c r="BL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</row>
    <row r="151">
      <c r="C151" s="83"/>
      <c r="AE151" s="17">
        <v>45650.0</v>
      </c>
      <c r="AF151" s="36">
        <f>10500+50000+20000-5270</f>
        <v>75230</v>
      </c>
      <c r="AG151" s="19" t="s">
        <v>561</v>
      </c>
      <c r="BI151" s="3"/>
      <c r="BJ151" s="3"/>
      <c r="BK151" s="3"/>
      <c r="BL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</row>
    <row r="152">
      <c r="C152" s="83"/>
      <c r="AE152" s="17">
        <v>45650.0</v>
      </c>
      <c r="AF152" s="18">
        <v>5000.0</v>
      </c>
      <c r="AG152" s="19" t="s">
        <v>562</v>
      </c>
      <c r="BI152" s="3"/>
      <c r="BJ152" s="3"/>
      <c r="BK152" s="3"/>
      <c r="BL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</row>
    <row r="153">
      <c r="C153" s="83"/>
      <c r="AE153" s="17">
        <v>45651.0</v>
      </c>
      <c r="AF153" s="18">
        <v>2840.0</v>
      </c>
      <c r="AG153" s="19" t="s">
        <v>563</v>
      </c>
      <c r="BI153" s="3"/>
      <c r="BJ153" s="3"/>
      <c r="BK153" s="3"/>
      <c r="BL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</row>
    <row r="154">
      <c r="C154" s="83"/>
      <c r="AE154" s="17">
        <v>45651.0</v>
      </c>
      <c r="AF154" s="36">
        <f>4400</f>
        <v>4400</v>
      </c>
      <c r="AG154" s="19" t="s">
        <v>564</v>
      </c>
      <c r="BI154" s="3"/>
      <c r="BJ154" s="3"/>
      <c r="BK154" s="3"/>
      <c r="BL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</row>
    <row r="155">
      <c r="C155" s="83"/>
      <c r="AE155" s="17">
        <v>45651.0</v>
      </c>
      <c r="AF155" s="18">
        <v>3000.0</v>
      </c>
      <c r="AG155" s="19" t="s">
        <v>565</v>
      </c>
      <c r="BI155" s="3"/>
      <c r="BJ155" s="3"/>
      <c r="BK155" s="3"/>
      <c r="BL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</row>
    <row r="156">
      <c r="C156" s="83"/>
      <c r="AE156" s="17">
        <v>45652.0</v>
      </c>
      <c r="AF156" s="18">
        <v>17000.0</v>
      </c>
      <c r="AG156" s="19" t="s">
        <v>446</v>
      </c>
      <c r="BI156" s="3"/>
      <c r="BJ156" s="3"/>
      <c r="BK156" s="3"/>
      <c r="BL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</row>
    <row r="157">
      <c r="C157" s="83"/>
      <c r="AE157" s="17">
        <v>45652.0</v>
      </c>
      <c r="AF157" s="18">
        <v>30380.0</v>
      </c>
      <c r="AG157" s="19" t="s">
        <v>566</v>
      </c>
      <c r="BI157" s="3"/>
      <c r="BJ157" s="3"/>
      <c r="BK157" s="3"/>
      <c r="BL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</row>
    <row r="158">
      <c r="C158" s="83"/>
      <c r="AE158" s="17">
        <v>45652.0</v>
      </c>
      <c r="AF158" s="18">
        <v>6821.0</v>
      </c>
      <c r="AG158" s="19" t="s">
        <v>567</v>
      </c>
      <c r="BI158" s="3"/>
      <c r="BJ158" s="3"/>
      <c r="BK158" s="3"/>
      <c r="BL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</row>
    <row r="159">
      <c r="C159" s="83"/>
      <c r="AE159" s="17">
        <v>45652.0</v>
      </c>
      <c r="AF159" s="18">
        <v>10000.0</v>
      </c>
      <c r="AG159" s="19" t="s">
        <v>220</v>
      </c>
      <c r="BI159" s="3"/>
      <c r="BJ159" s="3"/>
      <c r="BK159" s="3"/>
      <c r="BL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</row>
    <row r="160">
      <c r="C160" s="83"/>
      <c r="AE160" s="17">
        <v>45652.0</v>
      </c>
      <c r="AF160" s="18">
        <v>3950.0</v>
      </c>
      <c r="AG160" s="19" t="s">
        <v>52</v>
      </c>
      <c r="BI160" s="3"/>
      <c r="BJ160" s="3"/>
      <c r="BK160" s="3"/>
      <c r="BL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</row>
    <row r="161">
      <c r="C161" s="83"/>
      <c r="AE161" s="17">
        <v>45652.0</v>
      </c>
      <c r="AF161" s="18">
        <v>2550.0</v>
      </c>
      <c r="AG161" s="19" t="s">
        <v>52</v>
      </c>
      <c r="BI161" s="3"/>
      <c r="BJ161" s="3"/>
      <c r="BK161" s="3"/>
      <c r="BL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</row>
    <row r="162">
      <c r="C162" s="83"/>
      <c r="S162" s="4"/>
      <c r="AE162" s="17">
        <v>45652.0</v>
      </c>
      <c r="AF162" s="18">
        <v>6900.0</v>
      </c>
      <c r="AG162" s="19" t="s">
        <v>568</v>
      </c>
      <c r="BI162" s="3"/>
      <c r="BJ162" s="3"/>
      <c r="BK162" s="3"/>
      <c r="BL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</row>
    <row r="163">
      <c r="C163" s="83"/>
      <c r="R163" s="21"/>
      <c r="S163" s="21"/>
      <c r="U163" s="21"/>
      <c r="AE163" s="17">
        <v>45652.0</v>
      </c>
      <c r="AF163" s="18">
        <v>1200.0</v>
      </c>
      <c r="AG163" s="19" t="s">
        <v>26</v>
      </c>
      <c r="BI163" s="3"/>
      <c r="BJ163" s="3"/>
      <c r="BK163" s="3"/>
      <c r="BL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</row>
    <row r="164">
      <c r="C164" s="83"/>
      <c r="S164" s="21"/>
      <c r="U164" s="21"/>
      <c r="AE164" s="17">
        <v>45652.0</v>
      </c>
      <c r="AF164" s="18">
        <v>2250.0</v>
      </c>
      <c r="AG164" s="19" t="s">
        <v>42</v>
      </c>
      <c r="BI164" s="3"/>
      <c r="BJ164" s="3"/>
      <c r="BK164" s="3"/>
      <c r="BL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</row>
    <row r="165">
      <c r="C165" s="83"/>
      <c r="AE165" s="17">
        <v>45652.0</v>
      </c>
      <c r="AF165" s="18">
        <f>550+850</f>
        <v>1400</v>
      </c>
      <c r="AG165" s="19" t="s">
        <v>563</v>
      </c>
      <c r="BI165" s="3"/>
      <c r="BJ165" s="3"/>
      <c r="BK165" s="3"/>
      <c r="BL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</row>
    <row r="166">
      <c r="C166" s="83"/>
      <c r="AE166" s="17">
        <v>45653.0</v>
      </c>
      <c r="AF166" s="18">
        <v>2880.0</v>
      </c>
      <c r="AG166" s="19" t="s">
        <v>52</v>
      </c>
      <c r="BI166" s="3"/>
      <c r="BJ166" s="3"/>
      <c r="BK166" s="3"/>
      <c r="BL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</row>
    <row r="167">
      <c r="C167" s="83"/>
      <c r="AE167" s="17">
        <v>45653.0</v>
      </c>
      <c r="AF167" s="18">
        <v>2800.0</v>
      </c>
      <c r="AG167" s="19" t="s">
        <v>52</v>
      </c>
      <c r="BI167" s="3"/>
      <c r="BJ167" s="3"/>
      <c r="BK167" s="3"/>
      <c r="BL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</row>
    <row r="168">
      <c r="C168" s="83"/>
      <c r="AE168" s="17">
        <v>46018.0</v>
      </c>
      <c r="AF168" s="18">
        <v>20000.0</v>
      </c>
      <c r="AG168" s="19" t="s">
        <v>569</v>
      </c>
      <c r="AH168" s="21">
        <f>306000-AF169-AF168-32784-8825-AF170-AF171-AF172-50000-AF184</f>
        <v>4191</v>
      </c>
      <c r="BI168" s="3"/>
      <c r="BJ168" s="3"/>
      <c r="BK168" s="3"/>
      <c r="BL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</row>
    <row r="169">
      <c r="C169" s="83"/>
      <c r="AE169" s="17">
        <v>46019.0</v>
      </c>
      <c r="AF169" s="18">
        <v>30000.0</v>
      </c>
      <c r="AG169" s="19" t="s">
        <v>570</v>
      </c>
      <c r="AH169" s="21" t="s">
        <v>0</v>
      </c>
      <c r="BI169" s="3"/>
      <c r="BJ169" s="3"/>
      <c r="BK169" s="3"/>
      <c r="BL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</row>
    <row r="170">
      <c r="C170" s="83"/>
      <c r="AE170" s="17">
        <v>46019.0</v>
      </c>
      <c r="AF170" s="18">
        <v>2000.0</v>
      </c>
      <c r="AG170" s="19" t="s">
        <v>52</v>
      </c>
      <c r="AH170" s="21">
        <f>300000-308825</f>
        <v>-8825</v>
      </c>
      <c r="BI170" s="3"/>
      <c r="BJ170" s="3"/>
      <c r="BK170" s="3"/>
      <c r="BL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</row>
    <row r="171">
      <c r="C171" s="83"/>
      <c r="AE171" s="17">
        <v>46018.0</v>
      </c>
      <c r="AF171" s="18">
        <v>3200.0</v>
      </c>
      <c r="AG171" s="19" t="s">
        <v>571</v>
      </c>
      <c r="BI171" s="3"/>
      <c r="BJ171" s="3"/>
      <c r="BK171" s="3"/>
      <c r="BL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</row>
    <row r="172">
      <c r="C172" s="83"/>
      <c r="AE172" s="17">
        <v>46018.0</v>
      </c>
      <c r="AF172" s="18">
        <v>140000.0</v>
      </c>
      <c r="AG172" s="19" t="s">
        <v>572</v>
      </c>
      <c r="BI172" s="3"/>
      <c r="BJ172" s="3"/>
      <c r="BK172" s="3"/>
      <c r="BL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</row>
    <row r="173">
      <c r="C173" s="83"/>
      <c r="AE173" s="17">
        <v>45643.0</v>
      </c>
      <c r="AF173" s="18">
        <v>43000.0</v>
      </c>
      <c r="AG173" s="20" t="s">
        <v>121</v>
      </c>
      <c r="BI173" s="3"/>
      <c r="BJ173" s="3"/>
      <c r="BK173" s="3"/>
      <c r="BL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</row>
    <row r="174">
      <c r="C174" s="83"/>
      <c r="AE174" s="17">
        <v>45644.0</v>
      </c>
      <c r="AF174" s="18">
        <v>8000.0</v>
      </c>
      <c r="AG174" s="20" t="s">
        <v>121</v>
      </c>
      <c r="BI174" s="3"/>
      <c r="BJ174" s="3"/>
      <c r="BK174" s="3"/>
      <c r="BL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</row>
    <row r="175">
      <c r="C175" s="83"/>
      <c r="AE175" s="17">
        <v>45645.0</v>
      </c>
      <c r="AF175" s="18">
        <v>20000.0</v>
      </c>
      <c r="AG175" s="20" t="s">
        <v>121</v>
      </c>
      <c r="BI175" s="3"/>
      <c r="BJ175" s="3"/>
      <c r="BK175" s="3"/>
      <c r="BL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</row>
    <row r="176">
      <c r="C176" s="83"/>
      <c r="AE176" s="17">
        <v>45646.0</v>
      </c>
      <c r="AF176" s="18">
        <v>24000.0</v>
      </c>
      <c r="AG176" s="20" t="s">
        <v>121</v>
      </c>
      <c r="BI176" s="3"/>
      <c r="BJ176" s="3"/>
      <c r="BK176" s="3"/>
      <c r="BL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</row>
    <row r="177">
      <c r="C177" s="83"/>
      <c r="AE177" s="17">
        <v>45649.0</v>
      </c>
      <c r="AF177" s="18">
        <v>12000.0</v>
      </c>
      <c r="AG177" s="20" t="s">
        <v>121</v>
      </c>
      <c r="BI177" s="3"/>
      <c r="BJ177" s="3"/>
      <c r="BK177" s="3"/>
      <c r="BL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</row>
    <row r="178">
      <c r="C178" s="83"/>
      <c r="AE178" s="17">
        <v>45650.0</v>
      </c>
      <c r="AF178" s="18">
        <v>38000.0</v>
      </c>
      <c r="AG178" s="20" t="s">
        <v>121</v>
      </c>
      <c r="BI178" s="3"/>
      <c r="BJ178" s="3"/>
      <c r="BK178" s="3"/>
      <c r="BL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</row>
    <row r="179">
      <c r="C179" s="83"/>
      <c r="AE179" s="17">
        <v>45652.0</v>
      </c>
      <c r="AF179" s="18">
        <v>4000.0</v>
      </c>
      <c r="AG179" s="20" t="s">
        <v>121</v>
      </c>
      <c r="BI179" s="3"/>
      <c r="BJ179" s="3"/>
      <c r="BK179" s="3"/>
      <c r="BL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</row>
    <row r="180">
      <c r="C180" s="83"/>
      <c r="AE180" s="17">
        <v>45653.0</v>
      </c>
      <c r="AF180" s="18">
        <v>12240.0</v>
      </c>
      <c r="AG180" s="20" t="s">
        <v>121</v>
      </c>
      <c r="BI180" s="3"/>
      <c r="BJ180" s="3"/>
      <c r="BK180" s="3"/>
      <c r="BL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</row>
    <row r="181">
      <c r="C181" s="83"/>
      <c r="AE181" s="17">
        <v>45656.0</v>
      </c>
      <c r="AF181" s="18">
        <v>12000.0</v>
      </c>
      <c r="AG181" s="20" t="s">
        <v>121</v>
      </c>
      <c r="BI181" s="3"/>
      <c r="BJ181" s="3"/>
      <c r="BK181" s="3"/>
      <c r="BL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</row>
    <row r="182">
      <c r="C182" s="83"/>
      <c r="AE182" s="17">
        <v>45651.0</v>
      </c>
      <c r="AF182" s="18">
        <v>27015.0</v>
      </c>
      <c r="AG182" s="20" t="s">
        <v>128</v>
      </c>
      <c r="BI182" s="3"/>
      <c r="BJ182" s="3"/>
      <c r="BK182" s="3"/>
      <c r="BL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</row>
    <row r="183">
      <c r="C183" s="83"/>
      <c r="AE183" s="17">
        <v>45653.0</v>
      </c>
      <c r="AF183" s="18">
        <v>11895.0</v>
      </c>
      <c r="AG183" s="20" t="s">
        <v>128</v>
      </c>
      <c r="BI183" s="3"/>
      <c r="BJ183" s="3"/>
      <c r="BK183" s="3"/>
      <c r="BL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</row>
    <row r="184">
      <c r="C184" s="83"/>
      <c r="AE184" s="17">
        <v>46022.0</v>
      </c>
      <c r="AF184" s="18">
        <v>15000.0</v>
      </c>
      <c r="AG184" s="19" t="s">
        <v>573</v>
      </c>
      <c r="BI184" s="3"/>
      <c r="BJ184" s="3"/>
      <c r="BK184" s="3"/>
      <c r="BL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</row>
    <row r="185">
      <c r="C185" s="83"/>
      <c r="BI185" s="3"/>
      <c r="BJ185" s="3"/>
      <c r="BK185" s="3"/>
      <c r="BL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</row>
    <row r="186">
      <c r="C186" s="83"/>
      <c r="BI186" s="3"/>
      <c r="BJ186" s="3"/>
      <c r="BK186" s="3"/>
      <c r="BL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</row>
    <row r="187">
      <c r="C187" s="83"/>
      <c r="BI187" s="3"/>
      <c r="BJ187" s="3"/>
      <c r="BK187" s="3"/>
      <c r="BL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</row>
    <row r="188">
      <c r="C188" s="83"/>
      <c r="BI188" s="3"/>
      <c r="BJ188" s="3"/>
      <c r="BK188" s="3"/>
      <c r="BL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</row>
    <row r="189">
      <c r="C189" s="83"/>
      <c r="BI189" s="3"/>
      <c r="BJ189" s="3"/>
      <c r="BK189" s="3"/>
      <c r="BL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</row>
    <row r="190">
      <c r="C190" s="83"/>
      <c r="BI190" s="3"/>
      <c r="BJ190" s="3"/>
      <c r="BK190" s="3"/>
      <c r="BL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</row>
    <row r="191">
      <c r="C191" s="83"/>
      <c r="BI191" s="3"/>
      <c r="BJ191" s="3"/>
      <c r="BK191" s="3"/>
      <c r="BL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</row>
    <row r="192">
      <c r="C192" s="83"/>
      <c r="BI192" s="3"/>
      <c r="BJ192" s="3"/>
      <c r="BK192" s="3"/>
      <c r="BL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</row>
    <row r="193">
      <c r="C193" s="83"/>
      <c r="BI193" s="3"/>
      <c r="BJ193" s="3"/>
      <c r="BK193" s="3"/>
      <c r="BL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</row>
    <row r="194">
      <c r="C194" s="83"/>
      <c r="BI194" s="3"/>
      <c r="BJ194" s="3"/>
      <c r="BK194" s="3"/>
      <c r="BL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</row>
    <row r="195">
      <c r="C195" s="83"/>
      <c r="BI195" s="3"/>
      <c r="BJ195" s="3"/>
      <c r="BK195" s="3"/>
      <c r="BL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</row>
    <row r="196">
      <c r="C196" s="83"/>
      <c r="BI196" s="3"/>
      <c r="BJ196" s="3"/>
      <c r="BK196" s="3"/>
      <c r="BL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</row>
    <row r="197">
      <c r="C197" s="83"/>
      <c r="BI197" s="3"/>
      <c r="BJ197" s="3"/>
      <c r="BK197" s="3"/>
      <c r="BL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</row>
    <row r="198">
      <c r="C198" s="83"/>
      <c r="BI198" s="3"/>
      <c r="BJ198" s="3"/>
      <c r="BK198" s="3"/>
      <c r="BL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</row>
    <row r="199">
      <c r="C199" s="83"/>
      <c r="BI199" s="3"/>
      <c r="BJ199" s="3"/>
      <c r="BK199" s="3"/>
      <c r="BL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</row>
    <row r="200">
      <c r="C200" s="83"/>
      <c r="BI200" s="3"/>
      <c r="BJ200" s="3"/>
      <c r="BK200" s="3"/>
      <c r="BL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</row>
    <row r="201">
      <c r="C201" s="83"/>
      <c r="BI201" s="3"/>
      <c r="BJ201" s="3"/>
      <c r="BK201" s="3"/>
      <c r="BL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</row>
    <row r="202">
      <c r="C202" s="83"/>
      <c r="BI202" s="3"/>
      <c r="BJ202" s="3"/>
      <c r="BK202" s="3"/>
      <c r="BL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</row>
    <row r="203">
      <c r="C203" s="83"/>
      <c r="BI203" s="3"/>
      <c r="BJ203" s="3"/>
      <c r="BK203" s="3"/>
      <c r="BL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</row>
    <row r="204">
      <c r="C204" s="83"/>
      <c r="BI204" s="3"/>
      <c r="BJ204" s="3"/>
      <c r="BK204" s="3"/>
      <c r="BL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</row>
    <row r="205">
      <c r="C205" s="83"/>
      <c r="BI205" s="3"/>
      <c r="BJ205" s="3"/>
      <c r="BK205" s="3"/>
      <c r="BL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</row>
    <row r="206">
      <c r="C206" s="83"/>
      <c r="BI206" s="3"/>
      <c r="BJ206" s="3"/>
      <c r="BK206" s="3"/>
      <c r="BL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</row>
    <row r="207">
      <c r="C207" s="83"/>
      <c r="BI207" s="3"/>
      <c r="BJ207" s="3"/>
      <c r="BK207" s="3"/>
      <c r="BL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</row>
    <row r="208">
      <c r="C208" s="83"/>
      <c r="BI208" s="3"/>
      <c r="BJ208" s="3"/>
      <c r="BK208" s="3"/>
      <c r="BL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</row>
    <row r="209">
      <c r="C209" s="83"/>
      <c r="BI209" s="3"/>
      <c r="BJ209" s="3"/>
      <c r="BK209" s="3"/>
      <c r="BL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</row>
    <row r="210">
      <c r="C210" s="83"/>
      <c r="BI210" s="3"/>
      <c r="BJ210" s="3"/>
      <c r="BK210" s="3"/>
      <c r="BL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</row>
    <row r="211">
      <c r="C211" s="83"/>
      <c r="BI211" s="3"/>
      <c r="BJ211" s="3"/>
      <c r="BK211" s="3"/>
      <c r="BL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</row>
    <row r="212">
      <c r="C212" s="83"/>
      <c r="BI212" s="3"/>
      <c r="BJ212" s="3"/>
      <c r="BK212" s="3"/>
      <c r="BL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</row>
    <row r="213">
      <c r="C213" s="83"/>
      <c r="BI213" s="3"/>
      <c r="BJ213" s="3"/>
      <c r="BK213" s="3"/>
      <c r="BL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</row>
    <row r="214">
      <c r="C214" s="83"/>
      <c r="BI214" s="3"/>
      <c r="BJ214" s="3"/>
      <c r="BK214" s="3"/>
      <c r="BL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</row>
    <row r="215">
      <c r="C215" s="83"/>
      <c r="BI215" s="3"/>
      <c r="BJ215" s="3"/>
      <c r="BK215" s="3"/>
      <c r="BL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</row>
    <row r="216">
      <c r="C216" s="83"/>
      <c r="BI216" s="3"/>
      <c r="BJ216" s="3"/>
      <c r="BK216" s="3"/>
      <c r="BL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</row>
    <row r="217">
      <c r="C217" s="83"/>
      <c r="BI217" s="3"/>
      <c r="BJ217" s="3"/>
      <c r="BK217" s="3"/>
      <c r="BL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</row>
    <row r="218">
      <c r="C218" s="83"/>
      <c r="BI218" s="3"/>
      <c r="BJ218" s="3"/>
      <c r="BK218" s="3"/>
      <c r="BL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</row>
    <row r="219">
      <c r="C219" s="83"/>
      <c r="BI219" s="3"/>
      <c r="BJ219" s="3"/>
      <c r="BK219" s="3"/>
      <c r="BL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</row>
    <row r="220">
      <c r="C220" s="83"/>
      <c r="BI220" s="3"/>
      <c r="BJ220" s="3"/>
      <c r="BK220" s="3"/>
      <c r="BL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</row>
    <row r="221">
      <c r="C221" s="83"/>
      <c r="BI221" s="3"/>
      <c r="BJ221" s="3"/>
      <c r="BK221" s="3"/>
      <c r="BL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</row>
    <row r="222">
      <c r="C222" s="83"/>
      <c r="BI222" s="3"/>
      <c r="BJ222" s="3"/>
      <c r="BK222" s="3"/>
      <c r="BL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</row>
    <row r="223">
      <c r="C223" s="83"/>
      <c r="BI223" s="3"/>
      <c r="BJ223" s="3"/>
      <c r="BK223" s="3"/>
      <c r="BL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</row>
    <row r="224">
      <c r="C224" s="83"/>
      <c r="BI224" s="3"/>
      <c r="BJ224" s="3"/>
      <c r="BK224" s="3"/>
      <c r="BL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</row>
    <row r="225">
      <c r="C225" s="83"/>
      <c r="BI225" s="3"/>
      <c r="BJ225" s="3"/>
      <c r="BK225" s="3"/>
      <c r="BL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</row>
    <row r="226">
      <c r="C226" s="83"/>
      <c r="BI226" s="3"/>
      <c r="BJ226" s="3"/>
      <c r="BK226" s="3"/>
      <c r="BL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</row>
    <row r="227">
      <c r="C227" s="83"/>
      <c r="BI227" s="3"/>
      <c r="BJ227" s="3"/>
      <c r="BK227" s="3"/>
      <c r="BL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</row>
    <row r="228">
      <c r="C228" s="83"/>
      <c r="BI228" s="3"/>
      <c r="BJ228" s="3"/>
      <c r="BK228" s="3"/>
      <c r="BL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</row>
    <row r="229">
      <c r="C229" s="83"/>
      <c r="BI229" s="3"/>
      <c r="BJ229" s="3"/>
      <c r="BK229" s="3"/>
      <c r="BL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</row>
    <row r="230">
      <c r="C230" s="83"/>
      <c r="BI230" s="3"/>
      <c r="BJ230" s="3"/>
      <c r="BK230" s="3"/>
      <c r="BL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</row>
    <row r="231">
      <c r="C231" s="83"/>
      <c r="BI231" s="3"/>
      <c r="BJ231" s="3"/>
      <c r="BK231" s="3"/>
      <c r="BL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</row>
    <row r="232">
      <c r="C232" s="83"/>
      <c r="BI232" s="3"/>
      <c r="BJ232" s="3"/>
      <c r="BK232" s="3"/>
      <c r="BL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</row>
    <row r="233">
      <c r="C233" s="83"/>
      <c r="BI233" s="3"/>
      <c r="BJ233" s="3"/>
      <c r="BK233" s="3"/>
      <c r="BL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</row>
    <row r="234">
      <c r="C234" s="83"/>
      <c r="BI234" s="3"/>
      <c r="BJ234" s="3"/>
      <c r="BK234" s="3"/>
      <c r="BL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</row>
    <row r="235">
      <c r="C235" s="83"/>
      <c r="BI235" s="3"/>
      <c r="BJ235" s="3"/>
      <c r="BK235" s="3"/>
      <c r="BL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</row>
    <row r="236">
      <c r="C236" s="83"/>
      <c r="BI236" s="3"/>
      <c r="BJ236" s="3"/>
      <c r="BK236" s="3"/>
      <c r="BL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</row>
    <row r="237">
      <c r="C237" s="83"/>
      <c r="BI237" s="3"/>
      <c r="BJ237" s="3"/>
      <c r="BK237" s="3"/>
      <c r="BL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</row>
    <row r="238">
      <c r="C238" s="83"/>
      <c r="BI238" s="3"/>
      <c r="BJ238" s="3"/>
      <c r="BK238" s="3"/>
      <c r="BL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</row>
    <row r="239">
      <c r="C239" s="83"/>
      <c r="BI239" s="3"/>
      <c r="BJ239" s="3"/>
      <c r="BK239" s="3"/>
      <c r="BL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</row>
    <row r="240">
      <c r="C240" s="83"/>
      <c r="BI240" s="3"/>
      <c r="BJ240" s="3"/>
      <c r="BK240" s="3"/>
      <c r="BL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</row>
    <row r="241">
      <c r="C241" s="83"/>
      <c r="BI241" s="3"/>
      <c r="BJ241" s="3"/>
      <c r="BK241" s="3"/>
      <c r="BL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</row>
    <row r="242">
      <c r="C242" s="83"/>
      <c r="BI242" s="3"/>
      <c r="BJ242" s="3"/>
      <c r="BK242" s="3"/>
      <c r="BL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</row>
    <row r="243">
      <c r="C243" s="83"/>
      <c r="BI243" s="3"/>
      <c r="BJ243" s="3"/>
      <c r="BK243" s="3"/>
      <c r="BL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</row>
    <row r="244">
      <c r="C244" s="83"/>
      <c r="BI244" s="3"/>
      <c r="BJ244" s="3"/>
      <c r="BK244" s="3"/>
      <c r="BL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</row>
    <row r="245">
      <c r="C245" s="83"/>
      <c r="BI245" s="3"/>
      <c r="BJ245" s="3"/>
      <c r="BK245" s="3"/>
      <c r="BL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</row>
    <row r="246">
      <c r="C246" s="83"/>
      <c r="BI246" s="3"/>
      <c r="BJ246" s="3"/>
      <c r="BK246" s="3"/>
      <c r="BL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</row>
    <row r="247">
      <c r="C247" s="83"/>
      <c r="BI247" s="3"/>
      <c r="BJ247" s="3"/>
      <c r="BK247" s="3"/>
      <c r="BL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</row>
    <row r="248">
      <c r="C248" s="83"/>
      <c r="BI248" s="3"/>
      <c r="BJ248" s="3"/>
      <c r="BK248" s="3"/>
      <c r="BL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</row>
    <row r="249">
      <c r="C249" s="83"/>
      <c r="BI249" s="3"/>
      <c r="BJ249" s="3"/>
      <c r="BK249" s="3"/>
      <c r="BL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</row>
    <row r="250">
      <c r="C250" s="83"/>
      <c r="BI250" s="3"/>
      <c r="BJ250" s="3"/>
      <c r="BK250" s="3"/>
      <c r="BL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</row>
    <row r="251">
      <c r="C251" s="83"/>
      <c r="BI251" s="3"/>
      <c r="BJ251" s="3"/>
      <c r="BK251" s="3"/>
      <c r="BL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</row>
    <row r="252">
      <c r="C252" s="83"/>
      <c r="BI252" s="3"/>
      <c r="BJ252" s="3"/>
      <c r="BK252" s="3"/>
      <c r="BL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</row>
    <row r="253">
      <c r="C253" s="83"/>
      <c r="BI253" s="3"/>
      <c r="BJ253" s="3"/>
      <c r="BK253" s="3"/>
      <c r="BL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</row>
    <row r="254">
      <c r="C254" s="83"/>
      <c r="BI254" s="3"/>
      <c r="BJ254" s="3"/>
      <c r="BK254" s="3"/>
      <c r="BL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</row>
    <row r="255">
      <c r="C255" s="83"/>
      <c r="BI255" s="3"/>
      <c r="BJ255" s="3"/>
      <c r="BK255" s="3"/>
      <c r="BL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</row>
    <row r="256">
      <c r="C256" s="83"/>
      <c r="BI256" s="3"/>
      <c r="BJ256" s="3"/>
      <c r="BK256" s="3"/>
      <c r="BL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</row>
    <row r="257">
      <c r="C257" s="83"/>
      <c r="BI257" s="3"/>
      <c r="BJ257" s="3"/>
      <c r="BK257" s="3"/>
      <c r="BL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</row>
    <row r="258">
      <c r="C258" s="83"/>
      <c r="BI258" s="3"/>
      <c r="BJ258" s="3"/>
      <c r="BK258" s="3"/>
      <c r="BL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</row>
    <row r="259">
      <c r="C259" s="83"/>
      <c r="BI259" s="3"/>
      <c r="BJ259" s="3"/>
      <c r="BK259" s="3"/>
      <c r="BL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</row>
    <row r="260">
      <c r="C260" s="83"/>
      <c r="BI260" s="3"/>
      <c r="BJ260" s="3"/>
      <c r="BK260" s="3"/>
      <c r="BL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</row>
    <row r="261">
      <c r="C261" s="83"/>
      <c r="BI261" s="3"/>
      <c r="BJ261" s="3"/>
      <c r="BK261" s="3"/>
      <c r="BL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</row>
    <row r="262">
      <c r="C262" s="83"/>
      <c r="BI262" s="3"/>
      <c r="BJ262" s="3"/>
      <c r="BK262" s="3"/>
      <c r="BL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</row>
    <row r="263">
      <c r="C263" s="83"/>
      <c r="BI263" s="3"/>
      <c r="BJ263" s="3"/>
      <c r="BK263" s="3"/>
      <c r="BL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</row>
    <row r="264">
      <c r="C264" s="83"/>
      <c r="BI264" s="3"/>
      <c r="BJ264" s="3"/>
      <c r="BK264" s="3"/>
      <c r="BL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</row>
    <row r="265">
      <c r="C265" s="83"/>
      <c r="BI265" s="3"/>
      <c r="BJ265" s="3"/>
      <c r="BK265" s="3"/>
      <c r="BL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</row>
    <row r="266">
      <c r="C266" s="83"/>
      <c r="BI266" s="3"/>
      <c r="BJ266" s="3"/>
      <c r="BK266" s="3"/>
      <c r="BL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</row>
    <row r="267">
      <c r="C267" s="83"/>
      <c r="BI267" s="3"/>
      <c r="BJ267" s="3"/>
      <c r="BK267" s="3"/>
      <c r="BL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</row>
    <row r="268">
      <c r="C268" s="83"/>
      <c r="BI268" s="3"/>
      <c r="BJ268" s="3"/>
      <c r="BK268" s="3"/>
      <c r="BL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</row>
    <row r="269">
      <c r="C269" s="83"/>
      <c r="BI269" s="3"/>
      <c r="BJ269" s="3"/>
      <c r="BK269" s="3"/>
      <c r="BL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</row>
    <row r="270">
      <c r="C270" s="83"/>
      <c r="BI270" s="3"/>
      <c r="BJ270" s="3"/>
      <c r="BK270" s="3"/>
      <c r="BL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</row>
    <row r="271">
      <c r="C271" s="83"/>
      <c r="BI271" s="3"/>
      <c r="BJ271" s="3"/>
      <c r="BK271" s="3"/>
      <c r="BL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</row>
    <row r="272">
      <c r="C272" s="83"/>
      <c r="BI272" s="3"/>
      <c r="BJ272" s="3"/>
      <c r="BK272" s="3"/>
      <c r="BL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</row>
    <row r="273">
      <c r="C273" s="83"/>
      <c r="BI273" s="3"/>
      <c r="BJ273" s="3"/>
      <c r="BK273" s="3"/>
      <c r="BL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</row>
    <row r="274">
      <c r="C274" s="83"/>
      <c r="BI274" s="3"/>
      <c r="BJ274" s="3"/>
      <c r="BK274" s="3"/>
      <c r="BL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</row>
    <row r="275">
      <c r="C275" s="83"/>
      <c r="BI275" s="3"/>
      <c r="BJ275" s="3"/>
      <c r="BK275" s="3"/>
      <c r="BL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</row>
    <row r="276">
      <c r="C276" s="83"/>
      <c r="BI276" s="3"/>
      <c r="BJ276" s="3"/>
      <c r="BK276" s="3"/>
      <c r="BL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</row>
    <row r="277">
      <c r="C277" s="83"/>
      <c r="BI277" s="3"/>
      <c r="BJ277" s="3"/>
      <c r="BK277" s="3"/>
      <c r="BL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</row>
    <row r="278">
      <c r="C278" s="83"/>
      <c r="BI278" s="3"/>
      <c r="BJ278" s="3"/>
      <c r="BK278" s="3"/>
      <c r="BL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</row>
    <row r="279">
      <c r="C279" s="83"/>
      <c r="BI279" s="3"/>
      <c r="BJ279" s="3"/>
      <c r="BK279" s="3"/>
      <c r="BL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</row>
    <row r="280">
      <c r="C280" s="83"/>
      <c r="BI280" s="3"/>
      <c r="BJ280" s="3"/>
      <c r="BK280" s="3"/>
      <c r="BL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</row>
    <row r="281">
      <c r="C281" s="83"/>
      <c r="BI281" s="3"/>
      <c r="BJ281" s="3"/>
      <c r="BK281" s="3"/>
      <c r="BL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</row>
    <row r="282">
      <c r="C282" s="83"/>
      <c r="BI282" s="3"/>
      <c r="BJ282" s="3"/>
      <c r="BK282" s="3"/>
      <c r="BL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</row>
    <row r="283">
      <c r="C283" s="83"/>
      <c r="BI283" s="3"/>
      <c r="BJ283" s="3"/>
      <c r="BK283" s="3"/>
      <c r="BL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</row>
    <row r="284">
      <c r="C284" s="83"/>
      <c r="BI284" s="3"/>
      <c r="BJ284" s="3"/>
      <c r="BK284" s="3"/>
      <c r="BL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</row>
    <row r="285">
      <c r="C285" s="83"/>
      <c r="BI285" s="3"/>
      <c r="BJ285" s="3"/>
      <c r="BK285" s="3"/>
      <c r="BL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</row>
    <row r="286">
      <c r="C286" s="83"/>
      <c r="BI286" s="3"/>
      <c r="BJ286" s="3"/>
      <c r="BK286" s="3"/>
      <c r="BL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</row>
    <row r="287">
      <c r="C287" s="83"/>
      <c r="BI287" s="3"/>
      <c r="BJ287" s="3"/>
      <c r="BK287" s="3"/>
      <c r="BL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</row>
    <row r="288">
      <c r="C288" s="83"/>
      <c r="BI288" s="3"/>
      <c r="BJ288" s="3"/>
      <c r="BK288" s="3"/>
      <c r="BL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</row>
    <row r="289">
      <c r="C289" s="83"/>
      <c r="BI289" s="3"/>
      <c r="BJ289" s="3"/>
      <c r="BK289" s="3"/>
      <c r="BL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</row>
    <row r="290">
      <c r="C290" s="83"/>
      <c r="BI290" s="3"/>
      <c r="BJ290" s="3"/>
      <c r="BK290" s="3"/>
      <c r="BL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</row>
    <row r="291">
      <c r="C291" s="83"/>
      <c r="BI291" s="3"/>
      <c r="BJ291" s="3"/>
      <c r="BK291" s="3"/>
      <c r="BL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</row>
    <row r="292">
      <c r="C292" s="83"/>
      <c r="BI292" s="3"/>
      <c r="BJ292" s="3"/>
      <c r="BK292" s="3"/>
      <c r="BL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</row>
    <row r="293">
      <c r="C293" s="83"/>
      <c r="BI293" s="3"/>
      <c r="BJ293" s="3"/>
      <c r="BK293" s="3"/>
      <c r="BL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</row>
    <row r="294">
      <c r="C294" s="83"/>
      <c r="BI294" s="3"/>
      <c r="BJ294" s="3"/>
      <c r="BK294" s="3"/>
      <c r="BL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</row>
    <row r="295">
      <c r="C295" s="83"/>
      <c r="BI295" s="3"/>
      <c r="BJ295" s="3"/>
      <c r="BK295" s="3"/>
      <c r="BL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</row>
    <row r="296">
      <c r="C296" s="83"/>
      <c r="BI296" s="3"/>
      <c r="BJ296" s="3"/>
      <c r="BK296" s="3"/>
      <c r="BL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</row>
    <row r="297">
      <c r="C297" s="83"/>
      <c r="BI297" s="3"/>
      <c r="BJ297" s="3"/>
      <c r="BK297" s="3"/>
      <c r="BL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</row>
    <row r="298">
      <c r="C298" s="83"/>
      <c r="BI298" s="3"/>
      <c r="BJ298" s="3"/>
      <c r="BK298" s="3"/>
      <c r="BL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</row>
    <row r="299">
      <c r="C299" s="83"/>
      <c r="BI299" s="3"/>
      <c r="BJ299" s="3"/>
      <c r="BK299" s="3"/>
      <c r="BL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</row>
    <row r="300">
      <c r="C300" s="83"/>
      <c r="BI300" s="3"/>
      <c r="BJ300" s="3"/>
      <c r="BK300" s="3"/>
      <c r="BL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</row>
    <row r="301">
      <c r="C301" s="83"/>
      <c r="BI301" s="3"/>
      <c r="BJ301" s="3"/>
      <c r="BK301" s="3"/>
      <c r="BL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</row>
    <row r="302">
      <c r="C302" s="83"/>
      <c r="BI302" s="3"/>
      <c r="BJ302" s="3"/>
      <c r="BK302" s="3"/>
      <c r="BL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</row>
    <row r="303">
      <c r="C303" s="83"/>
      <c r="BI303" s="3"/>
      <c r="BJ303" s="3"/>
      <c r="BK303" s="3"/>
      <c r="BL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</row>
    <row r="304">
      <c r="C304" s="83"/>
      <c r="BI304" s="3"/>
      <c r="BJ304" s="3"/>
      <c r="BK304" s="3"/>
      <c r="BL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</row>
    <row r="305">
      <c r="C305" s="83"/>
      <c r="BI305" s="3"/>
      <c r="BJ305" s="3"/>
      <c r="BK305" s="3"/>
      <c r="BL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</row>
    <row r="306">
      <c r="C306" s="83"/>
      <c r="BI306" s="3"/>
      <c r="BJ306" s="3"/>
      <c r="BK306" s="3"/>
      <c r="BL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</row>
    <row r="307">
      <c r="C307" s="83"/>
      <c r="BI307" s="3"/>
      <c r="BJ307" s="3"/>
      <c r="BK307" s="3"/>
      <c r="BL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</row>
    <row r="308">
      <c r="C308" s="83"/>
      <c r="BI308" s="3"/>
      <c r="BJ308" s="3"/>
      <c r="BK308" s="3"/>
      <c r="BL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</row>
    <row r="309">
      <c r="C309" s="83"/>
      <c r="BI309" s="3"/>
      <c r="BJ309" s="3"/>
      <c r="BK309" s="3"/>
      <c r="BL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</row>
    <row r="310">
      <c r="C310" s="83"/>
      <c r="BI310" s="3"/>
      <c r="BJ310" s="3"/>
      <c r="BK310" s="3"/>
      <c r="BL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</row>
    <row r="311">
      <c r="C311" s="83"/>
      <c r="BI311" s="3"/>
      <c r="BJ311" s="3"/>
      <c r="BK311" s="3"/>
      <c r="BL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</row>
    <row r="312">
      <c r="C312" s="83"/>
      <c r="BI312" s="3"/>
      <c r="BJ312" s="3"/>
      <c r="BK312" s="3"/>
      <c r="BL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</row>
    <row r="313">
      <c r="C313" s="83"/>
      <c r="BI313" s="3"/>
      <c r="BJ313" s="3"/>
      <c r="BK313" s="3"/>
      <c r="BL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</row>
    <row r="314">
      <c r="C314" s="83"/>
      <c r="BI314" s="3"/>
      <c r="BJ314" s="3"/>
      <c r="BK314" s="3"/>
      <c r="BL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</row>
    <row r="315">
      <c r="C315" s="83"/>
      <c r="BI315" s="3"/>
      <c r="BJ315" s="3"/>
      <c r="BK315" s="3"/>
      <c r="BL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</row>
    <row r="316">
      <c r="C316" s="83"/>
      <c r="BI316" s="3"/>
      <c r="BJ316" s="3"/>
      <c r="BK316" s="3"/>
      <c r="BL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</row>
    <row r="317">
      <c r="C317" s="83"/>
      <c r="BI317" s="3"/>
      <c r="BJ317" s="3"/>
      <c r="BK317" s="3"/>
      <c r="BL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</row>
    <row r="318">
      <c r="C318" s="83"/>
      <c r="BI318" s="3"/>
      <c r="BJ318" s="3"/>
      <c r="BK318" s="3"/>
      <c r="BL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</row>
    <row r="319">
      <c r="C319" s="83"/>
      <c r="BI319" s="3"/>
      <c r="BJ319" s="3"/>
      <c r="BK319" s="3"/>
      <c r="BL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</row>
    <row r="320">
      <c r="C320" s="83"/>
      <c r="BI320" s="3"/>
      <c r="BJ320" s="3"/>
      <c r="BK320" s="3"/>
      <c r="BL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</row>
    <row r="321">
      <c r="C321" s="83"/>
      <c r="BI321" s="3"/>
      <c r="BJ321" s="3"/>
      <c r="BK321" s="3"/>
      <c r="BL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</row>
    <row r="322">
      <c r="C322" s="83"/>
      <c r="BI322" s="3"/>
      <c r="BJ322" s="3"/>
      <c r="BK322" s="3"/>
      <c r="BL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</row>
    <row r="323">
      <c r="C323" s="83"/>
      <c r="BI323" s="3"/>
      <c r="BJ323" s="3"/>
      <c r="BK323" s="3"/>
      <c r="BL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</row>
    <row r="324">
      <c r="C324" s="83"/>
      <c r="BI324" s="3"/>
      <c r="BJ324" s="3"/>
      <c r="BK324" s="3"/>
      <c r="BL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</row>
    <row r="325">
      <c r="C325" s="83"/>
      <c r="BI325" s="3"/>
      <c r="BJ325" s="3"/>
      <c r="BK325" s="3"/>
      <c r="BL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</row>
    <row r="326">
      <c r="C326" s="83"/>
      <c r="BI326" s="3"/>
      <c r="BJ326" s="3"/>
      <c r="BK326" s="3"/>
      <c r="BL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</row>
    <row r="327">
      <c r="C327" s="83"/>
      <c r="BI327" s="3"/>
      <c r="BJ327" s="3"/>
      <c r="BK327" s="3"/>
      <c r="BL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</row>
    <row r="328">
      <c r="C328" s="83"/>
      <c r="BI328" s="3"/>
      <c r="BJ328" s="3"/>
      <c r="BK328" s="3"/>
      <c r="BL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</row>
    <row r="329">
      <c r="C329" s="83"/>
      <c r="BI329" s="3"/>
      <c r="BJ329" s="3"/>
      <c r="BK329" s="3"/>
      <c r="BL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</row>
    <row r="330">
      <c r="C330" s="83"/>
      <c r="BI330" s="3"/>
      <c r="BJ330" s="3"/>
      <c r="BK330" s="3"/>
      <c r="BL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</row>
    <row r="331">
      <c r="C331" s="83"/>
      <c r="BI331" s="3"/>
      <c r="BJ331" s="3"/>
      <c r="BK331" s="3"/>
      <c r="BL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</row>
    <row r="332">
      <c r="C332" s="83"/>
      <c r="BI332" s="3"/>
      <c r="BJ332" s="3"/>
      <c r="BK332" s="3"/>
      <c r="BL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</row>
    <row r="333">
      <c r="C333" s="83"/>
      <c r="BI333" s="3"/>
      <c r="BJ333" s="3"/>
      <c r="BK333" s="3"/>
      <c r="BL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</row>
    <row r="334">
      <c r="C334" s="83"/>
      <c r="BI334" s="3"/>
      <c r="BJ334" s="3"/>
      <c r="BK334" s="3"/>
      <c r="BL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</row>
    <row r="335">
      <c r="C335" s="83"/>
      <c r="BI335" s="3"/>
      <c r="BJ335" s="3"/>
      <c r="BK335" s="3"/>
      <c r="BL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</row>
    <row r="336">
      <c r="C336" s="83"/>
      <c r="BI336" s="3"/>
      <c r="BJ336" s="3"/>
      <c r="BK336" s="3"/>
      <c r="BL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</row>
    <row r="337">
      <c r="C337" s="83"/>
      <c r="BI337" s="3"/>
      <c r="BJ337" s="3"/>
      <c r="BK337" s="3"/>
      <c r="BL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</row>
    <row r="338">
      <c r="C338" s="83"/>
      <c r="BI338" s="3"/>
      <c r="BJ338" s="3"/>
      <c r="BK338" s="3"/>
      <c r="BL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</row>
    <row r="339">
      <c r="C339" s="83"/>
      <c r="BI339" s="3"/>
      <c r="BJ339" s="3"/>
      <c r="BK339" s="3"/>
      <c r="BL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</row>
    <row r="340">
      <c r="C340" s="83"/>
      <c r="BI340" s="3"/>
      <c r="BJ340" s="3"/>
      <c r="BK340" s="3"/>
      <c r="BL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</row>
    <row r="341">
      <c r="C341" s="83"/>
      <c r="BI341" s="3"/>
      <c r="BJ341" s="3"/>
      <c r="BK341" s="3"/>
      <c r="BL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</row>
    <row r="342">
      <c r="C342" s="83"/>
      <c r="BI342" s="3"/>
      <c r="BJ342" s="3"/>
      <c r="BK342" s="3"/>
      <c r="BL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</row>
    <row r="343">
      <c r="C343" s="83"/>
      <c r="BI343" s="3"/>
      <c r="BJ343" s="3"/>
      <c r="BK343" s="3"/>
      <c r="BL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</row>
    <row r="344">
      <c r="C344" s="83"/>
      <c r="BI344" s="3"/>
      <c r="BJ344" s="3"/>
      <c r="BK344" s="3"/>
      <c r="BL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</row>
    <row r="345">
      <c r="C345" s="83"/>
      <c r="BI345" s="3"/>
      <c r="BJ345" s="3"/>
      <c r="BK345" s="3"/>
      <c r="BL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</row>
    <row r="346">
      <c r="C346" s="83"/>
      <c r="BI346" s="3"/>
      <c r="BJ346" s="3"/>
      <c r="BK346" s="3"/>
      <c r="BL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</row>
    <row r="347">
      <c r="C347" s="83"/>
      <c r="BI347" s="3"/>
      <c r="BJ347" s="3"/>
      <c r="BK347" s="3"/>
      <c r="BL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</row>
    <row r="348">
      <c r="C348" s="83"/>
      <c r="BI348" s="3"/>
      <c r="BJ348" s="3"/>
      <c r="BK348" s="3"/>
      <c r="BL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</row>
    <row r="349">
      <c r="C349" s="83"/>
      <c r="BI349" s="3"/>
      <c r="BJ349" s="3"/>
      <c r="BK349" s="3"/>
      <c r="BL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</row>
    <row r="350">
      <c r="C350" s="83"/>
      <c r="BI350" s="3"/>
      <c r="BJ350" s="3"/>
      <c r="BK350" s="3"/>
      <c r="BL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</row>
    <row r="351">
      <c r="C351" s="83"/>
      <c r="BI351" s="3"/>
      <c r="BJ351" s="3"/>
      <c r="BK351" s="3"/>
      <c r="BL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</row>
    <row r="352">
      <c r="C352" s="83"/>
      <c r="BI352" s="3"/>
      <c r="BJ352" s="3"/>
      <c r="BK352" s="3"/>
      <c r="BL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</row>
    <row r="353">
      <c r="C353" s="83"/>
      <c r="BI353" s="3"/>
      <c r="BJ353" s="3"/>
      <c r="BK353" s="3"/>
      <c r="BL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</row>
    <row r="354">
      <c r="C354" s="83"/>
      <c r="BI354" s="3"/>
      <c r="BJ354" s="3"/>
      <c r="BK354" s="3"/>
      <c r="BL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</row>
    <row r="355">
      <c r="C355" s="83"/>
      <c r="BI355" s="3"/>
      <c r="BJ355" s="3"/>
      <c r="BK355" s="3"/>
      <c r="BL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</row>
    <row r="356">
      <c r="C356" s="83"/>
      <c r="BI356" s="3"/>
      <c r="BJ356" s="3"/>
      <c r="BK356" s="3"/>
      <c r="BL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</row>
    <row r="357">
      <c r="C357" s="83"/>
      <c r="BI357" s="3"/>
      <c r="BJ357" s="3"/>
      <c r="BK357" s="3"/>
      <c r="BL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</row>
    <row r="358">
      <c r="C358" s="83"/>
      <c r="BI358" s="3"/>
      <c r="BJ358" s="3"/>
      <c r="BK358" s="3"/>
      <c r="BL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</row>
    <row r="359">
      <c r="C359" s="83"/>
      <c r="BI359" s="3"/>
      <c r="BJ359" s="3"/>
      <c r="BK359" s="3"/>
      <c r="BL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</row>
    <row r="360">
      <c r="C360" s="83"/>
      <c r="BI360" s="3"/>
      <c r="BJ360" s="3"/>
      <c r="BK360" s="3"/>
      <c r="BL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</row>
    <row r="361">
      <c r="C361" s="83"/>
      <c r="BI361" s="3"/>
      <c r="BJ361" s="3"/>
      <c r="BK361" s="3"/>
      <c r="BL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</row>
    <row r="362">
      <c r="C362" s="83"/>
      <c r="BI362" s="3"/>
      <c r="BJ362" s="3"/>
      <c r="BK362" s="3"/>
      <c r="BL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</row>
    <row r="363">
      <c r="C363" s="83"/>
      <c r="BI363" s="3"/>
      <c r="BJ363" s="3"/>
      <c r="BK363" s="3"/>
      <c r="BL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</row>
    <row r="364">
      <c r="C364" s="83"/>
      <c r="BI364" s="3"/>
      <c r="BJ364" s="3"/>
      <c r="BK364" s="3"/>
      <c r="BL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</row>
    <row r="365">
      <c r="C365" s="83"/>
      <c r="BI365" s="3"/>
      <c r="BJ365" s="3"/>
      <c r="BK365" s="3"/>
      <c r="BL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</row>
    <row r="366">
      <c r="C366" s="83"/>
      <c r="BI366" s="3"/>
      <c r="BJ366" s="3"/>
      <c r="BK366" s="3"/>
      <c r="BL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</row>
    <row r="367">
      <c r="C367" s="83"/>
      <c r="BI367" s="3"/>
      <c r="BJ367" s="3"/>
      <c r="BK367" s="3"/>
      <c r="BL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</row>
    <row r="368">
      <c r="C368" s="83"/>
      <c r="BI368" s="3"/>
      <c r="BJ368" s="3"/>
      <c r="BK368" s="3"/>
      <c r="BL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</row>
    <row r="369">
      <c r="C369" s="83"/>
      <c r="BI369" s="3"/>
      <c r="BJ369" s="3"/>
      <c r="BK369" s="3"/>
      <c r="BL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</row>
    <row r="370">
      <c r="C370" s="83"/>
      <c r="BI370" s="3"/>
      <c r="BJ370" s="3"/>
      <c r="BK370" s="3"/>
      <c r="BL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</row>
    <row r="371">
      <c r="C371" s="83"/>
      <c r="BI371" s="3"/>
      <c r="BJ371" s="3"/>
      <c r="BK371" s="3"/>
      <c r="BL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</row>
    <row r="372">
      <c r="C372" s="83"/>
      <c r="BI372" s="3"/>
      <c r="BJ372" s="3"/>
      <c r="BK372" s="3"/>
      <c r="BL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</row>
    <row r="373">
      <c r="C373" s="83"/>
      <c r="BI373" s="3"/>
      <c r="BJ373" s="3"/>
      <c r="BK373" s="3"/>
      <c r="BL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</row>
    <row r="374">
      <c r="C374" s="83"/>
      <c r="BI374" s="3"/>
      <c r="BJ374" s="3"/>
      <c r="BK374" s="3"/>
      <c r="BL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</row>
    <row r="375">
      <c r="C375" s="83"/>
      <c r="BI375" s="3"/>
      <c r="BJ375" s="3"/>
      <c r="BK375" s="3"/>
      <c r="BL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</row>
    <row r="376">
      <c r="C376" s="83"/>
      <c r="BI376" s="3"/>
      <c r="BJ376" s="3"/>
      <c r="BK376" s="3"/>
      <c r="BL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</row>
    <row r="377">
      <c r="C377" s="83"/>
      <c r="BI377" s="3"/>
      <c r="BJ377" s="3"/>
      <c r="BK377" s="3"/>
      <c r="BL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</row>
    <row r="378">
      <c r="C378" s="83"/>
      <c r="BI378" s="3"/>
      <c r="BJ378" s="3"/>
      <c r="BK378" s="3"/>
      <c r="BL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</row>
    <row r="379">
      <c r="C379" s="83"/>
      <c r="BI379" s="3"/>
      <c r="BJ379" s="3"/>
      <c r="BK379" s="3"/>
      <c r="BL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</row>
    <row r="380">
      <c r="C380" s="83"/>
      <c r="BI380" s="3"/>
      <c r="BJ380" s="3"/>
      <c r="BK380" s="3"/>
      <c r="BL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</row>
    <row r="381">
      <c r="C381" s="83"/>
      <c r="BI381" s="3"/>
      <c r="BJ381" s="3"/>
      <c r="BK381" s="3"/>
      <c r="BL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</row>
    <row r="382">
      <c r="C382" s="83"/>
      <c r="BI382" s="3"/>
      <c r="BJ382" s="3"/>
      <c r="BK382" s="3"/>
      <c r="BL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</row>
    <row r="383">
      <c r="C383" s="83"/>
      <c r="BI383" s="3"/>
      <c r="BJ383" s="3"/>
      <c r="BK383" s="3"/>
      <c r="BL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</row>
    <row r="384">
      <c r="C384" s="83"/>
      <c r="BI384" s="3"/>
      <c r="BJ384" s="3"/>
      <c r="BK384" s="3"/>
      <c r="BL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</row>
    <row r="385">
      <c r="C385" s="83"/>
      <c r="BI385" s="3"/>
      <c r="BJ385" s="3"/>
      <c r="BK385" s="3"/>
      <c r="BL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</row>
    <row r="386">
      <c r="C386" s="83"/>
      <c r="BI386" s="3"/>
      <c r="BJ386" s="3"/>
      <c r="BK386" s="3"/>
      <c r="BL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</row>
    <row r="387">
      <c r="C387" s="83"/>
      <c r="BI387" s="3"/>
      <c r="BJ387" s="3"/>
      <c r="BK387" s="3"/>
      <c r="BL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</row>
    <row r="388">
      <c r="C388" s="83"/>
      <c r="BI388" s="3"/>
      <c r="BJ388" s="3"/>
      <c r="BK388" s="3"/>
      <c r="BL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</row>
    <row r="389">
      <c r="C389" s="83"/>
      <c r="BI389" s="3"/>
      <c r="BJ389" s="3"/>
      <c r="BK389" s="3"/>
      <c r="BL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</row>
    <row r="390">
      <c r="C390" s="83"/>
      <c r="BI390" s="3"/>
      <c r="BJ390" s="3"/>
      <c r="BK390" s="3"/>
      <c r="BL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</row>
    <row r="391">
      <c r="C391" s="83"/>
      <c r="BI391" s="3"/>
      <c r="BJ391" s="3"/>
      <c r="BK391" s="3"/>
      <c r="BL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</row>
    <row r="392">
      <c r="C392" s="83"/>
      <c r="BI392" s="3"/>
      <c r="BJ392" s="3"/>
      <c r="BK392" s="3"/>
      <c r="BL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</row>
    <row r="393">
      <c r="C393" s="83"/>
      <c r="BI393" s="3"/>
      <c r="BJ393" s="3"/>
      <c r="BK393" s="3"/>
      <c r="BL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</row>
    <row r="394">
      <c r="C394" s="83"/>
      <c r="BI394" s="3"/>
      <c r="BJ394" s="3"/>
      <c r="BK394" s="3"/>
      <c r="BL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</row>
    <row r="395">
      <c r="C395" s="83"/>
      <c r="BI395" s="3"/>
      <c r="BJ395" s="3"/>
      <c r="BK395" s="3"/>
      <c r="BL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</row>
    <row r="396">
      <c r="C396" s="83"/>
      <c r="BI396" s="3"/>
      <c r="BJ396" s="3"/>
      <c r="BK396" s="3"/>
      <c r="BL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</row>
    <row r="397">
      <c r="C397" s="83"/>
      <c r="BI397" s="3"/>
      <c r="BJ397" s="3"/>
      <c r="BK397" s="3"/>
      <c r="BL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</row>
    <row r="398">
      <c r="C398" s="83"/>
      <c r="BI398" s="3"/>
      <c r="BJ398" s="3"/>
      <c r="BK398" s="3"/>
      <c r="BL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</row>
    <row r="399">
      <c r="C399" s="83"/>
      <c r="BI399" s="3"/>
      <c r="BJ399" s="3"/>
      <c r="BK399" s="3"/>
      <c r="BL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</row>
    <row r="400">
      <c r="C400" s="83"/>
      <c r="BI400" s="3"/>
      <c r="BJ400" s="3"/>
      <c r="BK400" s="3"/>
      <c r="BL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</row>
    <row r="401">
      <c r="C401" s="83"/>
      <c r="BI401" s="3"/>
      <c r="BJ401" s="3"/>
      <c r="BK401" s="3"/>
      <c r="BL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</row>
    <row r="402">
      <c r="C402" s="83"/>
      <c r="BI402" s="3"/>
      <c r="BJ402" s="3"/>
      <c r="BK402" s="3"/>
      <c r="BL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</row>
    <row r="403">
      <c r="C403" s="83"/>
      <c r="BI403" s="3"/>
      <c r="BJ403" s="3"/>
      <c r="BK403" s="3"/>
      <c r="BL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</row>
    <row r="404">
      <c r="C404" s="83"/>
      <c r="BI404" s="3"/>
      <c r="BJ404" s="3"/>
      <c r="BK404" s="3"/>
      <c r="BL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</row>
    <row r="405">
      <c r="C405" s="83"/>
      <c r="BI405" s="3"/>
      <c r="BJ405" s="3"/>
      <c r="BK405" s="3"/>
      <c r="BL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</row>
    <row r="406">
      <c r="C406" s="83"/>
      <c r="BI406" s="3"/>
      <c r="BJ406" s="3"/>
      <c r="BK406" s="3"/>
      <c r="BL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</row>
    <row r="407">
      <c r="C407" s="83"/>
      <c r="BI407" s="3"/>
      <c r="BJ407" s="3"/>
      <c r="BK407" s="3"/>
      <c r="BL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</row>
    <row r="408">
      <c r="C408" s="83"/>
      <c r="BI408" s="3"/>
      <c r="BJ408" s="3"/>
      <c r="BK408" s="3"/>
      <c r="BL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</row>
    <row r="409">
      <c r="C409" s="83"/>
      <c r="BI409" s="3"/>
      <c r="BJ409" s="3"/>
      <c r="BK409" s="3"/>
      <c r="BL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</row>
    <row r="410">
      <c r="C410" s="83"/>
      <c r="BI410" s="3"/>
      <c r="BJ410" s="3"/>
      <c r="BK410" s="3"/>
      <c r="BL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</row>
    <row r="411">
      <c r="C411" s="83"/>
      <c r="BI411" s="3"/>
      <c r="BJ411" s="3"/>
      <c r="BK411" s="3"/>
      <c r="BL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</row>
    <row r="412">
      <c r="C412" s="83"/>
      <c r="BI412" s="3"/>
      <c r="BJ412" s="3"/>
      <c r="BK412" s="3"/>
      <c r="BL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</row>
    <row r="413">
      <c r="C413" s="83"/>
      <c r="BI413" s="3"/>
      <c r="BJ413" s="3"/>
      <c r="BK413" s="3"/>
      <c r="BL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</row>
    <row r="414">
      <c r="C414" s="83"/>
      <c r="BI414" s="3"/>
      <c r="BJ414" s="3"/>
      <c r="BK414" s="3"/>
      <c r="BL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</row>
    <row r="415">
      <c r="C415" s="83"/>
      <c r="BI415" s="3"/>
      <c r="BJ415" s="3"/>
      <c r="BK415" s="3"/>
      <c r="BL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</row>
    <row r="416">
      <c r="C416" s="83"/>
      <c r="BI416" s="3"/>
      <c r="BJ416" s="3"/>
      <c r="BK416" s="3"/>
      <c r="BL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</row>
    <row r="417">
      <c r="C417" s="83"/>
      <c r="BI417" s="3"/>
      <c r="BJ417" s="3"/>
      <c r="BK417" s="3"/>
      <c r="BL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</row>
    <row r="418">
      <c r="C418" s="83"/>
      <c r="BI418" s="3"/>
      <c r="BJ418" s="3"/>
      <c r="BK418" s="3"/>
      <c r="BL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</row>
    <row r="419">
      <c r="C419" s="83"/>
      <c r="BI419" s="3"/>
      <c r="BJ419" s="3"/>
      <c r="BK419" s="3"/>
      <c r="BL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</row>
    <row r="420">
      <c r="C420" s="83"/>
      <c r="BI420" s="3"/>
      <c r="BJ420" s="3"/>
      <c r="BK420" s="3"/>
      <c r="BL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</row>
    <row r="421">
      <c r="C421" s="83"/>
      <c r="BI421" s="3"/>
      <c r="BJ421" s="3"/>
      <c r="BK421" s="3"/>
      <c r="BL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</row>
    <row r="422">
      <c r="C422" s="83"/>
      <c r="BI422" s="3"/>
      <c r="BJ422" s="3"/>
      <c r="BK422" s="3"/>
      <c r="BL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</row>
    <row r="423">
      <c r="C423" s="83"/>
      <c r="BI423" s="3"/>
      <c r="BJ423" s="3"/>
      <c r="BK423" s="3"/>
      <c r="BL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</row>
    <row r="424">
      <c r="C424" s="83"/>
      <c r="BI424" s="3"/>
      <c r="BJ424" s="3"/>
      <c r="BK424" s="3"/>
      <c r="BL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</row>
    <row r="425">
      <c r="C425" s="83"/>
      <c r="BI425" s="3"/>
      <c r="BJ425" s="3"/>
      <c r="BK425" s="3"/>
      <c r="BL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</row>
    <row r="426">
      <c r="C426" s="83"/>
      <c r="BI426" s="3"/>
      <c r="BJ426" s="3"/>
      <c r="BK426" s="3"/>
      <c r="BL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</row>
    <row r="427">
      <c r="C427" s="83"/>
      <c r="BI427" s="3"/>
      <c r="BJ427" s="3"/>
      <c r="BK427" s="3"/>
      <c r="BL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</row>
    <row r="428">
      <c r="C428" s="83"/>
      <c r="BI428" s="3"/>
      <c r="BJ428" s="3"/>
      <c r="BK428" s="3"/>
      <c r="BL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</row>
    <row r="429">
      <c r="C429" s="83"/>
      <c r="BI429" s="3"/>
      <c r="BJ429" s="3"/>
      <c r="BK429" s="3"/>
      <c r="BL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</row>
    <row r="430">
      <c r="C430" s="83"/>
      <c r="BI430" s="3"/>
      <c r="BJ430" s="3"/>
      <c r="BK430" s="3"/>
      <c r="BL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</row>
    <row r="431">
      <c r="C431" s="83"/>
      <c r="BI431" s="3"/>
      <c r="BJ431" s="3"/>
      <c r="BK431" s="3"/>
      <c r="BL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</row>
    <row r="432">
      <c r="C432" s="83"/>
      <c r="BI432" s="3"/>
      <c r="BJ432" s="3"/>
      <c r="BK432" s="3"/>
      <c r="BL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</row>
    <row r="433">
      <c r="C433" s="83"/>
      <c r="BI433" s="3"/>
      <c r="BJ433" s="3"/>
      <c r="BK433" s="3"/>
      <c r="BL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</row>
    <row r="434">
      <c r="C434" s="83"/>
      <c r="BI434" s="3"/>
      <c r="BJ434" s="3"/>
      <c r="BK434" s="3"/>
      <c r="BL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</row>
    <row r="435">
      <c r="C435" s="83"/>
      <c r="BI435" s="3"/>
      <c r="BJ435" s="3"/>
      <c r="BK435" s="3"/>
      <c r="BL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</row>
    <row r="436">
      <c r="C436" s="83"/>
      <c r="BI436" s="3"/>
      <c r="BJ436" s="3"/>
      <c r="BK436" s="3"/>
      <c r="BL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</row>
    <row r="437">
      <c r="C437" s="83"/>
      <c r="BI437" s="3"/>
      <c r="BJ437" s="3"/>
      <c r="BK437" s="3"/>
      <c r="BL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</row>
    <row r="438">
      <c r="C438" s="83"/>
      <c r="BI438" s="3"/>
      <c r="BJ438" s="3"/>
      <c r="BK438" s="3"/>
      <c r="BL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</row>
    <row r="439">
      <c r="C439" s="83"/>
      <c r="BI439" s="3"/>
      <c r="BJ439" s="3"/>
      <c r="BK439" s="3"/>
      <c r="BL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</row>
    <row r="440">
      <c r="C440" s="83"/>
      <c r="BI440" s="3"/>
      <c r="BJ440" s="3"/>
      <c r="BK440" s="3"/>
      <c r="BL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</row>
    <row r="441">
      <c r="C441" s="83"/>
      <c r="BI441" s="3"/>
      <c r="BJ441" s="3"/>
      <c r="BK441" s="3"/>
      <c r="BL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</row>
    <row r="442">
      <c r="C442" s="83"/>
      <c r="BI442" s="3"/>
      <c r="BJ442" s="3"/>
      <c r="BK442" s="3"/>
      <c r="BL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</row>
    <row r="443">
      <c r="C443" s="83"/>
      <c r="BI443" s="3"/>
      <c r="BJ443" s="3"/>
      <c r="BK443" s="3"/>
      <c r="BL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</row>
    <row r="444">
      <c r="C444" s="83"/>
      <c r="BI444" s="3"/>
      <c r="BJ444" s="3"/>
      <c r="BK444" s="3"/>
      <c r="BL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</row>
    <row r="445">
      <c r="C445" s="83"/>
      <c r="BI445" s="3"/>
      <c r="BJ445" s="3"/>
      <c r="BK445" s="3"/>
      <c r="BL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</row>
    <row r="446">
      <c r="C446" s="83"/>
      <c r="BI446" s="3"/>
      <c r="BJ446" s="3"/>
      <c r="BK446" s="3"/>
      <c r="BL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</row>
    <row r="447">
      <c r="C447" s="83"/>
      <c r="BI447" s="3"/>
      <c r="BJ447" s="3"/>
      <c r="BK447" s="3"/>
      <c r="BL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</row>
    <row r="448">
      <c r="C448" s="83"/>
      <c r="BI448" s="3"/>
      <c r="BJ448" s="3"/>
      <c r="BK448" s="3"/>
      <c r="BL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</row>
    <row r="449">
      <c r="C449" s="83"/>
      <c r="BI449" s="3"/>
      <c r="BJ449" s="3"/>
      <c r="BK449" s="3"/>
      <c r="BL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</row>
    <row r="450">
      <c r="C450" s="83"/>
      <c r="BI450" s="3"/>
      <c r="BJ450" s="3"/>
      <c r="BK450" s="3"/>
      <c r="BL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</row>
    <row r="451">
      <c r="C451" s="83"/>
      <c r="BI451" s="3"/>
      <c r="BJ451" s="3"/>
      <c r="BK451" s="3"/>
      <c r="BL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</row>
    <row r="452">
      <c r="C452" s="83"/>
      <c r="BI452" s="3"/>
      <c r="BJ452" s="3"/>
      <c r="BK452" s="3"/>
      <c r="BL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</row>
    <row r="453">
      <c r="C453" s="83"/>
      <c r="BI453" s="3"/>
      <c r="BJ453" s="3"/>
      <c r="BK453" s="3"/>
      <c r="BL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</row>
    <row r="454">
      <c r="C454" s="83"/>
      <c r="BI454" s="3"/>
      <c r="BJ454" s="3"/>
      <c r="BK454" s="3"/>
      <c r="BL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</row>
    <row r="455">
      <c r="C455" s="83"/>
      <c r="BI455" s="3"/>
      <c r="BJ455" s="3"/>
      <c r="BK455" s="3"/>
      <c r="BL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</row>
    <row r="456">
      <c r="C456" s="83"/>
      <c r="BI456" s="3"/>
      <c r="BJ456" s="3"/>
      <c r="BK456" s="3"/>
      <c r="BL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</row>
    <row r="457">
      <c r="C457" s="83"/>
      <c r="BI457" s="3"/>
      <c r="BJ457" s="3"/>
      <c r="BK457" s="3"/>
      <c r="BL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</row>
    <row r="458">
      <c r="C458" s="83"/>
      <c r="BI458" s="3"/>
      <c r="BJ458" s="3"/>
      <c r="BK458" s="3"/>
      <c r="BL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</row>
    <row r="459">
      <c r="C459" s="83"/>
      <c r="BI459" s="3"/>
      <c r="BJ459" s="3"/>
      <c r="BK459" s="3"/>
      <c r="BL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</row>
    <row r="460">
      <c r="C460" s="83"/>
      <c r="BI460" s="3"/>
      <c r="BJ460" s="3"/>
      <c r="BK460" s="3"/>
      <c r="BL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</row>
    <row r="461">
      <c r="C461" s="83"/>
      <c r="BI461" s="3"/>
      <c r="BJ461" s="3"/>
      <c r="BK461" s="3"/>
      <c r="BL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</row>
    <row r="462">
      <c r="C462" s="83"/>
      <c r="BI462" s="3"/>
      <c r="BJ462" s="3"/>
      <c r="BK462" s="3"/>
      <c r="BL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</row>
    <row r="463">
      <c r="C463" s="83"/>
      <c r="BI463" s="3"/>
      <c r="BJ463" s="3"/>
      <c r="BK463" s="3"/>
      <c r="BL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</row>
    <row r="464">
      <c r="C464" s="83"/>
      <c r="BI464" s="3"/>
      <c r="BJ464" s="3"/>
      <c r="BK464" s="3"/>
      <c r="BL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</row>
    <row r="465">
      <c r="C465" s="83"/>
      <c r="BI465" s="3"/>
      <c r="BJ465" s="3"/>
      <c r="BK465" s="3"/>
      <c r="BL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</row>
    <row r="466">
      <c r="C466" s="83"/>
      <c r="BI466" s="3"/>
      <c r="BJ466" s="3"/>
      <c r="BK466" s="3"/>
      <c r="BL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</row>
    <row r="467">
      <c r="C467" s="83"/>
      <c r="BI467" s="3"/>
      <c r="BJ467" s="3"/>
      <c r="BK467" s="3"/>
      <c r="BL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</row>
    <row r="468">
      <c r="C468" s="83"/>
      <c r="BI468" s="3"/>
      <c r="BJ468" s="3"/>
      <c r="BK468" s="3"/>
      <c r="BL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</row>
    <row r="469">
      <c r="C469" s="83"/>
      <c r="BI469" s="3"/>
      <c r="BJ469" s="3"/>
      <c r="BK469" s="3"/>
      <c r="BL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</row>
    <row r="470">
      <c r="C470" s="83"/>
      <c r="BI470" s="3"/>
      <c r="BJ470" s="3"/>
      <c r="BK470" s="3"/>
      <c r="BL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</row>
    <row r="471">
      <c r="C471" s="83"/>
      <c r="BI471" s="3"/>
      <c r="BJ471" s="3"/>
      <c r="BK471" s="3"/>
      <c r="BL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</row>
    <row r="472">
      <c r="C472" s="83"/>
      <c r="BI472" s="3"/>
      <c r="BJ472" s="3"/>
      <c r="BK472" s="3"/>
      <c r="BL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</row>
    <row r="473">
      <c r="C473" s="83"/>
      <c r="BI473" s="3"/>
      <c r="BJ473" s="3"/>
      <c r="BK473" s="3"/>
      <c r="BL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</row>
    <row r="474">
      <c r="C474" s="83"/>
      <c r="BI474" s="3"/>
      <c r="BJ474" s="3"/>
      <c r="BK474" s="3"/>
      <c r="BL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</row>
    <row r="475">
      <c r="C475" s="83"/>
      <c r="BI475" s="3"/>
      <c r="BJ475" s="3"/>
      <c r="BK475" s="3"/>
      <c r="BL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</row>
    <row r="476">
      <c r="C476" s="83"/>
      <c r="BI476" s="3"/>
      <c r="BJ476" s="3"/>
      <c r="BK476" s="3"/>
      <c r="BL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</row>
    <row r="477">
      <c r="C477" s="83"/>
      <c r="BI477" s="3"/>
      <c r="BJ477" s="3"/>
      <c r="BK477" s="3"/>
      <c r="BL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</row>
    <row r="478">
      <c r="C478" s="83"/>
      <c r="BI478" s="3"/>
      <c r="BJ478" s="3"/>
      <c r="BK478" s="3"/>
      <c r="BL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</row>
    <row r="479">
      <c r="C479" s="83"/>
      <c r="BI479" s="3"/>
      <c r="BJ479" s="3"/>
      <c r="BK479" s="3"/>
      <c r="BL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</row>
    <row r="480">
      <c r="C480" s="83"/>
      <c r="BI480" s="3"/>
      <c r="BJ480" s="3"/>
      <c r="BK480" s="3"/>
      <c r="BL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</row>
    <row r="481">
      <c r="C481" s="83"/>
      <c r="BI481" s="3"/>
      <c r="BJ481" s="3"/>
      <c r="BK481" s="3"/>
      <c r="BL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</row>
    <row r="482">
      <c r="C482" s="83"/>
      <c r="BI482" s="3"/>
      <c r="BJ482" s="3"/>
      <c r="BK482" s="3"/>
      <c r="BL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</row>
    <row r="483">
      <c r="C483" s="83"/>
      <c r="BI483" s="3"/>
      <c r="BJ483" s="3"/>
      <c r="BK483" s="3"/>
      <c r="BL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</row>
    <row r="484">
      <c r="C484" s="83"/>
      <c r="BI484" s="3"/>
      <c r="BJ484" s="3"/>
      <c r="BK484" s="3"/>
      <c r="BL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</row>
    <row r="485">
      <c r="C485" s="83"/>
      <c r="BI485" s="3"/>
      <c r="BJ485" s="3"/>
      <c r="BK485" s="3"/>
      <c r="BL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</row>
    <row r="486">
      <c r="C486" s="83"/>
      <c r="BI486" s="3"/>
      <c r="BJ486" s="3"/>
      <c r="BK486" s="3"/>
      <c r="BL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</row>
    <row r="487">
      <c r="C487" s="83"/>
      <c r="BI487" s="3"/>
      <c r="BJ487" s="3"/>
      <c r="BK487" s="3"/>
      <c r="BL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</row>
    <row r="488">
      <c r="C488" s="83"/>
      <c r="BI488" s="3"/>
      <c r="BJ488" s="3"/>
      <c r="BK488" s="3"/>
      <c r="BL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</row>
    <row r="489">
      <c r="C489" s="83"/>
      <c r="BI489" s="3"/>
      <c r="BJ489" s="3"/>
      <c r="BK489" s="3"/>
      <c r="BL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</row>
    <row r="490">
      <c r="C490" s="83"/>
      <c r="BI490" s="3"/>
      <c r="BJ490" s="3"/>
      <c r="BK490" s="3"/>
      <c r="BL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</row>
    <row r="491">
      <c r="C491" s="83"/>
      <c r="BI491" s="3"/>
      <c r="BJ491" s="3"/>
      <c r="BK491" s="3"/>
      <c r="BL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</row>
    <row r="492">
      <c r="C492" s="83"/>
      <c r="BI492" s="3"/>
      <c r="BJ492" s="3"/>
      <c r="BK492" s="3"/>
      <c r="BL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</row>
    <row r="493">
      <c r="C493" s="83"/>
      <c r="BI493" s="3"/>
      <c r="BJ493" s="3"/>
      <c r="BK493" s="3"/>
      <c r="BL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</row>
    <row r="494">
      <c r="C494" s="83"/>
      <c r="BI494" s="3"/>
      <c r="BJ494" s="3"/>
      <c r="BK494" s="3"/>
      <c r="BL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</row>
    <row r="495">
      <c r="C495" s="83"/>
      <c r="BI495" s="3"/>
      <c r="BJ495" s="3"/>
      <c r="BK495" s="3"/>
      <c r="BL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</row>
    <row r="496">
      <c r="C496" s="83"/>
      <c r="BI496" s="3"/>
      <c r="BJ496" s="3"/>
      <c r="BK496" s="3"/>
      <c r="BL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</row>
    <row r="497">
      <c r="C497" s="83"/>
      <c r="BI497" s="3"/>
      <c r="BJ497" s="3"/>
      <c r="BK497" s="3"/>
      <c r="BL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</row>
    <row r="498">
      <c r="C498" s="83"/>
      <c r="BI498" s="3"/>
      <c r="BJ498" s="3"/>
      <c r="BK498" s="3"/>
      <c r="BL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</row>
    <row r="499">
      <c r="C499" s="83"/>
      <c r="BI499" s="3"/>
      <c r="BJ499" s="3"/>
      <c r="BK499" s="3"/>
      <c r="BL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</row>
    <row r="500">
      <c r="C500" s="83"/>
      <c r="BI500" s="3"/>
      <c r="BJ500" s="3"/>
      <c r="BK500" s="3"/>
      <c r="BL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</row>
    <row r="501">
      <c r="C501" s="83"/>
      <c r="BI501" s="3"/>
      <c r="BJ501" s="3"/>
      <c r="BK501" s="3"/>
      <c r="BL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</row>
    <row r="502">
      <c r="C502" s="83"/>
      <c r="BI502" s="3"/>
      <c r="BJ502" s="3"/>
      <c r="BK502" s="3"/>
      <c r="BL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</row>
    <row r="503">
      <c r="C503" s="83"/>
      <c r="BI503" s="3"/>
      <c r="BJ503" s="3"/>
      <c r="BK503" s="3"/>
      <c r="BL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</row>
    <row r="504">
      <c r="C504" s="83"/>
      <c r="BI504" s="3"/>
      <c r="BJ504" s="3"/>
      <c r="BK504" s="3"/>
      <c r="BL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</row>
    <row r="505">
      <c r="C505" s="83"/>
      <c r="BI505" s="3"/>
      <c r="BJ505" s="3"/>
      <c r="BK505" s="3"/>
      <c r="BL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</row>
    <row r="506">
      <c r="C506" s="83"/>
      <c r="BI506" s="3"/>
      <c r="BJ506" s="3"/>
      <c r="BK506" s="3"/>
      <c r="BL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</row>
    <row r="507">
      <c r="C507" s="83"/>
      <c r="BI507" s="3"/>
      <c r="BJ507" s="3"/>
      <c r="BK507" s="3"/>
      <c r="BL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</row>
    <row r="508">
      <c r="C508" s="83"/>
      <c r="BI508" s="3"/>
      <c r="BJ508" s="3"/>
      <c r="BK508" s="3"/>
      <c r="BL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</row>
    <row r="509">
      <c r="C509" s="83"/>
      <c r="BI509" s="3"/>
      <c r="BJ509" s="3"/>
      <c r="BK509" s="3"/>
      <c r="BL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</row>
    <row r="510">
      <c r="C510" s="83"/>
      <c r="BI510" s="3"/>
      <c r="BJ510" s="3"/>
      <c r="BK510" s="3"/>
      <c r="BL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</row>
    <row r="511">
      <c r="C511" s="83"/>
      <c r="BI511" s="3"/>
      <c r="BJ511" s="3"/>
      <c r="BK511" s="3"/>
      <c r="BL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</row>
    <row r="512">
      <c r="C512" s="83"/>
      <c r="BI512" s="3"/>
      <c r="BJ512" s="3"/>
      <c r="BK512" s="3"/>
      <c r="BL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</row>
    <row r="513">
      <c r="C513" s="83"/>
      <c r="BI513" s="3"/>
      <c r="BJ513" s="3"/>
      <c r="BK513" s="3"/>
      <c r="BL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</row>
    <row r="514">
      <c r="C514" s="83"/>
      <c r="BI514" s="3"/>
      <c r="BJ514" s="3"/>
      <c r="BK514" s="3"/>
      <c r="BL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</row>
    <row r="515">
      <c r="C515" s="83"/>
      <c r="BI515" s="3"/>
      <c r="BJ515" s="3"/>
      <c r="BK515" s="3"/>
      <c r="BL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</row>
    <row r="516">
      <c r="C516" s="83"/>
      <c r="BI516" s="3"/>
      <c r="BJ516" s="3"/>
      <c r="BK516" s="3"/>
      <c r="BL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</row>
    <row r="517">
      <c r="C517" s="83"/>
      <c r="BI517" s="3"/>
      <c r="BJ517" s="3"/>
      <c r="BK517" s="3"/>
      <c r="BL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</row>
    <row r="518">
      <c r="C518" s="83"/>
      <c r="BI518" s="3"/>
      <c r="BJ518" s="3"/>
      <c r="BK518" s="3"/>
      <c r="BL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</row>
    <row r="519">
      <c r="C519" s="83"/>
      <c r="BI519" s="3"/>
      <c r="BJ519" s="3"/>
      <c r="BK519" s="3"/>
      <c r="BL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</row>
    <row r="520">
      <c r="C520" s="83"/>
      <c r="BI520" s="3"/>
      <c r="BJ520" s="3"/>
      <c r="BK520" s="3"/>
      <c r="BL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</row>
    <row r="521">
      <c r="C521" s="83"/>
      <c r="BI521" s="3"/>
      <c r="BJ521" s="3"/>
      <c r="BK521" s="3"/>
      <c r="BL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</row>
    <row r="522">
      <c r="C522" s="83"/>
      <c r="BI522" s="3"/>
      <c r="BJ522" s="3"/>
      <c r="BK522" s="3"/>
      <c r="BL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</row>
    <row r="523">
      <c r="C523" s="83"/>
      <c r="BI523" s="3"/>
      <c r="BJ523" s="3"/>
      <c r="BK523" s="3"/>
      <c r="BL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</row>
    <row r="524">
      <c r="C524" s="83"/>
      <c r="BI524" s="3"/>
      <c r="BJ524" s="3"/>
      <c r="BK524" s="3"/>
      <c r="BL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</row>
    <row r="525">
      <c r="C525" s="83"/>
      <c r="BI525" s="3"/>
      <c r="BJ525" s="3"/>
      <c r="BK525" s="3"/>
      <c r="BL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</row>
    <row r="526">
      <c r="C526" s="83"/>
      <c r="BI526" s="3"/>
      <c r="BJ526" s="3"/>
      <c r="BK526" s="3"/>
      <c r="BL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</row>
    <row r="527">
      <c r="C527" s="83"/>
      <c r="BI527" s="3"/>
      <c r="BJ527" s="3"/>
      <c r="BK527" s="3"/>
      <c r="BL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</row>
    <row r="528">
      <c r="C528" s="83"/>
      <c r="BI528" s="3"/>
      <c r="BJ528" s="3"/>
      <c r="BK528" s="3"/>
      <c r="BL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</row>
    <row r="529">
      <c r="C529" s="83"/>
      <c r="BI529" s="3"/>
      <c r="BJ529" s="3"/>
      <c r="BK529" s="3"/>
      <c r="BL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</row>
    <row r="530">
      <c r="C530" s="83"/>
      <c r="BI530" s="3"/>
      <c r="BJ530" s="3"/>
      <c r="BK530" s="3"/>
      <c r="BL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</row>
    <row r="531">
      <c r="C531" s="83"/>
      <c r="BI531" s="3"/>
      <c r="BJ531" s="3"/>
      <c r="BK531" s="3"/>
      <c r="BL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</row>
    <row r="532">
      <c r="C532" s="83"/>
      <c r="BI532" s="3"/>
      <c r="BJ532" s="3"/>
      <c r="BK532" s="3"/>
      <c r="BL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</row>
    <row r="533">
      <c r="C533" s="83"/>
      <c r="BI533" s="3"/>
      <c r="BJ533" s="3"/>
      <c r="BK533" s="3"/>
      <c r="BL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</row>
    <row r="534">
      <c r="C534" s="83"/>
      <c r="BI534" s="3"/>
      <c r="BJ534" s="3"/>
      <c r="BK534" s="3"/>
      <c r="BL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</row>
    <row r="535">
      <c r="C535" s="83"/>
      <c r="BI535" s="3"/>
      <c r="BJ535" s="3"/>
      <c r="BK535" s="3"/>
      <c r="BL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</row>
    <row r="536">
      <c r="C536" s="83"/>
      <c r="BI536" s="3"/>
      <c r="BJ536" s="3"/>
      <c r="BK536" s="3"/>
      <c r="BL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</row>
    <row r="537">
      <c r="C537" s="83"/>
      <c r="BI537" s="3"/>
      <c r="BJ537" s="3"/>
      <c r="BK537" s="3"/>
      <c r="BL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</row>
    <row r="538">
      <c r="C538" s="83"/>
      <c r="BI538" s="3"/>
      <c r="BJ538" s="3"/>
      <c r="BK538" s="3"/>
      <c r="BL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</row>
    <row r="539">
      <c r="C539" s="83"/>
      <c r="BI539" s="3"/>
      <c r="BJ539" s="3"/>
      <c r="BK539" s="3"/>
      <c r="BL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</row>
    <row r="540">
      <c r="C540" s="83"/>
      <c r="BI540" s="3"/>
      <c r="BJ540" s="3"/>
      <c r="BK540" s="3"/>
      <c r="BL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</row>
    <row r="541">
      <c r="C541" s="83"/>
      <c r="BI541" s="3"/>
      <c r="BJ541" s="3"/>
      <c r="BK541" s="3"/>
      <c r="BL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</row>
    <row r="542">
      <c r="C542" s="83"/>
      <c r="BI542" s="3"/>
      <c r="BJ542" s="3"/>
      <c r="BK542" s="3"/>
      <c r="BL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</row>
    <row r="543">
      <c r="C543" s="83"/>
      <c r="BI543" s="3"/>
      <c r="BJ543" s="3"/>
      <c r="BK543" s="3"/>
      <c r="BL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</row>
    <row r="544">
      <c r="C544" s="83"/>
      <c r="BI544" s="3"/>
      <c r="BJ544" s="3"/>
      <c r="BK544" s="3"/>
      <c r="BL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</row>
    <row r="545">
      <c r="C545" s="83"/>
      <c r="BI545" s="3"/>
      <c r="BJ545" s="3"/>
      <c r="BK545" s="3"/>
      <c r="BL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</row>
    <row r="546">
      <c r="C546" s="83"/>
      <c r="BI546" s="3"/>
      <c r="BJ546" s="3"/>
      <c r="BK546" s="3"/>
      <c r="BL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</row>
    <row r="547">
      <c r="C547" s="83"/>
      <c r="BI547" s="3"/>
      <c r="BJ547" s="3"/>
      <c r="BK547" s="3"/>
      <c r="BL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</row>
    <row r="548">
      <c r="C548" s="83"/>
      <c r="BI548" s="3"/>
      <c r="BJ548" s="3"/>
      <c r="BK548" s="3"/>
      <c r="BL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</row>
    <row r="549">
      <c r="C549" s="83"/>
      <c r="BI549" s="3"/>
      <c r="BJ549" s="3"/>
      <c r="BK549" s="3"/>
      <c r="BL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</row>
    <row r="550">
      <c r="C550" s="83"/>
      <c r="BI550" s="3"/>
      <c r="BJ550" s="3"/>
      <c r="BK550" s="3"/>
      <c r="BL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</row>
    <row r="551">
      <c r="C551" s="83"/>
      <c r="BI551" s="3"/>
      <c r="BJ551" s="3"/>
      <c r="BK551" s="3"/>
      <c r="BL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</row>
    <row r="552">
      <c r="C552" s="83"/>
      <c r="BI552" s="3"/>
      <c r="BJ552" s="3"/>
      <c r="BK552" s="3"/>
      <c r="BL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</row>
    <row r="553">
      <c r="C553" s="83"/>
      <c r="BI553" s="3"/>
      <c r="BJ553" s="3"/>
      <c r="BK553" s="3"/>
      <c r="BL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</row>
    <row r="554">
      <c r="C554" s="83"/>
      <c r="BI554" s="3"/>
      <c r="BJ554" s="3"/>
      <c r="BK554" s="3"/>
      <c r="BL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</row>
    <row r="555">
      <c r="C555" s="83"/>
      <c r="BI555" s="3"/>
      <c r="BJ555" s="3"/>
      <c r="BK555" s="3"/>
      <c r="BL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</row>
    <row r="556">
      <c r="C556" s="83"/>
      <c r="BI556" s="3"/>
      <c r="BJ556" s="3"/>
      <c r="BK556" s="3"/>
      <c r="BL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</row>
    <row r="557">
      <c r="C557" s="83"/>
      <c r="BI557" s="3"/>
      <c r="BJ557" s="3"/>
      <c r="BK557" s="3"/>
      <c r="BL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</row>
    <row r="558">
      <c r="C558" s="83"/>
      <c r="BI558" s="3"/>
      <c r="BJ558" s="3"/>
      <c r="BK558" s="3"/>
      <c r="BL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</row>
    <row r="559">
      <c r="C559" s="83"/>
      <c r="BI559" s="3"/>
      <c r="BJ559" s="3"/>
      <c r="BK559" s="3"/>
      <c r="BL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</row>
    <row r="560">
      <c r="C560" s="83"/>
      <c r="BI560" s="3"/>
      <c r="BJ560" s="3"/>
      <c r="BK560" s="3"/>
      <c r="BL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</row>
    <row r="561">
      <c r="C561" s="83"/>
      <c r="BI561" s="3"/>
      <c r="BJ561" s="3"/>
      <c r="BK561" s="3"/>
      <c r="BL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</row>
    <row r="562">
      <c r="C562" s="83"/>
      <c r="BI562" s="3"/>
      <c r="BJ562" s="3"/>
      <c r="BK562" s="3"/>
      <c r="BL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</row>
    <row r="563">
      <c r="C563" s="83"/>
      <c r="BI563" s="3"/>
      <c r="BJ563" s="3"/>
      <c r="BK563" s="3"/>
      <c r="BL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</row>
    <row r="564">
      <c r="C564" s="83"/>
      <c r="BI564" s="3"/>
      <c r="BJ564" s="3"/>
      <c r="BK564" s="3"/>
      <c r="BL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</row>
    <row r="565">
      <c r="C565" s="83"/>
      <c r="BI565" s="3"/>
      <c r="BJ565" s="3"/>
      <c r="BK565" s="3"/>
      <c r="BL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</row>
    <row r="566">
      <c r="C566" s="83"/>
      <c r="BI566" s="3"/>
      <c r="BJ566" s="3"/>
      <c r="BK566" s="3"/>
      <c r="BL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</row>
    <row r="567">
      <c r="C567" s="83"/>
      <c r="BI567" s="3"/>
      <c r="BJ567" s="3"/>
      <c r="BK567" s="3"/>
      <c r="BL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</row>
    <row r="568">
      <c r="C568" s="83"/>
      <c r="BI568" s="3"/>
      <c r="BJ568" s="3"/>
      <c r="BK568" s="3"/>
      <c r="BL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</row>
    <row r="569">
      <c r="C569" s="83"/>
      <c r="BI569" s="3"/>
      <c r="BJ569" s="3"/>
      <c r="BK569" s="3"/>
      <c r="BL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</row>
    <row r="570">
      <c r="C570" s="83"/>
      <c r="BI570" s="3"/>
      <c r="BJ570" s="3"/>
      <c r="BK570" s="3"/>
      <c r="BL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</row>
    <row r="571">
      <c r="C571" s="83"/>
      <c r="BI571" s="3"/>
      <c r="BJ571" s="3"/>
      <c r="BK571" s="3"/>
      <c r="BL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</row>
    <row r="572">
      <c r="C572" s="83"/>
      <c r="BI572" s="3"/>
      <c r="BJ572" s="3"/>
      <c r="BK572" s="3"/>
      <c r="BL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</row>
    <row r="573">
      <c r="C573" s="83"/>
      <c r="BI573" s="3"/>
      <c r="BJ573" s="3"/>
      <c r="BK573" s="3"/>
      <c r="BL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</row>
    <row r="574">
      <c r="C574" s="83"/>
      <c r="BI574" s="3"/>
      <c r="BJ574" s="3"/>
      <c r="BK574" s="3"/>
      <c r="BL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</row>
    <row r="575">
      <c r="C575" s="83"/>
      <c r="BI575" s="3"/>
      <c r="BJ575" s="3"/>
      <c r="BK575" s="3"/>
      <c r="BL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</row>
    <row r="576">
      <c r="C576" s="83"/>
      <c r="BI576" s="3"/>
      <c r="BJ576" s="3"/>
      <c r="BK576" s="3"/>
      <c r="BL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</row>
    <row r="577">
      <c r="C577" s="83"/>
      <c r="BI577" s="3"/>
      <c r="BJ577" s="3"/>
      <c r="BK577" s="3"/>
      <c r="BL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</row>
    <row r="578">
      <c r="C578" s="83"/>
      <c r="BI578" s="3"/>
      <c r="BJ578" s="3"/>
      <c r="BK578" s="3"/>
      <c r="BL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</row>
    <row r="579">
      <c r="C579" s="83"/>
      <c r="BI579" s="3"/>
      <c r="BJ579" s="3"/>
      <c r="BK579" s="3"/>
      <c r="BL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</row>
    <row r="580">
      <c r="C580" s="83"/>
      <c r="BI580" s="3"/>
      <c r="BJ580" s="3"/>
      <c r="BK580" s="3"/>
      <c r="BL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</row>
    <row r="581">
      <c r="C581" s="83"/>
      <c r="BI581" s="3"/>
      <c r="BJ581" s="3"/>
      <c r="BK581" s="3"/>
      <c r="BL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</row>
    <row r="582">
      <c r="C582" s="83"/>
      <c r="BI582" s="3"/>
      <c r="BJ582" s="3"/>
      <c r="BK582" s="3"/>
      <c r="BL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</row>
    <row r="583">
      <c r="C583" s="83"/>
      <c r="BI583" s="3"/>
      <c r="BJ583" s="3"/>
      <c r="BK583" s="3"/>
      <c r="BL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</row>
    <row r="584">
      <c r="C584" s="83"/>
      <c r="BI584" s="3"/>
      <c r="BJ584" s="3"/>
      <c r="BK584" s="3"/>
      <c r="BL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</row>
    <row r="585">
      <c r="C585" s="83"/>
      <c r="BI585" s="3"/>
      <c r="BJ585" s="3"/>
      <c r="BK585" s="3"/>
      <c r="BL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</row>
    <row r="586">
      <c r="C586" s="83"/>
      <c r="BI586" s="3"/>
      <c r="BJ586" s="3"/>
      <c r="BK586" s="3"/>
      <c r="BL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</row>
    <row r="587">
      <c r="C587" s="83"/>
      <c r="BI587" s="3"/>
      <c r="BJ587" s="3"/>
      <c r="BK587" s="3"/>
      <c r="BL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</row>
    <row r="588">
      <c r="C588" s="83"/>
      <c r="BI588" s="3"/>
      <c r="BJ588" s="3"/>
      <c r="BK588" s="3"/>
      <c r="BL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</row>
    <row r="589">
      <c r="C589" s="83"/>
      <c r="BI589" s="3"/>
      <c r="BJ589" s="3"/>
      <c r="BK589" s="3"/>
      <c r="BL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</row>
    <row r="590">
      <c r="C590" s="83"/>
      <c r="BI590" s="3"/>
      <c r="BJ590" s="3"/>
      <c r="BK590" s="3"/>
      <c r="BL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</row>
    <row r="591">
      <c r="C591" s="83"/>
      <c r="BI591" s="3"/>
      <c r="BJ591" s="3"/>
      <c r="BK591" s="3"/>
      <c r="BL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</row>
    <row r="592">
      <c r="C592" s="83"/>
      <c r="BI592" s="3"/>
      <c r="BJ592" s="3"/>
      <c r="BK592" s="3"/>
      <c r="BL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</row>
    <row r="593">
      <c r="C593" s="83"/>
      <c r="BI593" s="3"/>
      <c r="BJ593" s="3"/>
      <c r="BK593" s="3"/>
      <c r="BL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</row>
    <row r="594">
      <c r="C594" s="83"/>
      <c r="BI594" s="3"/>
      <c r="BJ594" s="3"/>
      <c r="BK594" s="3"/>
      <c r="BL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</row>
    <row r="595">
      <c r="C595" s="83"/>
      <c r="BI595" s="3"/>
      <c r="BJ595" s="3"/>
      <c r="BK595" s="3"/>
      <c r="BL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</row>
    <row r="596">
      <c r="C596" s="83"/>
      <c r="BI596" s="3"/>
      <c r="BJ596" s="3"/>
      <c r="BK596" s="3"/>
      <c r="BL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</row>
    <row r="597">
      <c r="C597" s="83"/>
      <c r="BI597" s="3"/>
      <c r="BJ597" s="3"/>
      <c r="BK597" s="3"/>
      <c r="BL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</row>
    <row r="598">
      <c r="C598" s="83"/>
      <c r="BI598" s="3"/>
      <c r="BJ598" s="3"/>
      <c r="BK598" s="3"/>
      <c r="BL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</row>
    <row r="599">
      <c r="C599" s="83"/>
      <c r="BI599" s="3"/>
      <c r="BJ599" s="3"/>
      <c r="BK599" s="3"/>
      <c r="BL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</row>
    <row r="600">
      <c r="C600" s="83"/>
      <c r="BI600" s="3"/>
      <c r="BJ600" s="3"/>
      <c r="BK600" s="3"/>
      <c r="BL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</row>
    <row r="601">
      <c r="C601" s="83"/>
      <c r="BI601" s="3"/>
      <c r="BJ601" s="3"/>
      <c r="BK601" s="3"/>
      <c r="BL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</row>
    <row r="602">
      <c r="C602" s="83"/>
      <c r="BI602" s="3"/>
      <c r="BJ602" s="3"/>
      <c r="BK602" s="3"/>
      <c r="BL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</row>
    <row r="603">
      <c r="C603" s="83"/>
      <c r="BI603" s="3"/>
      <c r="BJ603" s="3"/>
      <c r="BK603" s="3"/>
      <c r="BL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</row>
    <row r="604">
      <c r="C604" s="83"/>
      <c r="BI604" s="3"/>
      <c r="BJ604" s="3"/>
      <c r="BK604" s="3"/>
      <c r="BL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</row>
    <row r="605">
      <c r="C605" s="83"/>
      <c r="BI605" s="3"/>
      <c r="BJ605" s="3"/>
      <c r="BK605" s="3"/>
      <c r="BL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</row>
    <row r="606">
      <c r="C606" s="83"/>
      <c r="BI606" s="3"/>
      <c r="BJ606" s="3"/>
      <c r="BK606" s="3"/>
      <c r="BL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</row>
    <row r="607">
      <c r="C607" s="83"/>
      <c r="BI607" s="3"/>
      <c r="BJ607" s="3"/>
      <c r="BK607" s="3"/>
      <c r="BL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</row>
    <row r="608">
      <c r="C608" s="83"/>
      <c r="BI608" s="3"/>
      <c r="BJ608" s="3"/>
      <c r="BK608" s="3"/>
      <c r="BL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</row>
    <row r="609">
      <c r="C609" s="83"/>
      <c r="BI609" s="3"/>
      <c r="BJ609" s="3"/>
      <c r="BK609" s="3"/>
      <c r="BL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</row>
    <row r="610">
      <c r="C610" s="83"/>
      <c r="BI610" s="3"/>
      <c r="BJ610" s="3"/>
      <c r="BK610" s="3"/>
      <c r="BL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</row>
    <row r="611">
      <c r="C611" s="83"/>
      <c r="BI611" s="3"/>
      <c r="BJ611" s="3"/>
      <c r="BK611" s="3"/>
      <c r="BL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</row>
    <row r="612">
      <c r="C612" s="83"/>
      <c r="BI612" s="3"/>
      <c r="BJ612" s="3"/>
      <c r="BK612" s="3"/>
      <c r="BL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</row>
    <row r="613">
      <c r="C613" s="83"/>
      <c r="BI613" s="3"/>
      <c r="BJ613" s="3"/>
      <c r="BK613" s="3"/>
      <c r="BL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</row>
    <row r="614">
      <c r="C614" s="83"/>
      <c r="BI614" s="3"/>
      <c r="BJ614" s="3"/>
      <c r="BK614" s="3"/>
      <c r="BL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</row>
    <row r="615">
      <c r="C615" s="83"/>
      <c r="BI615" s="3"/>
      <c r="BJ615" s="3"/>
      <c r="BK615" s="3"/>
      <c r="BL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</row>
    <row r="616">
      <c r="C616" s="83"/>
      <c r="BI616" s="3"/>
      <c r="BJ616" s="3"/>
      <c r="BK616" s="3"/>
      <c r="BL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</row>
    <row r="617">
      <c r="C617" s="83"/>
      <c r="BI617" s="3"/>
      <c r="BJ617" s="3"/>
      <c r="BK617" s="3"/>
      <c r="BL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</row>
    <row r="618">
      <c r="C618" s="83"/>
      <c r="BI618" s="3"/>
      <c r="BJ618" s="3"/>
      <c r="BK618" s="3"/>
      <c r="BL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</row>
    <row r="619">
      <c r="C619" s="83"/>
      <c r="BI619" s="3"/>
      <c r="BJ619" s="3"/>
      <c r="BK619" s="3"/>
      <c r="BL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</row>
    <row r="620">
      <c r="C620" s="83"/>
      <c r="BI620" s="3"/>
      <c r="BJ620" s="3"/>
      <c r="BK620" s="3"/>
      <c r="BL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</row>
    <row r="621">
      <c r="C621" s="83"/>
      <c r="BI621" s="3"/>
      <c r="BJ621" s="3"/>
      <c r="BK621" s="3"/>
      <c r="BL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</row>
    <row r="622">
      <c r="C622" s="83"/>
      <c r="BI622" s="3"/>
      <c r="BJ622" s="3"/>
      <c r="BK622" s="3"/>
      <c r="BL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</row>
    <row r="623">
      <c r="C623" s="83"/>
      <c r="BI623" s="3"/>
      <c r="BJ623" s="3"/>
      <c r="BK623" s="3"/>
      <c r="BL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</row>
    <row r="624">
      <c r="C624" s="83"/>
      <c r="BI624" s="3"/>
      <c r="BJ624" s="3"/>
      <c r="BK624" s="3"/>
      <c r="BL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</row>
    <row r="625">
      <c r="C625" s="83"/>
      <c r="BI625" s="3"/>
      <c r="BJ625" s="3"/>
      <c r="BK625" s="3"/>
      <c r="BL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</row>
    <row r="626">
      <c r="C626" s="83"/>
      <c r="BI626" s="3"/>
      <c r="BJ626" s="3"/>
      <c r="BK626" s="3"/>
      <c r="BL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</row>
    <row r="627">
      <c r="C627" s="83"/>
      <c r="BI627" s="3"/>
      <c r="BJ627" s="3"/>
      <c r="BK627" s="3"/>
      <c r="BL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</row>
    <row r="628">
      <c r="C628" s="83"/>
      <c r="BI628" s="3"/>
      <c r="BJ628" s="3"/>
      <c r="BK628" s="3"/>
      <c r="BL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</row>
    <row r="629">
      <c r="C629" s="83"/>
      <c r="BI629" s="3"/>
      <c r="BJ629" s="3"/>
      <c r="BK629" s="3"/>
      <c r="BL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</row>
    <row r="630">
      <c r="C630" s="83"/>
      <c r="BI630" s="3"/>
      <c r="BJ630" s="3"/>
      <c r="BK630" s="3"/>
      <c r="BL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</row>
    <row r="631">
      <c r="C631" s="83"/>
      <c r="BI631" s="3"/>
      <c r="BJ631" s="3"/>
      <c r="BK631" s="3"/>
      <c r="BL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</row>
    <row r="632">
      <c r="C632" s="83"/>
      <c r="BI632" s="3"/>
      <c r="BJ632" s="3"/>
      <c r="BK632" s="3"/>
      <c r="BL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</row>
    <row r="633">
      <c r="C633" s="83"/>
      <c r="BI633" s="3"/>
      <c r="BJ633" s="3"/>
      <c r="BK633" s="3"/>
      <c r="BL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</row>
    <row r="634">
      <c r="C634" s="83"/>
      <c r="BI634" s="3"/>
      <c r="BJ634" s="3"/>
      <c r="BK634" s="3"/>
      <c r="BL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</row>
    <row r="635">
      <c r="C635" s="83"/>
      <c r="BI635" s="3"/>
      <c r="BJ635" s="3"/>
      <c r="BK635" s="3"/>
      <c r="BL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</row>
    <row r="636">
      <c r="C636" s="83"/>
      <c r="BI636" s="3"/>
      <c r="BJ636" s="3"/>
      <c r="BK636" s="3"/>
      <c r="BL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</row>
    <row r="637">
      <c r="C637" s="83"/>
      <c r="BI637" s="3"/>
      <c r="BJ637" s="3"/>
      <c r="BK637" s="3"/>
      <c r="BL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</row>
    <row r="638">
      <c r="C638" s="83"/>
      <c r="BI638" s="3"/>
      <c r="BJ638" s="3"/>
      <c r="BK638" s="3"/>
      <c r="BL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</row>
    <row r="639">
      <c r="C639" s="83"/>
      <c r="BI639" s="3"/>
      <c r="BJ639" s="3"/>
      <c r="BK639" s="3"/>
      <c r="BL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</row>
    <row r="640">
      <c r="C640" s="83"/>
      <c r="BI640" s="3"/>
      <c r="BJ640" s="3"/>
      <c r="BK640" s="3"/>
      <c r="BL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</row>
    <row r="641">
      <c r="C641" s="83"/>
      <c r="BI641" s="3"/>
      <c r="BJ641" s="3"/>
      <c r="BK641" s="3"/>
      <c r="BL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</row>
    <row r="642">
      <c r="C642" s="83"/>
      <c r="BI642" s="3"/>
      <c r="BJ642" s="3"/>
      <c r="BK642" s="3"/>
      <c r="BL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</row>
    <row r="643">
      <c r="C643" s="83"/>
      <c r="BI643" s="3"/>
      <c r="BJ643" s="3"/>
      <c r="BK643" s="3"/>
      <c r="BL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</row>
    <row r="644">
      <c r="C644" s="83"/>
      <c r="BI644" s="3"/>
      <c r="BJ644" s="3"/>
      <c r="BK644" s="3"/>
      <c r="BL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</row>
    <row r="645">
      <c r="C645" s="83"/>
      <c r="BI645" s="3"/>
      <c r="BJ645" s="3"/>
      <c r="BK645" s="3"/>
      <c r="BL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</row>
    <row r="646">
      <c r="C646" s="83"/>
      <c r="BI646" s="3"/>
      <c r="BJ646" s="3"/>
      <c r="BK646" s="3"/>
      <c r="BL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</row>
    <row r="647">
      <c r="C647" s="83"/>
      <c r="BI647" s="3"/>
      <c r="BJ647" s="3"/>
      <c r="BK647" s="3"/>
      <c r="BL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</row>
    <row r="648">
      <c r="C648" s="83"/>
      <c r="BI648" s="3"/>
      <c r="BJ648" s="3"/>
      <c r="BK648" s="3"/>
      <c r="BL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</row>
    <row r="649">
      <c r="C649" s="83"/>
      <c r="BI649" s="3"/>
      <c r="BJ649" s="3"/>
      <c r="BK649" s="3"/>
      <c r="BL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</row>
    <row r="650">
      <c r="C650" s="83"/>
      <c r="BI650" s="3"/>
      <c r="BJ650" s="3"/>
      <c r="BK650" s="3"/>
      <c r="BL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</row>
    <row r="651">
      <c r="C651" s="83"/>
      <c r="BI651" s="3"/>
      <c r="BJ651" s="3"/>
      <c r="BK651" s="3"/>
      <c r="BL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</row>
    <row r="652">
      <c r="C652" s="83"/>
      <c r="BI652" s="3"/>
      <c r="BJ652" s="3"/>
      <c r="BK652" s="3"/>
      <c r="BL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</row>
    <row r="653">
      <c r="C653" s="83"/>
      <c r="BI653" s="3"/>
      <c r="BJ653" s="3"/>
      <c r="BK653" s="3"/>
      <c r="BL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</row>
    <row r="654">
      <c r="C654" s="83"/>
      <c r="BI654" s="3"/>
      <c r="BJ654" s="3"/>
      <c r="BK654" s="3"/>
      <c r="BL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</row>
    <row r="655">
      <c r="C655" s="83"/>
      <c r="BI655" s="3"/>
      <c r="BJ655" s="3"/>
      <c r="BK655" s="3"/>
      <c r="BL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</row>
    <row r="656">
      <c r="C656" s="83"/>
      <c r="BI656" s="3"/>
      <c r="BJ656" s="3"/>
      <c r="BK656" s="3"/>
      <c r="BL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</row>
    <row r="657">
      <c r="C657" s="83"/>
      <c r="BI657" s="3"/>
      <c r="BJ657" s="3"/>
      <c r="BK657" s="3"/>
      <c r="BL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</row>
    <row r="658">
      <c r="C658" s="83"/>
      <c r="BI658" s="3"/>
      <c r="BJ658" s="3"/>
      <c r="BK658" s="3"/>
      <c r="BL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</row>
    <row r="659">
      <c r="C659" s="83"/>
      <c r="BI659" s="3"/>
      <c r="BJ659" s="3"/>
      <c r="BK659" s="3"/>
      <c r="BL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</row>
    <row r="660">
      <c r="C660" s="83"/>
      <c r="BI660" s="3"/>
      <c r="BJ660" s="3"/>
      <c r="BK660" s="3"/>
      <c r="BL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</row>
    <row r="661">
      <c r="C661" s="83"/>
      <c r="BI661" s="3"/>
      <c r="BJ661" s="3"/>
      <c r="BK661" s="3"/>
      <c r="BL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</row>
    <row r="662">
      <c r="C662" s="83"/>
      <c r="BI662" s="3"/>
      <c r="BJ662" s="3"/>
      <c r="BK662" s="3"/>
      <c r="BL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</row>
    <row r="663">
      <c r="C663" s="83"/>
      <c r="BI663" s="3"/>
      <c r="BJ663" s="3"/>
      <c r="BK663" s="3"/>
      <c r="BL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</row>
    <row r="664">
      <c r="C664" s="83"/>
      <c r="BI664" s="3"/>
      <c r="BJ664" s="3"/>
      <c r="BK664" s="3"/>
      <c r="BL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</row>
    <row r="665">
      <c r="C665" s="83"/>
      <c r="BI665" s="3"/>
      <c r="BJ665" s="3"/>
      <c r="BK665" s="3"/>
      <c r="BL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</row>
    <row r="666">
      <c r="C666" s="83"/>
      <c r="BI666" s="3"/>
      <c r="BJ666" s="3"/>
      <c r="BK666" s="3"/>
      <c r="BL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</row>
    <row r="667">
      <c r="C667" s="83"/>
      <c r="BI667" s="3"/>
      <c r="BJ667" s="3"/>
      <c r="BK667" s="3"/>
      <c r="BL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</row>
    <row r="668">
      <c r="C668" s="83"/>
      <c r="BI668" s="3"/>
      <c r="BJ668" s="3"/>
      <c r="BK668" s="3"/>
      <c r="BL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</row>
    <row r="669">
      <c r="C669" s="83"/>
      <c r="BI669" s="3"/>
      <c r="BJ669" s="3"/>
      <c r="BK669" s="3"/>
      <c r="BL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</row>
    <row r="670">
      <c r="C670" s="83"/>
      <c r="BI670" s="3"/>
      <c r="BJ670" s="3"/>
      <c r="BK670" s="3"/>
      <c r="BL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</row>
    <row r="671">
      <c r="C671" s="83"/>
      <c r="BI671" s="3"/>
      <c r="BJ671" s="3"/>
      <c r="BK671" s="3"/>
      <c r="BL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</row>
    <row r="672">
      <c r="C672" s="83"/>
      <c r="BI672" s="3"/>
      <c r="BJ672" s="3"/>
      <c r="BK672" s="3"/>
      <c r="BL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</row>
    <row r="673">
      <c r="C673" s="83"/>
      <c r="BI673" s="3"/>
      <c r="BJ673" s="3"/>
      <c r="BK673" s="3"/>
      <c r="BL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</row>
    <row r="674">
      <c r="C674" s="83"/>
      <c r="BI674" s="3"/>
      <c r="BJ674" s="3"/>
      <c r="BK674" s="3"/>
      <c r="BL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</row>
    <row r="675">
      <c r="C675" s="83"/>
      <c r="BI675" s="3"/>
      <c r="BJ675" s="3"/>
      <c r="BK675" s="3"/>
      <c r="BL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</row>
    <row r="676">
      <c r="C676" s="83"/>
      <c r="BI676" s="3"/>
      <c r="BJ676" s="3"/>
      <c r="BK676" s="3"/>
      <c r="BL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</row>
    <row r="677">
      <c r="C677" s="83"/>
      <c r="BI677" s="3"/>
      <c r="BJ677" s="3"/>
      <c r="BK677" s="3"/>
      <c r="BL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</row>
    <row r="678">
      <c r="C678" s="83"/>
      <c r="BI678" s="3"/>
      <c r="BJ678" s="3"/>
      <c r="BK678" s="3"/>
      <c r="BL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</row>
    <row r="679">
      <c r="C679" s="83"/>
      <c r="BI679" s="3"/>
      <c r="BJ679" s="3"/>
      <c r="BK679" s="3"/>
      <c r="BL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</row>
    <row r="680">
      <c r="C680" s="83"/>
      <c r="BI680" s="3"/>
      <c r="BJ680" s="3"/>
      <c r="BK680" s="3"/>
      <c r="BL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</row>
    <row r="681">
      <c r="C681" s="83"/>
      <c r="BI681" s="3"/>
      <c r="BJ681" s="3"/>
      <c r="BK681" s="3"/>
      <c r="BL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</row>
    <row r="682">
      <c r="C682" s="83"/>
      <c r="BI682" s="3"/>
      <c r="BJ682" s="3"/>
      <c r="BK682" s="3"/>
      <c r="BL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</row>
    <row r="683">
      <c r="C683" s="83"/>
      <c r="BI683" s="3"/>
      <c r="BJ683" s="3"/>
      <c r="BK683" s="3"/>
      <c r="BL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</row>
    <row r="684">
      <c r="C684" s="83"/>
      <c r="BI684" s="3"/>
      <c r="BJ684" s="3"/>
      <c r="BK684" s="3"/>
      <c r="BL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</row>
    <row r="685">
      <c r="C685" s="83"/>
      <c r="BI685" s="3"/>
      <c r="BJ685" s="3"/>
      <c r="BK685" s="3"/>
      <c r="BL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</row>
    <row r="686">
      <c r="C686" s="83"/>
      <c r="BI686" s="3"/>
      <c r="BJ686" s="3"/>
      <c r="BK686" s="3"/>
      <c r="BL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</row>
    <row r="687">
      <c r="C687" s="83"/>
      <c r="BI687" s="3"/>
      <c r="BJ687" s="3"/>
      <c r="BK687" s="3"/>
      <c r="BL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</row>
    <row r="688">
      <c r="C688" s="83"/>
      <c r="BI688" s="3"/>
      <c r="BJ688" s="3"/>
      <c r="BK688" s="3"/>
      <c r="BL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</row>
    <row r="689">
      <c r="C689" s="83"/>
      <c r="BI689" s="3"/>
      <c r="BJ689" s="3"/>
      <c r="BK689" s="3"/>
      <c r="BL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</row>
    <row r="690">
      <c r="C690" s="83"/>
      <c r="BI690" s="3"/>
      <c r="BJ690" s="3"/>
      <c r="BK690" s="3"/>
      <c r="BL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</row>
    <row r="691">
      <c r="C691" s="83"/>
      <c r="BI691" s="3"/>
      <c r="BJ691" s="3"/>
      <c r="BK691" s="3"/>
      <c r="BL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</row>
    <row r="692">
      <c r="C692" s="83"/>
      <c r="BI692" s="3"/>
      <c r="BJ692" s="3"/>
      <c r="BK692" s="3"/>
      <c r="BL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</row>
    <row r="693">
      <c r="C693" s="83"/>
      <c r="BI693" s="3"/>
      <c r="BJ693" s="3"/>
      <c r="BK693" s="3"/>
      <c r="BL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</row>
    <row r="694">
      <c r="C694" s="83"/>
      <c r="BI694" s="3"/>
      <c r="BJ694" s="3"/>
      <c r="BK694" s="3"/>
      <c r="BL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</row>
    <row r="695">
      <c r="C695" s="83"/>
      <c r="BI695" s="3"/>
      <c r="BJ695" s="3"/>
      <c r="BK695" s="3"/>
      <c r="BL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</row>
    <row r="696">
      <c r="C696" s="83"/>
      <c r="BI696" s="3"/>
      <c r="BJ696" s="3"/>
      <c r="BK696" s="3"/>
      <c r="BL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</row>
    <row r="697">
      <c r="C697" s="83"/>
      <c r="BI697" s="3"/>
      <c r="BJ697" s="3"/>
      <c r="BK697" s="3"/>
      <c r="BL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</row>
    <row r="698">
      <c r="C698" s="83"/>
      <c r="BI698" s="3"/>
      <c r="BJ698" s="3"/>
      <c r="BK698" s="3"/>
      <c r="BL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</row>
    <row r="699">
      <c r="C699" s="83"/>
      <c r="BI699" s="3"/>
      <c r="BJ699" s="3"/>
      <c r="BK699" s="3"/>
      <c r="BL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</row>
    <row r="700">
      <c r="C700" s="83"/>
      <c r="BI700" s="3"/>
      <c r="BJ700" s="3"/>
      <c r="BK700" s="3"/>
      <c r="BL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</row>
    <row r="701">
      <c r="C701" s="83"/>
      <c r="BI701" s="3"/>
      <c r="BJ701" s="3"/>
      <c r="BK701" s="3"/>
      <c r="BL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</row>
    <row r="702">
      <c r="C702" s="83"/>
      <c r="BI702" s="3"/>
      <c r="BJ702" s="3"/>
      <c r="BK702" s="3"/>
      <c r="BL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</row>
    <row r="703">
      <c r="C703" s="83"/>
      <c r="BI703" s="3"/>
      <c r="BJ703" s="3"/>
      <c r="BK703" s="3"/>
      <c r="BL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</row>
    <row r="704">
      <c r="C704" s="83"/>
      <c r="BI704" s="3"/>
      <c r="BJ704" s="3"/>
      <c r="BK704" s="3"/>
      <c r="BL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</row>
    <row r="705">
      <c r="C705" s="83"/>
      <c r="BI705" s="3"/>
      <c r="BJ705" s="3"/>
      <c r="BK705" s="3"/>
      <c r="BL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</row>
    <row r="706">
      <c r="C706" s="83"/>
      <c r="BI706" s="3"/>
      <c r="BJ706" s="3"/>
      <c r="BK706" s="3"/>
      <c r="BL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</row>
    <row r="707">
      <c r="C707" s="83"/>
      <c r="BI707" s="3"/>
      <c r="BJ707" s="3"/>
      <c r="BK707" s="3"/>
      <c r="BL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</row>
    <row r="708">
      <c r="C708" s="83"/>
      <c r="BI708" s="3"/>
      <c r="BJ708" s="3"/>
      <c r="BK708" s="3"/>
      <c r="BL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</row>
    <row r="709">
      <c r="C709" s="83"/>
      <c r="BI709" s="3"/>
      <c r="BJ709" s="3"/>
      <c r="BK709" s="3"/>
      <c r="BL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</row>
    <row r="710">
      <c r="C710" s="83"/>
      <c r="BI710" s="3"/>
      <c r="BJ710" s="3"/>
      <c r="BK710" s="3"/>
      <c r="BL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</row>
    <row r="711">
      <c r="C711" s="83"/>
      <c r="BI711" s="3"/>
      <c r="BJ711" s="3"/>
      <c r="BK711" s="3"/>
      <c r="BL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</row>
    <row r="712">
      <c r="C712" s="83"/>
      <c r="BI712" s="3"/>
      <c r="BJ712" s="3"/>
      <c r="BK712" s="3"/>
      <c r="BL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</row>
    <row r="713">
      <c r="C713" s="83"/>
      <c r="BI713" s="3"/>
      <c r="BJ713" s="3"/>
      <c r="BK713" s="3"/>
      <c r="BL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</row>
    <row r="714">
      <c r="C714" s="83"/>
      <c r="BI714" s="3"/>
      <c r="BJ714" s="3"/>
      <c r="BK714" s="3"/>
      <c r="BL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</row>
    <row r="715">
      <c r="C715" s="83"/>
      <c r="BI715" s="3"/>
      <c r="BJ715" s="3"/>
      <c r="BK715" s="3"/>
      <c r="BL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</row>
    <row r="716">
      <c r="C716" s="83"/>
      <c r="BI716" s="3"/>
      <c r="BJ716" s="3"/>
      <c r="BK716" s="3"/>
      <c r="BL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</row>
    <row r="717">
      <c r="C717" s="83"/>
      <c r="BI717" s="3"/>
      <c r="BJ717" s="3"/>
      <c r="BK717" s="3"/>
      <c r="BL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</row>
    <row r="718">
      <c r="C718" s="83"/>
      <c r="BI718" s="3"/>
      <c r="BJ718" s="3"/>
      <c r="BK718" s="3"/>
      <c r="BL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</row>
    <row r="719">
      <c r="C719" s="83"/>
      <c r="BI719" s="3"/>
      <c r="BJ719" s="3"/>
      <c r="BK719" s="3"/>
      <c r="BL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</row>
    <row r="720">
      <c r="C720" s="83"/>
      <c r="BI720" s="3"/>
      <c r="BJ720" s="3"/>
      <c r="BK720" s="3"/>
      <c r="BL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</row>
    <row r="721">
      <c r="C721" s="83"/>
      <c r="BI721" s="3"/>
      <c r="BJ721" s="3"/>
      <c r="BK721" s="3"/>
      <c r="BL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</row>
    <row r="722">
      <c r="C722" s="83"/>
      <c r="BI722" s="3"/>
      <c r="BJ722" s="3"/>
      <c r="BK722" s="3"/>
      <c r="BL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</row>
    <row r="723">
      <c r="C723" s="83"/>
      <c r="BI723" s="3"/>
      <c r="BJ723" s="3"/>
      <c r="BK723" s="3"/>
      <c r="BL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</row>
    <row r="724">
      <c r="C724" s="83"/>
      <c r="BI724" s="3"/>
      <c r="BJ724" s="3"/>
      <c r="BK724" s="3"/>
      <c r="BL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</row>
    <row r="725">
      <c r="C725" s="83"/>
      <c r="BI725" s="3"/>
      <c r="BJ725" s="3"/>
      <c r="BK725" s="3"/>
      <c r="BL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</row>
    <row r="726">
      <c r="C726" s="83"/>
      <c r="BI726" s="3"/>
      <c r="BJ726" s="3"/>
      <c r="BK726" s="3"/>
      <c r="BL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</row>
    <row r="727">
      <c r="C727" s="83"/>
      <c r="BI727" s="3"/>
      <c r="BJ727" s="3"/>
      <c r="BK727" s="3"/>
      <c r="BL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</row>
    <row r="728">
      <c r="C728" s="83"/>
      <c r="BI728" s="3"/>
      <c r="BJ728" s="3"/>
      <c r="BK728" s="3"/>
      <c r="BL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</row>
    <row r="729">
      <c r="C729" s="83"/>
      <c r="BI729" s="3"/>
      <c r="BJ729" s="3"/>
      <c r="BK729" s="3"/>
      <c r="BL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</row>
    <row r="730">
      <c r="C730" s="83"/>
      <c r="BI730" s="3"/>
      <c r="BJ730" s="3"/>
      <c r="BK730" s="3"/>
      <c r="BL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</row>
    <row r="731">
      <c r="C731" s="83"/>
      <c r="BI731" s="3"/>
      <c r="BJ731" s="3"/>
      <c r="BK731" s="3"/>
      <c r="BL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</row>
    <row r="732">
      <c r="C732" s="83"/>
      <c r="BI732" s="3"/>
      <c r="BJ732" s="3"/>
      <c r="BK732" s="3"/>
      <c r="BL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</row>
    <row r="733">
      <c r="C733" s="83"/>
      <c r="BI733" s="3"/>
      <c r="BJ733" s="3"/>
      <c r="BK733" s="3"/>
      <c r="BL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</row>
    <row r="734">
      <c r="C734" s="83"/>
      <c r="BI734" s="3"/>
      <c r="BJ734" s="3"/>
      <c r="BK734" s="3"/>
      <c r="BL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</row>
    <row r="735">
      <c r="C735" s="83"/>
      <c r="BI735" s="3"/>
      <c r="BJ735" s="3"/>
      <c r="BK735" s="3"/>
      <c r="BL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</row>
    <row r="736">
      <c r="C736" s="83"/>
      <c r="BI736" s="3"/>
      <c r="BJ736" s="3"/>
      <c r="BK736" s="3"/>
      <c r="BL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</row>
    <row r="737">
      <c r="C737" s="83"/>
      <c r="BI737" s="3"/>
      <c r="BJ737" s="3"/>
      <c r="BK737" s="3"/>
      <c r="BL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</row>
    <row r="738">
      <c r="C738" s="83"/>
      <c r="BI738" s="3"/>
      <c r="BJ738" s="3"/>
      <c r="BK738" s="3"/>
      <c r="BL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</row>
    <row r="739">
      <c r="C739" s="83"/>
      <c r="BI739" s="3"/>
      <c r="BJ739" s="3"/>
      <c r="BK739" s="3"/>
      <c r="BL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</row>
    <row r="740">
      <c r="C740" s="83"/>
      <c r="BI740" s="3"/>
      <c r="BJ740" s="3"/>
      <c r="BK740" s="3"/>
      <c r="BL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</row>
    <row r="741">
      <c r="C741" s="83"/>
      <c r="BI741" s="3"/>
      <c r="BJ741" s="3"/>
      <c r="BK741" s="3"/>
      <c r="BL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</row>
    <row r="742">
      <c r="C742" s="83"/>
      <c r="BI742" s="3"/>
      <c r="BJ742" s="3"/>
      <c r="BK742" s="3"/>
      <c r="BL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</row>
    <row r="743">
      <c r="C743" s="83"/>
      <c r="BI743" s="3"/>
      <c r="BJ743" s="3"/>
      <c r="BK743" s="3"/>
      <c r="BL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</row>
    <row r="744">
      <c r="C744" s="83"/>
      <c r="BI744" s="3"/>
      <c r="BJ744" s="3"/>
      <c r="BK744" s="3"/>
      <c r="BL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</row>
    <row r="745">
      <c r="C745" s="83"/>
      <c r="BI745" s="3"/>
      <c r="BJ745" s="3"/>
      <c r="BK745" s="3"/>
      <c r="BL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</row>
    <row r="746">
      <c r="C746" s="83"/>
      <c r="BI746" s="3"/>
      <c r="BJ746" s="3"/>
      <c r="BK746" s="3"/>
      <c r="BL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</row>
    <row r="747">
      <c r="C747" s="83"/>
      <c r="BI747" s="3"/>
      <c r="BJ747" s="3"/>
      <c r="BK747" s="3"/>
      <c r="BL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</row>
    <row r="748">
      <c r="C748" s="83"/>
      <c r="BI748" s="3"/>
      <c r="BJ748" s="3"/>
      <c r="BK748" s="3"/>
      <c r="BL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</row>
    <row r="749">
      <c r="C749" s="83"/>
      <c r="BI749" s="3"/>
      <c r="BJ749" s="3"/>
      <c r="BK749" s="3"/>
      <c r="BL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</row>
    <row r="750">
      <c r="C750" s="83"/>
      <c r="BI750" s="3"/>
      <c r="BJ750" s="3"/>
      <c r="BK750" s="3"/>
      <c r="BL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</row>
    <row r="751">
      <c r="C751" s="83"/>
      <c r="BI751" s="3"/>
      <c r="BJ751" s="3"/>
      <c r="BK751" s="3"/>
      <c r="BL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</row>
    <row r="752">
      <c r="C752" s="83"/>
      <c r="BI752" s="3"/>
      <c r="BJ752" s="3"/>
      <c r="BK752" s="3"/>
      <c r="BL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</row>
    <row r="753">
      <c r="C753" s="83"/>
      <c r="BI753" s="3"/>
      <c r="BJ753" s="3"/>
      <c r="BK753" s="3"/>
      <c r="BL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</row>
    <row r="754">
      <c r="C754" s="83"/>
      <c r="BI754" s="3"/>
      <c r="BJ754" s="3"/>
      <c r="BK754" s="3"/>
      <c r="BL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</row>
    <row r="755">
      <c r="C755" s="83"/>
      <c r="BI755" s="3"/>
      <c r="BJ755" s="3"/>
      <c r="BK755" s="3"/>
      <c r="BL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</row>
    <row r="756">
      <c r="C756" s="83"/>
      <c r="BI756" s="3"/>
      <c r="BJ756" s="3"/>
      <c r="BK756" s="3"/>
      <c r="BL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</row>
    <row r="757">
      <c r="C757" s="83"/>
      <c r="BI757" s="3"/>
      <c r="BJ757" s="3"/>
      <c r="BK757" s="3"/>
      <c r="BL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</row>
    <row r="758">
      <c r="C758" s="83"/>
      <c r="BI758" s="3"/>
      <c r="BJ758" s="3"/>
      <c r="BK758" s="3"/>
      <c r="BL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</row>
    <row r="759">
      <c r="C759" s="83"/>
      <c r="BI759" s="3"/>
      <c r="BJ759" s="3"/>
      <c r="BK759" s="3"/>
      <c r="BL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</row>
    <row r="760">
      <c r="C760" s="83"/>
      <c r="BI760" s="3"/>
      <c r="BJ760" s="3"/>
      <c r="BK760" s="3"/>
      <c r="BL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</row>
    <row r="761">
      <c r="C761" s="83"/>
      <c r="BI761" s="3"/>
      <c r="BJ761" s="3"/>
      <c r="BK761" s="3"/>
      <c r="BL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</row>
    <row r="762">
      <c r="C762" s="83"/>
      <c r="BI762" s="3"/>
      <c r="BJ762" s="3"/>
      <c r="BK762" s="3"/>
      <c r="BL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</row>
    <row r="763">
      <c r="C763" s="83"/>
      <c r="BI763" s="3"/>
      <c r="BJ763" s="3"/>
      <c r="BK763" s="3"/>
      <c r="BL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</row>
    <row r="764">
      <c r="C764" s="83"/>
      <c r="BI764" s="3"/>
      <c r="BJ764" s="3"/>
      <c r="BK764" s="3"/>
      <c r="BL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</row>
    <row r="765">
      <c r="C765" s="83"/>
      <c r="BI765" s="3"/>
      <c r="BJ765" s="3"/>
      <c r="BK765" s="3"/>
      <c r="BL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</row>
    <row r="766">
      <c r="C766" s="83"/>
      <c r="BI766" s="3"/>
      <c r="BJ766" s="3"/>
      <c r="BK766" s="3"/>
      <c r="BL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</row>
    <row r="767">
      <c r="C767" s="83"/>
      <c r="BI767" s="3"/>
      <c r="BJ767" s="3"/>
      <c r="BK767" s="3"/>
      <c r="BL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</row>
    <row r="768">
      <c r="C768" s="83"/>
      <c r="BI768" s="3"/>
      <c r="BJ768" s="3"/>
      <c r="BK768" s="3"/>
      <c r="BL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</row>
    <row r="769">
      <c r="C769" s="83"/>
      <c r="BI769" s="3"/>
      <c r="BJ769" s="3"/>
      <c r="BK769" s="3"/>
      <c r="BL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</row>
    <row r="770">
      <c r="C770" s="83"/>
      <c r="BI770" s="3"/>
      <c r="BJ770" s="3"/>
      <c r="BK770" s="3"/>
      <c r="BL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</row>
    <row r="771">
      <c r="C771" s="83"/>
      <c r="BI771" s="3"/>
      <c r="BJ771" s="3"/>
      <c r="BK771" s="3"/>
      <c r="BL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</row>
    <row r="772">
      <c r="C772" s="83"/>
      <c r="BI772" s="3"/>
      <c r="BJ772" s="3"/>
      <c r="BK772" s="3"/>
      <c r="BL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</row>
    <row r="773">
      <c r="C773" s="83"/>
      <c r="BI773" s="3"/>
      <c r="BJ773" s="3"/>
      <c r="BK773" s="3"/>
      <c r="BL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</row>
    <row r="774">
      <c r="C774" s="83"/>
      <c r="BI774" s="3"/>
      <c r="BJ774" s="3"/>
      <c r="BK774" s="3"/>
      <c r="BL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</row>
    <row r="775">
      <c r="C775" s="83"/>
      <c r="BI775" s="3"/>
      <c r="BJ775" s="3"/>
      <c r="BK775" s="3"/>
      <c r="BL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</row>
    <row r="776">
      <c r="C776" s="83"/>
      <c r="BI776" s="3"/>
      <c r="BJ776" s="3"/>
      <c r="BK776" s="3"/>
      <c r="BL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</row>
    <row r="777">
      <c r="C777" s="83"/>
      <c r="BI777" s="3"/>
      <c r="BJ777" s="3"/>
      <c r="BK777" s="3"/>
      <c r="BL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</row>
    <row r="778">
      <c r="C778" s="83"/>
      <c r="BI778" s="3"/>
      <c r="BJ778" s="3"/>
      <c r="BK778" s="3"/>
      <c r="BL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</row>
    <row r="779">
      <c r="C779" s="83"/>
      <c r="BI779" s="3"/>
      <c r="BJ779" s="3"/>
      <c r="BK779" s="3"/>
      <c r="BL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</row>
    <row r="780">
      <c r="C780" s="83"/>
      <c r="BI780" s="3"/>
      <c r="BJ780" s="3"/>
      <c r="BK780" s="3"/>
      <c r="BL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</row>
    <row r="781">
      <c r="C781" s="83"/>
      <c r="BI781" s="3"/>
      <c r="BJ781" s="3"/>
      <c r="BK781" s="3"/>
      <c r="BL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</row>
    <row r="782">
      <c r="C782" s="83"/>
      <c r="BI782" s="3"/>
      <c r="BJ782" s="3"/>
      <c r="BK782" s="3"/>
      <c r="BL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</row>
    <row r="783">
      <c r="C783" s="83"/>
      <c r="BI783" s="3"/>
      <c r="BJ783" s="3"/>
      <c r="BK783" s="3"/>
      <c r="BL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</row>
    <row r="784">
      <c r="C784" s="83"/>
      <c r="BI784" s="3"/>
      <c r="BJ784" s="3"/>
      <c r="BK784" s="3"/>
      <c r="BL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</row>
    <row r="785">
      <c r="C785" s="83"/>
      <c r="BI785" s="3"/>
      <c r="BJ785" s="3"/>
      <c r="BK785" s="3"/>
      <c r="BL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</row>
    <row r="786">
      <c r="C786" s="83"/>
      <c r="BI786" s="3"/>
      <c r="BJ786" s="3"/>
      <c r="BK786" s="3"/>
      <c r="BL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</row>
    <row r="787">
      <c r="C787" s="83"/>
      <c r="BI787" s="3"/>
      <c r="BJ787" s="3"/>
      <c r="BK787" s="3"/>
      <c r="BL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</row>
    <row r="788">
      <c r="C788" s="83"/>
      <c r="BI788" s="3"/>
      <c r="BJ788" s="3"/>
      <c r="BK788" s="3"/>
      <c r="BL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</row>
    <row r="789">
      <c r="C789" s="83"/>
      <c r="BI789" s="3"/>
      <c r="BJ789" s="3"/>
      <c r="BK789" s="3"/>
      <c r="BL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</row>
    <row r="790">
      <c r="C790" s="83"/>
      <c r="BI790" s="3"/>
      <c r="BJ790" s="3"/>
      <c r="BK790" s="3"/>
      <c r="BL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</row>
    <row r="791">
      <c r="C791" s="83"/>
      <c r="BI791" s="3"/>
      <c r="BJ791" s="3"/>
      <c r="BK791" s="3"/>
      <c r="BL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</row>
    <row r="792">
      <c r="C792" s="83"/>
      <c r="BI792" s="3"/>
      <c r="BJ792" s="3"/>
      <c r="BK792" s="3"/>
      <c r="BL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</row>
    <row r="793">
      <c r="C793" s="83"/>
      <c r="BI793" s="3"/>
      <c r="BJ793" s="3"/>
      <c r="BK793" s="3"/>
      <c r="BL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</row>
    <row r="794">
      <c r="C794" s="83"/>
      <c r="BI794" s="3"/>
      <c r="BJ794" s="3"/>
      <c r="BK794" s="3"/>
      <c r="BL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</row>
    <row r="795">
      <c r="C795" s="83"/>
      <c r="BI795" s="3"/>
      <c r="BJ795" s="3"/>
      <c r="BK795" s="3"/>
      <c r="BL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</row>
    <row r="796">
      <c r="C796" s="83"/>
      <c r="BI796" s="3"/>
      <c r="BJ796" s="3"/>
      <c r="BK796" s="3"/>
      <c r="BL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</row>
    <row r="797">
      <c r="C797" s="83"/>
      <c r="BI797" s="3"/>
      <c r="BJ797" s="3"/>
      <c r="BK797" s="3"/>
      <c r="BL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</row>
    <row r="798">
      <c r="C798" s="83"/>
      <c r="BI798" s="3"/>
      <c r="BJ798" s="3"/>
      <c r="BK798" s="3"/>
      <c r="BL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</row>
    <row r="799">
      <c r="C799" s="83"/>
      <c r="BI799" s="3"/>
      <c r="BJ799" s="3"/>
      <c r="BK799" s="3"/>
      <c r="BL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</row>
    <row r="800">
      <c r="C800" s="83"/>
      <c r="BI800" s="3"/>
      <c r="BJ800" s="3"/>
      <c r="BK800" s="3"/>
      <c r="BL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</row>
    <row r="801">
      <c r="C801" s="83"/>
      <c r="BI801" s="3"/>
      <c r="BJ801" s="3"/>
      <c r="BK801" s="3"/>
      <c r="BL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</row>
    <row r="802">
      <c r="C802" s="83"/>
      <c r="BI802" s="3"/>
      <c r="BJ802" s="3"/>
      <c r="BK802" s="3"/>
      <c r="BL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</row>
    <row r="803">
      <c r="C803" s="83"/>
      <c r="BI803" s="3"/>
      <c r="BJ803" s="3"/>
      <c r="BK803" s="3"/>
      <c r="BL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</row>
    <row r="804">
      <c r="C804" s="83"/>
      <c r="BI804" s="3"/>
      <c r="BJ804" s="3"/>
      <c r="BK804" s="3"/>
      <c r="BL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</row>
    <row r="805">
      <c r="C805" s="83"/>
      <c r="BI805" s="3"/>
      <c r="BJ805" s="3"/>
      <c r="BK805" s="3"/>
      <c r="BL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</row>
    <row r="806">
      <c r="C806" s="83"/>
      <c r="BI806" s="3"/>
      <c r="BJ806" s="3"/>
      <c r="BK806" s="3"/>
      <c r="BL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</row>
    <row r="807">
      <c r="C807" s="83"/>
      <c r="BI807" s="3"/>
      <c r="BJ807" s="3"/>
      <c r="BK807" s="3"/>
      <c r="BL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</row>
    <row r="808">
      <c r="C808" s="83"/>
      <c r="BI808" s="3"/>
      <c r="BJ808" s="3"/>
      <c r="BK808" s="3"/>
      <c r="BL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</row>
    <row r="809">
      <c r="C809" s="83"/>
      <c r="BI809" s="3"/>
      <c r="BJ809" s="3"/>
      <c r="BK809" s="3"/>
      <c r="BL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</row>
    <row r="810">
      <c r="C810" s="83"/>
      <c r="BI810" s="3"/>
      <c r="BJ810" s="3"/>
      <c r="BK810" s="3"/>
      <c r="BL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</row>
    <row r="811">
      <c r="C811" s="83"/>
      <c r="BI811" s="3"/>
      <c r="BJ811" s="3"/>
      <c r="BK811" s="3"/>
      <c r="BL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</row>
    <row r="812">
      <c r="C812" s="83"/>
      <c r="BI812" s="3"/>
      <c r="BJ812" s="3"/>
      <c r="BK812" s="3"/>
      <c r="BL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</row>
    <row r="813">
      <c r="C813" s="83"/>
      <c r="BI813" s="3"/>
      <c r="BJ813" s="3"/>
      <c r="BK813" s="3"/>
      <c r="BL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</row>
    <row r="814">
      <c r="C814" s="83"/>
      <c r="BI814" s="3"/>
      <c r="BJ814" s="3"/>
      <c r="BK814" s="3"/>
      <c r="BL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</row>
    <row r="815">
      <c r="C815" s="83"/>
      <c r="BI815" s="3"/>
      <c r="BJ815" s="3"/>
      <c r="BK815" s="3"/>
      <c r="BL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</row>
    <row r="816">
      <c r="C816" s="83"/>
      <c r="BI816" s="3"/>
      <c r="BJ816" s="3"/>
      <c r="BK816" s="3"/>
      <c r="BL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</row>
    <row r="817">
      <c r="C817" s="83"/>
      <c r="BI817" s="3"/>
      <c r="BJ817" s="3"/>
      <c r="BK817" s="3"/>
      <c r="BL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</row>
    <row r="818">
      <c r="C818" s="83"/>
      <c r="BI818" s="3"/>
      <c r="BJ818" s="3"/>
      <c r="BK818" s="3"/>
      <c r="BL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</row>
    <row r="819">
      <c r="C819" s="83"/>
      <c r="BI819" s="3"/>
      <c r="BJ819" s="3"/>
      <c r="BK819" s="3"/>
      <c r="BL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</row>
    <row r="820">
      <c r="C820" s="83"/>
      <c r="BI820" s="3"/>
      <c r="BJ820" s="3"/>
      <c r="BK820" s="3"/>
      <c r="BL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</row>
    <row r="821">
      <c r="C821" s="83"/>
      <c r="BI821" s="3"/>
      <c r="BJ821" s="3"/>
      <c r="BK821" s="3"/>
      <c r="BL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</row>
    <row r="822">
      <c r="C822" s="83"/>
      <c r="BI822" s="3"/>
      <c r="BJ822" s="3"/>
      <c r="BK822" s="3"/>
      <c r="BL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</row>
    <row r="823">
      <c r="C823" s="83"/>
      <c r="BI823" s="3"/>
      <c r="BJ823" s="3"/>
      <c r="BK823" s="3"/>
      <c r="BL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</row>
    <row r="824">
      <c r="C824" s="83"/>
      <c r="BI824" s="3"/>
      <c r="BJ824" s="3"/>
      <c r="BK824" s="3"/>
      <c r="BL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</row>
    <row r="825">
      <c r="C825" s="83"/>
      <c r="BI825" s="3"/>
      <c r="BJ825" s="3"/>
      <c r="BK825" s="3"/>
      <c r="BL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</row>
    <row r="826">
      <c r="C826" s="83"/>
      <c r="BI826" s="3"/>
      <c r="BJ826" s="3"/>
      <c r="BK826" s="3"/>
      <c r="BL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</row>
    <row r="827">
      <c r="C827" s="83"/>
      <c r="BI827" s="3"/>
      <c r="BJ827" s="3"/>
      <c r="BK827" s="3"/>
      <c r="BL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</row>
    <row r="828">
      <c r="C828" s="83"/>
      <c r="BI828" s="3"/>
      <c r="BJ828" s="3"/>
      <c r="BK828" s="3"/>
      <c r="BL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</row>
    <row r="829">
      <c r="C829" s="83"/>
      <c r="BI829" s="3"/>
      <c r="BJ829" s="3"/>
      <c r="BK829" s="3"/>
      <c r="BL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</row>
    <row r="830">
      <c r="C830" s="83"/>
      <c r="BI830" s="3"/>
      <c r="BJ830" s="3"/>
      <c r="BK830" s="3"/>
      <c r="BL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</row>
    <row r="831">
      <c r="C831" s="83"/>
      <c r="BI831" s="3"/>
      <c r="BJ831" s="3"/>
      <c r="BK831" s="3"/>
      <c r="BL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</row>
    <row r="832">
      <c r="C832" s="83"/>
      <c r="BI832" s="3"/>
      <c r="BJ832" s="3"/>
      <c r="BK832" s="3"/>
      <c r="BL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</row>
    <row r="833">
      <c r="C833" s="83"/>
      <c r="BI833" s="3"/>
      <c r="BJ833" s="3"/>
      <c r="BK833" s="3"/>
      <c r="BL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</row>
    <row r="834">
      <c r="C834" s="83"/>
      <c r="BI834" s="3"/>
      <c r="BJ834" s="3"/>
      <c r="BK834" s="3"/>
      <c r="BL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</row>
    <row r="835">
      <c r="C835" s="83"/>
      <c r="BI835" s="3"/>
      <c r="BJ835" s="3"/>
      <c r="BK835" s="3"/>
      <c r="BL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</row>
    <row r="836">
      <c r="C836" s="83"/>
      <c r="BI836" s="3"/>
      <c r="BJ836" s="3"/>
      <c r="BK836" s="3"/>
      <c r="BL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</row>
    <row r="837">
      <c r="C837" s="83"/>
      <c r="BI837" s="3"/>
      <c r="BJ837" s="3"/>
      <c r="BK837" s="3"/>
      <c r="BL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</row>
    <row r="838">
      <c r="C838" s="83"/>
      <c r="BI838" s="3"/>
      <c r="BJ838" s="3"/>
      <c r="BK838" s="3"/>
      <c r="BL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</row>
    <row r="839">
      <c r="C839" s="83"/>
      <c r="BI839" s="3"/>
      <c r="BJ839" s="3"/>
      <c r="BK839" s="3"/>
      <c r="BL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</row>
    <row r="840">
      <c r="C840" s="83"/>
      <c r="BI840" s="3"/>
      <c r="BJ840" s="3"/>
      <c r="BK840" s="3"/>
      <c r="BL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</row>
    <row r="841">
      <c r="C841" s="83"/>
      <c r="BI841" s="3"/>
      <c r="BJ841" s="3"/>
      <c r="BK841" s="3"/>
      <c r="BL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</row>
    <row r="842">
      <c r="C842" s="83"/>
      <c r="BI842" s="3"/>
      <c r="BJ842" s="3"/>
      <c r="BK842" s="3"/>
      <c r="BL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</row>
    <row r="843">
      <c r="C843" s="83"/>
      <c r="BI843" s="3"/>
      <c r="BJ843" s="3"/>
      <c r="BK843" s="3"/>
      <c r="BL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</row>
    <row r="844">
      <c r="C844" s="83"/>
      <c r="BI844" s="3"/>
      <c r="BJ844" s="3"/>
      <c r="BK844" s="3"/>
      <c r="BL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</row>
    <row r="845">
      <c r="C845" s="83"/>
      <c r="BI845" s="3"/>
      <c r="BJ845" s="3"/>
      <c r="BK845" s="3"/>
      <c r="BL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</row>
    <row r="846">
      <c r="C846" s="83"/>
      <c r="BI846" s="3"/>
      <c r="BJ846" s="3"/>
      <c r="BK846" s="3"/>
      <c r="BL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</row>
    <row r="847">
      <c r="C847" s="83"/>
      <c r="BI847" s="3"/>
      <c r="BJ847" s="3"/>
      <c r="BK847" s="3"/>
      <c r="BL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</row>
    <row r="848">
      <c r="C848" s="83"/>
      <c r="BI848" s="3"/>
      <c r="BJ848" s="3"/>
      <c r="BK848" s="3"/>
      <c r="BL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</row>
    <row r="849">
      <c r="C849" s="83"/>
      <c r="BI849" s="3"/>
      <c r="BJ849" s="3"/>
      <c r="BK849" s="3"/>
      <c r="BL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</row>
    <row r="850">
      <c r="C850" s="83"/>
      <c r="BI850" s="3"/>
      <c r="BJ850" s="3"/>
      <c r="BK850" s="3"/>
      <c r="BL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</row>
    <row r="851">
      <c r="C851" s="83"/>
      <c r="BI851" s="3"/>
      <c r="BJ851" s="3"/>
      <c r="BK851" s="3"/>
      <c r="BL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</row>
    <row r="852">
      <c r="C852" s="83"/>
      <c r="BI852" s="3"/>
      <c r="BJ852" s="3"/>
      <c r="BK852" s="3"/>
      <c r="BL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</row>
    <row r="853">
      <c r="C853" s="83"/>
      <c r="BI853" s="3"/>
      <c r="BJ853" s="3"/>
      <c r="BK853" s="3"/>
      <c r="BL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</row>
    <row r="854">
      <c r="C854" s="83"/>
      <c r="BI854" s="3"/>
      <c r="BJ854" s="3"/>
      <c r="BK854" s="3"/>
      <c r="BL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</row>
    <row r="855">
      <c r="C855" s="83"/>
      <c r="BI855" s="3"/>
      <c r="BJ855" s="3"/>
      <c r="BK855" s="3"/>
      <c r="BL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</row>
    <row r="856">
      <c r="C856" s="83"/>
      <c r="BI856" s="3"/>
      <c r="BJ856" s="3"/>
      <c r="BK856" s="3"/>
      <c r="BL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</row>
    <row r="857">
      <c r="C857" s="83"/>
      <c r="BI857" s="3"/>
      <c r="BJ857" s="3"/>
      <c r="BK857" s="3"/>
      <c r="BL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</row>
    <row r="858">
      <c r="C858" s="83"/>
      <c r="BI858" s="3"/>
      <c r="BJ858" s="3"/>
      <c r="BK858" s="3"/>
      <c r="BL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</row>
    <row r="859">
      <c r="C859" s="83"/>
      <c r="BI859" s="3"/>
      <c r="BJ859" s="3"/>
      <c r="BK859" s="3"/>
      <c r="BL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</row>
    <row r="860">
      <c r="C860" s="83"/>
      <c r="BI860" s="3"/>
      <c r="BJ860" s="3"/>
      <c r="BK860" s="3"/>
      <c r="BL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</row>
    <row r="861">
      <c r="C861" s="83"/>
      <c r="BI861" s="3"/>
      <c r="BJ861" s="3"/>
      <c r="BK861" s="3"/>
      <c r="BL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</row>
    <row r="862">
      <c r="C862" s="83"/>
      <c r="BI862" s="3"/>
      <c r="BJ862" s="3"/>
      <c r="BK862" s="3"/>
      <c r="BL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</row>
    <row r="863">
      <c r="C863" s="83"/>
      <c r="BI863" s="3"/>
      <c r="BJ863" s="3"/>
      <c r="BK863" s="3"/>
      <c r="BL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</row>
    <row r="864">
      <c r="C864" s="83"/>
      <c r="BI864" s="3"/>
      <c r="BJ864" s="3"/>
      <c r="BK864" s="3"/>
      <c r="BL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</row>
    <row r="865">
      <c r="C865" s="83"/>
      <c r="BI865" s="3"/>
      <c r="BJ865" s="3"/>
      <c r="BK865" s="3"/>
      <c r="BL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</row>
    <row r="866">
      <c r="C866" s="83"/>
      <c r="BI866" s="3"/>
      <c r="BJ866" s="3"/>
      <c r="BK866" s="3"/>
      <c r="BL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</row>
    <row r="867">
      <c r="C867" s="83"/>
      <c r="BI867" s="3"/>
      <c r="BJ867" s="3"/>
      <c r="BK867" s="3"/>
      <c r="BL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</row>
    <row r="868">
      <c r="C868" s="83"/>
      <c r="BI868" s="3"/>
      <c r="BJ868" s="3"/>
      <c r="BK868" s="3"/>
      <c r="BL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</row>
    <row r="869">
      <c r="C869" s="83"/>
      <c r="BI869" s="3"/>
      <c r="BJ869" s="3"/>
      <c r="BK869" s="3"/>
      <c r="BL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</row>
    <row r="870">
      <c r="C870" s="83"/>
      <c r="BI870" s="3"/>
      <c r="BJ870" s="3"/>
      <c r="BK870" s="3"/>
      <c r="BL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</row>
    <row r="871">
      <c r="C871" s="83"/>
      <c r="BI871" s="3"/>
      <c r="BJ871" s="3"/>
      <c r="BK871" s="3"/>
      <c r="BL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</row>
    <row r="872">
      <c r="C872" s="83"/>
      <c r="BI872" s="3"/>
      <c r="BJ872" s="3"/>
      <c r="BK872" s="3"/>
      <c r="BL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</row>
    <row r="873">
      <c r="C873" s="83"/>
      <c r="BI873" s="3"/>
      <c r="BJ873" s="3"/>
      <c r="BK873" s="3"/>
      <c r="BL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</row>
    <row r="874">
      <c r="C874" s="83"/>
      <c r="BI874" s="3"/>
      <c r="BJ874" s="3"/>
      <c r="BK874" s="3"/>
      <c r="BL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</row>
    <row r="875">
      <c r="C875" s="83"/>
      <c r="BI875" s="3"/>
      <c r="BJ875" s="3"/>
      <c r="BK875" s="3"/>
      <c r="BL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</row>
    <row r="876">
      <c r="C876" s="83"/>
      <c r="BI876" s="3"/>
      <c r="BJ876" s="3"/>
      <c r="BK876" s="3"/>
      <c r="BL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</row>
    <row r="877">
      <c r="C877" s="83"/>
      <c r="BI877" s="3"/>
      <c r="BJ877" s="3"/>
      <c r="BK877" s="3"/>
      <c r="BL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</row>
    <row r="878">
      <c r="C878" s="83"/>
      <c r="BI878" s="3"/>
      <c r="BJ878" s="3"/>
      <c r="BK878" s="3"/>
      <c r="BL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</row>
    <row r="879">
      <c r="C879" s="83"/>
      <c r="BI879" s="3"/>
      <c r="BJ879" s="3"/>
      <c r="BK879" s="3"/>
      <c r="BL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</row>
    <row r="880">
      <c r="C880" s="83"/>
      <c r="BI880" s="3"/>
      <c r="BJ880" s="3"/>
      <c r="BK880" s="3"/>
      <c r="BL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</row>
    <row r="881">
      <c r="C881" s="83"/>
      <c r="BI881" s="3"/>
      <c r="BJ881" s="3"/>
      <c r="BK881" s="3"/>
      <c r="BL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</row>
    <row r="882">
      <c r="C882" s="83"/>
      <c r="BI882" s="3"/>
      <c r="BJ882" s="3"/>
      <c r="BK882" s="3"/>
      <c r="BL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</row>
    <row r="883">
      <c r="C883" s="83"/>
      <c r="BI883" s="3"/>
      <c r="BJ883" s="3"/>
      <c r="BK883" s="3"/>
      <c r="BL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</row>
    <row r="884">
      <c r="C884" s="83"/>
      <c r="BI884" s="3"/>
      <c r="BJ884" s="3"/>
      <c r="BK884" s="3"/>
      <c r="BL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</row>
    <row r="885">
      <c r="C885" s="83"/>
      <c r="BI885" s="3"/>
      <c r="BJ885" s="3"/>
      <c r="BK885" s="3"/>
      <c r="BL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</row>
    <row r="886">
      <c r="C886" s="83"/>
      <c r="BI886" s="3"/>
      <c r="BJ886" s="3"/>
      <c r="BK886" s="3"/>
      <c r="BL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</row>
    <row r="887">
      <c r="C887" s="83"/>
      <c r="BI887" s="3"/>
      <c r="BJ887" s="3"/>
      <c r="BK887" s="3"/>
      <c r="BL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</row>
    <row r="888">
      <c r="C888" s="83"/>
      <c r="BI888" s="3"/>
      <c r="BJ888" s="3"/>
      <c r="BK888" s="3"/>
      <c r="BL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</row>
    <row r="889">
      <c r="C889" s="83"/>
      <c r="BI889" s="3"/>
      <c r="BJ889" s="3"/>
      <c r="BK889" s="3"/>
      <c r="BL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</row>
    <row r="890">
      <c r="C890" s="83"/>
      <c r="BI890" s="3"/>
      <c r="BJ890" s="3"/>
      <c r="BK890" s="3"/>
      <c r="BL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</row>
    <row r="891">
      <c r="C891" s="83"/>
      <c r="BI891" s="3"/>
      <c r="BJ891" s="3"/>
      <c r="BK891" s="3"/>
      <c r="BL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</row>
    <row r="892">
      <c r="C892" s="83"/>
      <c r="BI892" s="3"/>
      <c r="BJ892" s="3"/>
      <c r="BK892" s="3"/>
      <c r="BL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</row>
    <row r="893">
      <c r="C893" s="83"/>
      <c r="BI893" s="3"/>
      <c r="BJ893" s="3"/>
      <c r="BK893" s="3"/>
      <c r="BL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</row>
    <row r="894">
      <c r="C894" s="83"/>
      <c r="BI894" s="3"/>
      <c r="BJ894" s="3"/>
      <c r="BK894" s="3"/>
      <c r="BL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</row>
    <row r="895">
      <c r="C895" s="83"/>
      <c r="BI895" s="3"/>
      <c r="BJ895" s="3"/>
      <c r="BK895" s="3"/>
      <c r="BL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</row>
    <row r="896">
      <c r="C896" s="83"/>
      <c r="BI896" s="3"/>
      <c r="BJ896" s="3"/>
      <c r="BK896" s="3"/>
      <c r="BL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</row>
    <row r="897">
      <c r="C897" s="83"/>
      <c r="BI897" s="3"/>
      <c r="BJ897" s="3"/>
      <c r="BK897" s="3"/>
      <c r="BL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</row>
    <row r="898">
      <c r="C898" s="83"/>
      <c r="BI898" s="3"/>
      <c r="BJ898" s="3"/>
      <c r="BK898" s="3"/>
      <c r="BL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</row>
    <row r="899">
      <c r="C899" s="83"/>
      <c r="BI899" s="3"/>
      <c r="BJ899" s="3"/>
      <c r="BK899" s="3"/>
      <c r="BL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</row>
    <row r="900">
      <c r="C900" s="83"/>
      <c r="BI900" s="3"/>
      <c r="BJ900" s="3"/>
      <c r="BK900" s="3"/>
      <c r="BL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</row>
    <row r="901">
      <c r="C901" s="83"/>
      <c r="BI901" s="3"/>
      <c r="BJ901" s="3"/>
      <c r="BK901" s="3"/>
      <c r="BL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</row>
    <row r="902">
      <c r="C902" s="83"/>
      <c r="BI902" s="3"/>
      <c r="BJ902" s="3"/>
      <c r="BK902" s="3"/>
      <c r="BL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</row>
    <row r="903">
      <c r="C903" s="83"/>
      <c r="BI903" s="3"/>
      <c r="BJ903" s="3"/>
      <c r="BK903" s="3"/>
      <c r="BL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</row>
    <row r="904">
      <c r="C904" s="83"/>
      <c r="BI904" s="3"/>
      <c r="BJ904" s="3"/>
      <c r="BK904" s="3"/>
      <c r="BL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</row>
    <row r="905">
      <c r="C905" s="83"/>
      <c r="BI905" s="3"/>
      <c r="BJ905" s="3"/>
      <c r="BK905" s="3"/>
      <c r="BL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</row>
    <row r="906">
      <c r="C906" s="83"/>
      <c r="BI906" s="3"/>
      <c r="BJ906" s="3"/>
      <c r="BK906" s="3"/>
      <c r="BL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</row>
    <row r="907">
      <c r="C907" s="83"/>
      <c r="BI907" s="3"/>
      <c r="BJ907" s="3"/>
      <c r="BK907" s="3"/>
      <c r="BL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</row>
    <row r="908">
      <c r="C908" s="83"/>
      <c r="BI908" s="3"/>
      <c r="BJ908" s="3"/>
      <c r="BK908" s="3"/>
      <c r="BL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</row>
    <row r="909">
      <c r="C909" s="83"/>
      <c r="BI909" s="3"/>
      <c r="BJ909" s="3"/>
      <c r="BK909" s="3"/>
      <c r="BL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</row>
    <row r="910">
      <c r="C910" s="83"/>
      <c r="BI910" s="3"/>
      <c r="BJ910" s="3"/>
      <c r="BK910" s="3"/>
      <c r="BL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</row>
    <row r="911">
      <c r="C911" s="83"/>
      <c r="BI911" s="3"/>
      <c r="BJ911" s="3"/>
      <c r="BK911" s="3"/>
      <c r="BL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</row>
    <row r="912">
      <c r="C912" s="83"/>
      <c r="BI912" s="3"/>
      <c r="BJ912" s="3"/>
      <c r="BK912" s="3"/>
      <c r="BL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</row>
    <row r="913">
      <c r="C913" s="83"/>
      <c r="BI913" s="3"/>
      <c r="BJ913" s="3"/>
      <c r="BK913" s="3"/>
      <c r="BL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</row>
    <row r="914">
      <c r="C914" s="83"/>
      <c r="BI914" s="3"/>
      <c r="BJ914" s="3"/>
      <c r="BK914" s="3"/>
      <c r="BL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</row>
    <row r="915">
      <c r="C915" s="83"/>
      <c r="BI915" s="3"/>
      <c r="BJ915" s="3"/>
      <c r="BK915" s="3"/>
      <c r="BL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</row>
    <row r="916">
      <c r="C916" s="83"/>
      <c r="BI916" s="3"/>
      <c r="BJ916" s="3"/>
      <c r="BK916" s="3"/>
      <c r="BL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</row>
    <row r="917">
      <c r="C917" s="83"/>
      <c r="BI917" s="3"/>
      <c r="BJ917" s="3"/>
      <c r="BK917" s="3"/>
      <c r="BL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</row>
    <row r="918">
      <c r="C918" s="83"/>
      <c r="BI918" s="3"/>
      <c r="BJ918" s="3"/>
      <c r="BK918" s="3"/>
      <c r="BL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</row>
    <row r="919">
      <c r="C919" s="83"/>
      <c r="BI919" s="3"/>
      <c r="BJ919" s="3"/>
      <c r="BK919" s="3"/>
      <c r="BL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</row>
    <row r="920">
      <c r="C920" s="83"/>
      <c r="BI920" s="3"/>
      <c r="BJ920" s="3"/>
      <c r="BK920" s="3"/>
      <c r="BL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</row>
    <row r="921">
      <c r="C921" s="83"/>
      <c r="BI921" s="3"/>
      <c r="BJ921" s="3"/>
      <c r="BK921" s="3"/>
      <c r="BL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</row>
    <row r="922">
      <c r="C922" s="83"/>
      <c r="BI922" s="3"/>
      <c r="BJ922" s="3"/>
      <c r="BK922" s="3"/>
      <c r="BL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</row>
    <row r="923">
      <c r="C923" s="83"/>
      <c r="BI923" s="3"/>
      <c r="BJ923" s="3"/>
      <c r="BK923" s="3"/>
      <c r="BL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</row>
    <row r="924">
      <c r="C924" s="83"/>
      <c r="BI924" s="3"/>
      <c r="BJ924" s="3"/>
      <c r="BK924" s="3"/>
      <c r="BL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</row>
    <row r="925">
      <c r="C925" s="83"/>
      <c r="BI925" s="3"/>
      <c r="BJ925" s="3"/>
      <c r="BK925" s="3"/>
      <c r="BL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</row>
    <row r="926">
      <c r="C926" s="83"/>
      <c r="BI926" s="3"/>
      <c r="BJ926" s="3"/>
      <c r="BK926" s="3"/>
      <c r="BL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</row>
    <row r="927">
      <c r="C927" s="83"/>
      <c r="BI927" s="3"/>
      <c r="BJ927" s="3"/>
      <c r="BK927" s="3"/>
      <c r="BL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</row>
    <row r="928">
      <c r="C928" s="83"/>
      <c r="BI928" s="3"/>
      <c r="BJ928" s="3"/>
      <c r="BK928" s="3"/>
      <c r="BL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</row>
    <row r="929">
      <c r="C929" s="83"/>
      <c r="BI929" s="3"/>
      <c r="BJ929" s="3"/>
      <c r="BK929" s="3"/>
      <c r="BL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</row>
    <row r="930">
      <c r="C930" s="83"/>
      <c r="BI930" s="3"/>
      <c r="BJ930" s="3"/>
      <c r="BK930" s="3"/>
      <c r="BL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</row>
    <row r="931">
      <c r="C931" s="83"/>
      <c r="BI931" s="3"/>
      <c r="BJ931" s="3"/>
      <c r="BK931" s="3"/>
      <c r="BL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</row>
    <row r="932">
      <c r="C932" s="83"/>
      <c r="BI932" s="3"/>
      <c r="BJ932" s="3"/>
      <c r="BK932" s="3"/>
      <c r="BL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</row>
    <row r="933">
      <c r="C933" s="83"/>
      <c r="BI933" s="3"/>
      <c r="BJ933" s="3"/>
      <c r="BK933" s="3"/>
      <c r="BL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</row>
    <row r="934">
      <c r="C934" s="83"/>
      <c r="BI934" s="3"/>
      <c r="BJ934" s="3"/>
      <c r="BK934" s="3"/>
      <c r="BL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</row>
    <row r="935">
      <c r="C935" s="83"/>
      <c r="BI935" s="3"/>
      <c r="BJ935" s="3"/>
      <c r="BK935" s="3"/>
      <c r="BL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</row>
    <row r="936">
      <c r="C936" s="83"/>
      <c r="BI936" s="3"/>
      <c r="BJ936" s="3"/>
      <c r="BK936" s="3"/>
      <c r="BL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</row>
    <row r="937">
      <c r="C937" s="83"/>
      <c r="BI937" s="3"/>
      <c r="BJ937" s="3"/>
      <c r="BK937" s="3"/>
      <c r="BL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</row>
    <row r="938">
      <c r="C938" s="83"/>
      <c r="BI938" s="3"/>
      <c r="BJ938" s="3"/>
      <c r="BK938" s="3"/>
      <c r="BL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</row>
    <row r="939">
      <c r="C939" s="83"/>
      <c r="BI939" s="3"/>
      <c r="BJ939" s="3"/>
      <c r="BK939" s="3"/>
      <c r="BL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</row>
    <row r="940">
      <c r="C940" s="83"/>
      <c r="BI940" s="3"/>
      <c r="BJ940" s="3"/>
      <c r="BK940" s="3"/>
      <c r="BL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</row>
    <row r="941">
      <c r="C941" s="83"/>
      <c r="BI941" s="3"/>
      <c r="BJ941" s="3"/>
      <c r="BK941" s="3"/>
      <c r="BL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</row>
    <row r="942">
      <c r="C942" s="83"/>
      <c r="BI942" s="3"/>
      <c r="BJ942" s="3"/>
      <c r="BK942" s="3"/>
      <c r="BL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</row>
    <row r="943">
      <c r="C943" s="83"/>
      <c r="BI943" s="3"/>
      <c r="BJ943" s="3"/>
      <c r="BK943" s="3"/>
      <c r="BL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</row>
    <row r="944">
      <c r="C944" s="83"/>
      <c r="BI944" s="3"/>
      <c r="BJ944" s="3"/>
      <c r="BK944" s="3"/>
      <c r="BL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</row>
    <row r="945">
      <c r="C945" s="83"/>
      <c r="BI945" s="3"/>
      <c r="BJ945" s="3"/>
      <c r="BK945" s="3"/>
      <c r="BL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</row>
    <row r="946">
      <c r="C946" s="83"/>
      <c r="BI946" s="3"/>
      <c r="BJ946" s="3"/>
      <c r="BK946" s="3"/>
      <c r="BL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</row>
    <row r="947">
      <c r="C947" s="83"/>
      <c r="BI947" s="3"/>
      <c r="BJ947" s="3"/>
      <c r="BK947" s="3"/>
      <c r="BL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</row>
    <row r="948">
      <c r="C948" s="83"/>
      <c r="BI948" s="3"/>
      <c r="BJ948" s="3"/>
      <c r="BK948" s="3"/>
      <c r="BL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</row>
    <row r="949">
      <c r="C949" s="83"/>
      <c r="BI949" s="3"/>
      <c r="BJ949" s="3"/>
      <c r="BK949" s="3"/>
      <c r="BL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</row>
    <row r="950">
      <c r="C950" s="83"/>
      <c r="BI950" s="3"/>
      <c r="BJ950" s="3"/>
      <c r="BK950" s="3"/>
      <c r="BL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</row>
    <row r="951">
      <c r="C951" s="83"/>
      <c r="BI951" s="3"/>
      <c r="BJ951" s="3"/>
      <c r="BK951" s="3"/>
      <c r="BL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</row>
    <row r="952">
      <c r="C952" s="83"/>
      <c r="BI952" s="3"/>
      <c r="BJ952" s="3"/>
      <c r="BK952" s="3"/>
      <c r="BL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</row>
    <row r="953">
      <c r="C953" s="83"/>
      <c r="BI953" s="3"/>
      <c r="BJ953" s="3"/>
      <c r="BK953" s="3"/>
      <c r="BL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</row>
    <row r="954">
      <c r="C954" s="83"/>
      <c r="BI954" s="3"/>
      <c r="BJ954" s="3"/>
      <c r="BK954" s="3"/>
      <c r="BL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</row>
    <row r="955">
      <c r="C955" s="83"/>
      <c r="BI955" s="3"/>
      <c r="BJ955" s="3"/>
      <c r="BK955" s="3"/>
      <c r="BL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</row>
    <row r="956">
      <c r="C956" s="83"/>
      <c r="BI956" s="3"/>
      <c r="BJ956" s="3"/>
      <c r="BK956" s="3"/>
      <c r="BL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</row>
    <row r="957">
      <c r="C957" s="83"/>
      <c r="BI957" s="3"/>
      <c r="BJ957" s="3"/>
      <c r="BK957" s="3"/>
      <c r="BL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</row>
    <row r="958">
      <c r="C958" s="83"/>
      <c r="BI958" s="3"/>
      <c r="BJ958" s="3"/>
      <c r="BK958" s="3"/>
      <c r="BL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</row>
    <row r="959">
      <c r="C959" s="83"/>
      <c r="BI959" s="3"/>
      <c r="BJ959" s="3"/>
      <c r="BK959" s="3"/>
      <c r="BL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</row>
    <row r="960">
      <c r="C960" s="83"/>
      <c r="BI960" s="3"/>
      <c r="BJ960" s="3"/>
      <c r="BK960" s="3"/>
      <c r="BL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</row>
    <row r="961">
      <c r="C961" s="83"/>
      <c r="BI961" s="3"/>
      <c r="BJ961" s="3"/>
      <c r="BK961" s="3"/>
      <c r="BL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</row>
    <row r="962">
      <c r="C962" s="83"/>
      <c r="BI962" s="3"/>
      <c r="BJ962" s="3"/>
      <c r="BK962" s="3"/>
      <c r="BL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</row>
    <row r="963">
      <c r="C963" s="83"/>
      <c r="BI963" s="3"/>
      <c r="BJ963" s="3"/>
      <c r="BK963" s="3"/>
      <c r="BL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</row>
    <row r="964">
      <c r="C964" s="83"/>
      <c r="BI964" s="3"/>
      <c r="BJ964" s="3"/>
      <c r="BK964" s="3"/>
      <c r="BL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</row>
    <row r="965">
      <c r="C965" s="83"/>
      <c r="BI965" s="3"/>
      <c r="BJ965" s="3"/>
      <c r="BK965" s="3"/>
      <c r="BL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</row>
    <row r="966">
      <c r="C966" s="83"/>
      <c r="BI966" s="3"/>
      <c r="BJ966" s="3"/>
      <c r="BK966" s="3"/>
      <c r="BL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</row>
    <row r="967">
      <c r="C967" s="83"/>
      <c r="BI967" s="3"/>
      <c r="BJ967" s="3"/>
      <c r="BK967" s="3"/>
      <c r="BL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</row>
    <row r="968">
      <c r="C968" s="83"/>
      <c r="BI968" s="3"/>
      <c r="BJ968" s="3"/>
      <c r="BK968" s="3"/>
      <c r="BL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</row>
    <row r="969">
      <c r="C969" s="83"/>
      <c r="BI969" s="3"/>
      <c r="BJ969" s="3"/>
      <c r="BK969" s="3"/>
      <c r="BL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</row>
    <row r="970">
      <c r="C970" s="83"/>
      <c r="BI970" s="3"/>
      <c r="BJ970" s="3"/>
      <c r="BK970" s="3"/>
      <c r="BL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</row>
    <row r="971">
      <c r="C971" s="83"/>
      <c r="BI971" s="3"/>
      <c r="BJ971" s="3"/>
      <c r="BK971" s="3"/>
      <c r="BL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</row>
    <row r="972">
      <c r="C972" s="83"/>
      <c r="BI972" s="3"/>
      <c r="BJ972" s="3"/>
      <c r="BK972" s="3"/>
      <c r="BL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</row>
    <row r="973">
      <c r="C973" s="83"/>
      <c r="BI973" s="3"/>
      <c r="BJ973" s="3"/>
      <c r="BK973" s="3"/>
      <c r="BL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</row>
    <row r="974">
      <c r="C974" s="83"/>
      <c r="BI974" s="3"/>
      <c r="BJ974" s="3"/>
      <c r="BK974" s="3"/>
      <c r="BL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</row>
    <row r="975">
      <c r="C975" s="83"/>
      <c r="BI975" s="3"/>
      <c r="BJ975" s="3"/>
      <c r="BK975" s="3"/>
      <c r="BL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</row>
    <row r="976">
      <c r="C976" s="83"/>
      <c r="BI976" s="3"/>
      <c r="BJ976" s="3"/>
      <c r="BK976" s="3"/>
      <c r="BL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</row>
    <row r="977">
      <c r="C977" s="83"/>
      <c r="BI977" s="3"/>
      <c r="BJ977" s="3"/>
      <c r="BK977" s="3"/>
      <c r="BL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</row>
    <row r="978">
      <c r="C978" s="83"/>
      <c r="BI978" s="3"/>
      <c r="BJ978" s="3"/>
      <c r="BK978" s="3"/>
      <c r="BL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</row>
    <row r="979">
      <c r="C979" s="83"/>
      <c r="BI979" s="3"/>
      <c r="BJ979" s="3"/>
      <c r="BK979" s="3"/>
      <c r="BL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</row>
    <row r="980">
      <c r="C980" s="83"/>
      <c r="BI980" s="3"/>
      <c r="BJ980" s="3"/>
      <c r="BK980" s="3"/>
      <c r="BL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</row>
    <row r="981">
      <c r="C981" s="83"/>
      <c r="BI981" s="3"/>
      <c r="BJ981" s="3"/>
      <c r="BK981" s="3"/>
      <c r="BL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</row>
    <row r="982">
      <c r="C982" s="83"/>
      <c r="BI982" s="3"/>
      <c r="BJ982" s="3"/>
      <c r="BK982" s="3"/>
      <c r="BL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</row>
    <row r="983">
      <c r="C983" s="83"/>
      <c r="BI983" s="3"/>
      <c r="BJ983" s="3"/>
      <c r="BK983" s="3"/>
      <c r="BL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</row>
    <row r="984">
      <c r="C984" s="83"/>
      <c r="BI984" s="3"/>
      <c r="BJ984" s="3"/>
      <c r="BK984" s="3"/>
      <c r="BL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</row>
    <row r="985">
      <c r="C985" s="83"/>
      <c r="BI985" s="3"/>
      <c r="BJ985" s="3"/>
      <c r="BK985" s="3"/>
      <c r="BL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</row>
    <row r="986">
      <c r="C986" s="83"/>
      <c r="BI986" s="3"/>
      <c r="BJ986" s="3"/>
      <c r="BK986" s="3"/>
      <c r="BL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</row>
    <row r="987">
      <c r="C987" s="83"/>
      <c r="BI987" s="3"/>
      <c r="BJ987" s="3"/>
      <c r="BK987" s="3"/>
      <c r="BL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</row>
    <row r="988">
      <c r="C988" s="83"/>
      <c r="BI988" s="3"/>
      <c r="BJ988" s="3"/>
      <c r="BK988" s="3"/>
      <c r="BL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</row>
    <row r="989">
      <c r="C989" s="83"/>
      <c r="BI989" s="3"/>
      <c r="BJ989" s="3"/>
      <c r="BK989" s="3"/>
      <c r="BL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</row>
    <row r="990">
      <c r="C990" s="83"/>
      <c r="BI990" s="3"/>
      <c r="BJ990" s="3"/>
      <c r="BK990" s="3"/>
      <c r="BL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</row>
    <row r="991">
      <c r="C991" s="83"/>
      <c r="BI991" s="3"/>
      <c r="BJ991" s="3"/>
      <c r="BK991" s="3"/>
      <c r="BL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</row>
    <row r="992">
      <c r="C992" s="83"/>
      <c r="BI992" s="3"/>
      <c r="BJ992" s="3"/>
      <c r="BK992" s="3"/>
      <c r="BL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</row>
    <row r="993">
      <c r="C993" s="83"/>
      <c r="BI993" s="3"/>
      <c r="BJ993" s="3"/>
      <c r="BK993" s="3"/>
      <c r="BL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</row>
    <row r="994">
      <c r="C994" s="83"/>
      <c r="BI994" s="3"/>
      <c r="BJ994" s="3"/>
      <c r="BK994" s="3"/>
      <c r="BL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</row>
    <row r="995">
      <c r="C995" s="83"/>
      <c r="BI995" s="3"/>
      <c r="BJ995" s="3"/>
      <c r="BK995" s="3"/>
      <c r="BL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</row>
    <row r="996">
      <c r="C996" s="83"/>
      <c r="BI996" s="3"/>
      <c r="BJ996" s="3"/>
      <c r="BK996" s="3"/>
      <c r="BL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</row>
    <row r="997">
      <c r="C997" s="83"/>
      <c r="BI997" s="3"/>
      <c r="BJ997" s="3"/>
      <c r="BK997" s="3"/>
      <c r="BL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</row>
    <row r="998">
      <c r="C998" s="83"/>
      <c r="BI998" s="3"/>
      <c r="BJ998" s="3"/>
      <c r="BK998" s="3"/>
      <c r="BL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</row>
    <row r="999">
      <c r="C999" s="83"/>
      <c r="BI999" s="3"/>
      <c r="BJ999" s="3"/>
      <c r="BK999" s="3"/>
      <c r="BL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</row>
    <row r="1000">
      <c r="C1000" s="83"/>
      <c r="BI1000" s="3"/>
      <c r="BJ1000" s="3"/>
      <c r="BK1000" s="3"/>
      <c r="BL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</row>
    <row r="1001">
      <c r="C1001" s="83"/>
      <c r="BI1001" s="3"/>
      <c r="BJ1001" s="3"/>
      <c r="BK1001" s="3"/>
      <c r="BL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</row>
    <row r="1002">
      <c r="C1002" s="83"/>
      <c r="BI1002" s="3"/>
      <c r="BJ1002" s="3"/>
      <c r="BK1002" s="3"/>
      <c r="BL1002" s="3"/>
      <c r="BN1002" s="3"/>
      <c r="BO1002" s="3"/>
      <c r="BP1002" s="3"/>
      <c r="BQ1002" s="3"/>
      <c r="BR1002" s="3"/>
      <c r="BS1002" s="3"/>
      <c r="BT1002" s="3"/>
      <c r="BU1002" s="3"/>
      <c r="BV1002" s="3"/>
      <c r="BW1002" s="3"/>
      <c r="BX1002" s="3"/>
      <c r="BY1002" s="3"/>
      <c r="BZ1002" s="3"/>
      <c r="CA1002" s="3"/>
      <c r="CB1002" s="3"/>
      <c r="CC1002" s="3"/>
      <c r="CD1002" s="3"/>
      <c r="CE1002" s="3"/>
      <c r="CF1002" s="3"/>
      <c r="CG1002" s="3"/>
      <c r="CH1002" s="3"/>
      <c r="CI1002" s="3"/>
      <c r="CJ1002" s="3"/>
      <c r="CK1002" s="3"/>
      <c r="CL1002" s="3"/>
      <c r="CM1002" s="3"/>
    </row>
    <row r="1003">
      <c r="C1003" s="83"/>
      <c r="BI1003" s="3"/>
      <c r="BJ1003" s="3"/>
      <c r="BK1003" s="3"/>
      <c r="BL1003" s="3"/>
      <c r="BN1003" s="3"/>
      <c r="BO1003" s="3"/>
      <c r="BP1003" s="3"/>
      <c r="BQ1003" s="3"/>
      <c r="BR1003" s="3"/>
      <c r="BS1003" s="3"/>
      <c r="BT1003" s="3"/>
      <c r="BU1003" s="3"/>
      <c r="BV1003" s="3"/>
      <c r="BW1003" s="3"/>
      <c r="BX1003" s="3"/>
      <c r="BY1003" s="3"/>
      <c r="BZ1003" s="3"/>
      <c r="CA1003" s="3"/>
      <c r="CB1003" s="3"/>
      <c r="CC1003" s="3"/>
      <c r="CD1003" s="3"/>
      <c r="CE1003" s="3"/>
      <c r="CF1003" s="3"/>
      <c r="CG1003" s="3"/>
      <c r="CH1003" s="3"/>
      <c r="CI1003" s="3"/>
      <c r="CJ1003" s="3"/>
      <c r="CK1003" s="3"/>
      <c r="CL1003" s="3"/>
      <c r="CM1003" s="3"/>
    </row>
    <row r="1004">
      <c r="C1004" s="83"/>
      <c r="BI1004" s="3"/>
      <c r="BJ1004" s="3"/>
      <c r="BK1004" s="3"/>
      <c r="BL1004" s="3"/>
      <c r="BN1004" s="3"/>
      <c r="BO1004" s="3"/>
      <c r="BP1004" s="3"/>
      <c r="BQ1004" s="3"/>
      <c r="BR1004" s="3"/>
      <c r="BS1004" s="3"/>
      <c r="BT1004" s="3"/>
      <c r="BU1004" s="3"/>
      <c r="BV1004" s="3"/>
      <c r="BW1004" s="3"/>
      <c r="BX1004" s="3"/>
      <c r="BY1004" s="3"/>
      <c r="BZ1004" s="3"/>
      <c r="CA1004" s="3"/>
      <c r="CB1004" s="3"/>
      <c r="CC1004" s="3"/>
      <c r="CD1004" s="3"/>
      <c r="CE1004" s="3"/>
      <c r="CF1004" s="3"/>
      <c r="CG1004" s="3"/>
      <c r="CH1004" s="3"/>
      <c r="CI1004" s="3"/>
      <c r="CJ1004" s="3"/>
      <c r="CK1004" s="3"/>
      <c r="CL1004" s="3"/>
      <c r="CM1004" s="3"/>
    </row>
    <row r="1005">
      <c r="C1005" s="83"/>
      <c r="BI1005" s="3"/>
      <c r="BJ1005" s="3"/>
      <c r="BK1005" s="3"/>
      <c r="BL1005" s="3"/>
      <c r="BN1005" s="3"/>
      <c r="BO1005" s="3"/>
      <c r="BP1005" s="3"/>
      <c r="BQ1005" s="3"/>
      <c r="BR1005" s="3"/>
      <c r="BS1005" s="3"/>
      <c r="BT1005" s="3"/>
      <c r="BU1005" s="3"/>
      <c r="BV1005" s="3"/>
      <c r="BW1005" s="3"/>
      <c r="BX1005" s="3"/>
      <c r="BY1005" s="3"/>
      <c r="BZ1005" s="3"/>
      <c r="CA1005" s="3"/>
      <c r="CB1005" s="3"/>
      <c r="CC1005" s="3"/>
      <c r="CD1005" s="3"/>
      <c r="CE1005" s="3"/>
      <c r="CF1005" s="3"/>
      <c r="CG1005" s="3"/>
      <c r="CH1005" s="3"/>
      <c r="CI1005" s="3"/>
      <c r="CJ1005" s="3"/>
      <c r="CK1005" s="3"/>
      <c r="CL1005" s="3"/>
      <c r="CM1005" s="3"/>
    </row>
    <row r="1006">
      <c r="C1006" s="83"/>
      <c r="BI1006" s="3"/>
      <c r="BJ1006" s="3"/>
      <c r="BK1006" s="3"/>
      <c r="BL1006" s="3"/>
      <c r="BN1006" s="3"/>
      <c r="BO1006" s="3"/>
      <c r="BP1006" s="3"/>
      <c r="BQ1006" s="3"/>
      <c r="BR1006" s="3"/>
      <c r="BS1006" s="3"/>
      <c r="BT1006" s="3"/>
      <c r="BU1006" s="3"/>
      <c r="BV1006" s="3"/>
      <c r="BW1006" s="3"/>
      <c r="BX1006" s="3"/>
      <c r="BY1006" s="3"/>
      <c r="BZ1006" s="3"/>
      <c r="CA1006" s="3"/>
      <c r="CB1006" s="3"/>
      <c r="CC1006" s="3"/>
      <c r="CD1006" s="3"/>
      <c r="CE1006" s="3"/>
      <c r="CF1006" s="3"/>
      <c r="CG1006" s="3"/>
      <c r="CH1006" s="3"/>
      <c r="CI1006" s="3"/>
      <c r="CJ1006" s="3"/>
      <c r="CK1006" s="3"/>
      <c r="CL1006" s="3"/>
      <c r="CM1006" s="3"/>
    </row>
    <row r="1007">
      <c r="C1007" s="83"/>
      <c r="BI1007" s="3"/>
      <c r="BJ1007" s="3"/>
      <c r="BK1007" s="3"/>
      <c r="BL1007" s="3"/>
      <c r="BN1007" s="3"/>
      <c r="BO1007" s="3"/>
      <c r="BP1007" s="3"/>
      <c r="BQ1007" s="3"/>
      <c r="BR1007" s="3"/>
      <c r="BS1007" s="3"/>
      <c r="BT1007" s="3"/>
      <c r="BU1007" s="3"/>
      <c r="BV1007" s="3"/>
      <c r="BW1007" s="3"/>
      <c r="BX1007" s="3"/>
      <c r="BY1007" s="3"/>
      <c r="BZ1007" s="3"/>
      <c r="CA1007" s="3"/>
      <c r="CB1007" s="3"/>
      <c r="CC1007" s="3"/>
      <c r="CD1007" s="3"/>
      <c r="CE1007" s="3"/>
      <c r="CF1007" s="3"/>
      <c r="CG1007" s="3"/>
      <c r="CH1007" s="3"/>
      <c r="CI1007" s="3"/>
      <c r="CJ1007" s="3"/>
      <c r="CK1007" s="3"/>
      <c r="CL1007" s="3"/>
      <c r="CM1007" s="3"/>
    </row>
    <row r="1008">
      <c r="C1008" s="83"/>
      <c r="BI1008" s="3"/>
      <c r="BJ1008" s="3"/>
      <c r="BK1008" s="3"/>
      <c r="BL1008" s="3"/>
      <c r="BN1008" s="3"/>
      <c r="BO1008" s="3"/>
      <c r="BP1008" s="3"/>
      <c r="BQ1008" s="3"/>
      <c r="BR1008" s="3"/>
      <c r="BS1008" s="3"/>
      <c r="BT1008" s="3"/>
      <c r="BU1008" s="3"/>
      <c r="BV1008" s="3"/>
      <c r="BW1008" s="3"/>
      <c r="BX1008" s="3"/>
      <c r="BY1008" s="3"/>
      <c r="BZ1008" s="3"/>
      <c r="CA1008" s="3"/>
      <c r="CB1008" s="3"/>
      <c r="CC1008" s="3"/>
      <c r="CD1008" s="3"/>
      <c r="CE1008" s="3"/>
      <c r="CF1008" s="3"/>
      <c r="CG1008" s="3"/>
      <c r="CH1008" s="3"/>
      <c r="CI1008" s="3"/>
      <c r="CJ1008" s="3"/>
      <c r="CK1008" s="3"/>
      <c r="CL1008" s="3"/>
      <c r="CM1008" s="3"/>
    </row>
    <row r="1009">
      <c r="C1009" s="83"/>
      <c r="BI1009" s="3"/>
      <c r="BJ1009" s="3"/>
      <c r="BK1009" s="3"/>
      <c r="BL1009" s="3"/>
      <c r="BN1009" s="3"/>
      <c r="BO1009" s="3"/>
      <c r="BP1009" s="3"/>
      <c r="BQ1009" s="3"/>
      <c r="BR1009" s="3"/>
      <c r="BS1009" s="3"/>
      <c r="BT1009" s="3"/>
      <c r="BU1009" s="3"/>
      <c r="BV1009" s="3"/>
      <c r="BW1009" s="3"/>
      <c r="BX1009" s="3"/>
      <c r="BY1009" s="3"/>
      <c r="BZ1009" s="3"/>
      <c r="CA1009" s="3"/>
      <c r="CB1009" s="3"/>
      <c r="CC1009" s="3"/>
      <c r="CD1009" s="3"/>
      <c r="CE1009" s="3"/>
      <c r="CF1009" s="3"/>
      <c r="CG1009" s="3"/>
      <c r="CH1009" s="3"/>
      <c r="CI1009" s="3"/>
      <c r="CJ1009" s="3"/>
      <c r="CK1009" s="3"/>
      <c r="CL1009" s="3"/>
      <c r="CM1009" s="3"/>
    </row>
    <row r="1010">
      <c r="C1010" s="83"/>
      <c r="BI1010" s="3"/>
      <c r="BJ1010" s="3"/>
      <c r="BK1010" s="3"/>
      <c r="BL1010" s="3"/>
      <c r="BN1010" s="3"/>
      <c r="BO1010" s="3"/>
      <c r="BP1010" s="3"/>
      <c r="BQ1010" s="3"/>
      <c r="BR1010" s="3"/>
      <c r="BS1010" s="3"/>
      <c r="BT1010" s="3"/>
      <c r="BU1010" s="3"/>
      <c r="BV1010" s="3"/>
      <c r="BW1010" s="3"/>
      <c r="BX1010" s="3"/>
      <c r="BY1010" s="3"/>
      <c r="BZ1010" s="3"/>
      <c r="CA1010" s="3"/>
      <c r="CB1010" s="3"/>
      <c r="CC1010" s="3"/>
      <c r="CD1010" s="3"/>
      <c r="CE1010" s="3"/>
      <c r="CF1010" s="3"/>
      <c r="CG1010" s="3"/>
      <c r="CH1010" s="3"/>
      <c r="CI1010" s="3"/>
      <c r="CJ1010" s="3"/>
      <c r="CK1010" s="3"/>
      <c r="CL1010" s="3"/>
      <c r="CM1010" s="3"/>
    </row>
    <row r="1011">
      <c r="C1011" s="83"/>
      <c r="BI1011" s="3"/>
      <c r="BJ1011" s="3"/>
      <c r="BK1011" s="3"/>
      <c r="BL1011" s="3"/>
      <c r="BN1011" s="3"/>
      <c r="BO1011" s="3"/>
      <c r="BP1011" s="3"/>
      <c r="BQ1011" s="3"/>
      <c r="BR1011" s="3"/>
      <c r="BS1011" s="3"/>
      <c r="BT1011" s="3"/>
      <c r="BU1011" s="3"/>
      <c r="BV1011" s="3"/>
      <c r="BW1011" s="3"/>
      <c r="BX1011" s="3"/>
      <c r="BY1011" s="3"/>
      <c r="BZ1011" s="3"/>
      <c r="CA1011" s="3"/>
      <c r="CB1011" s="3"/>
      <c r="CC1011" s="3"/>
      <c r="CD1011" s="3"/>
      <c r="CE1011" s="3"/>
      <c r="CF1011" s="3"/>
      <c r="CG1011" s="3"/>
      <c r="CH1011" s="3"/>
      <c r="CI1011" s="3"/>
      <c r="CJ1011" s="3"/>
      <c r="CK1011" s="3"/>
      <c r="CL1011" s="3"/>
      <c r="CM1011" s="3"/>
    </row>
    <row r="1012">
      <c r="C1012" s="83"/>
      <c r="BI1012" s="3"/>
      <c r="BJ1012" s="3"/>
      <c r="BK1012" s="3"/>
      <c r="BL1012" s="3"/>
      <c r="BN1012" s="3"/>
      <c r="BO1012" s="3"/>
      <c r="BP1012" s="3"/>
      <c r="BQ1012" s="3"/>
      <c r="BR1012" s="3"/>
      <c r="BS1012" s="3"/>
      <c r="BT1012" s="3"/>
      <c r="BU1012" s="3"/>
      <c r="BV1012" s="3"/>
      <c r="BW1012" s="3"/>
      <c r="BX1012" s="3"/>
      <c r="BY1012" s="3"/>
      <c r="BZ1012" s="3"/>
      <c r="CA1012" s="3"/>
      <c r="CB1012" s="3"/>
      <c r="CC1012" s="3"/>
      <c r="CD1012" s="3"/>
      <c r="CE1012" s="3"/>
      <c r="CF1012" s="3"/>
      <c r="CG1012" s="3"/>
      <c r="CH1012" s="3"/>
      <c r="CI1012" s="3"/>
      <c r="CJ1012" s="3"/>
      <c r="CK1012" s="3"/>
      <c r="CL1012" s="3"/>
      <c r="CM1012" s="3"/>
    </row>
    <row r="1013">
      <c r="C1013" s="83"/>
      <c r="BI1013" s="3"/>
      <c r="BJ1013" s="3"/>
      <c r="BK1013" s="3"/>
      <c r="BL1013" s="3"/>
      <c r="BN1013" s="3"/>
      <c r="BO1013" s="3"/>
      <c r="BP1013" s="3"/>
      <c r="BQ1013" s="3"/>
      <c r="BR1013" s="3"/>
      <c r="BS1013" s="3"/>
      <c r="BT1013" s="3"/>
      <c r="BU1013" s="3"/>
      <c r="BV1013" s="3"/>
      <c r="BW1013" s="3"/>
      <c r="BX1013" s="3"/>
      <c r="BY1013" s="3"/>
      <c r="BZ1013" s="3"/>
      <c r="CA1013" s="3"/>
      <c r="CB1013" s="3"/>
      <c r="CC1013" s="3"/>
      <c r="CD1013" s="3"/>
      <c r="CE1013" s="3"/>
      <c r="CF1013" s="3"/>
      <c r="CG1013" s="3"/>
      <c r="CH1013" s="3"/>
      <c r="CI1013" s="3"/>
      <c r="CJ1013" s="3"/>
      <c r="CK1013" s="3"/>
      <c r="CL1013" s="3"/>
      <c r="CM1013" s="3"/>
    </row>
    <row r="1014">
      <c r="C1014" s="83"/>
      <c r="BI1014" s="3"/>
      <c r="BJ1014" s="3"/>
      <c r="BK1014" s="3"/>
      <c r="BL1014" s="3"/>
      <c r="BN1014" s="3"/>
      <c r="BO1014" s="3"/>
      <c r="BP1014" s="3"/>
      <c r="BQ1014" s="3"/>
      <c r="BR1014" s="3"/>
      <c r="BS1014" s="3"/>
      <c r="BT1014" s="3"/>
      <c r="BU1014" s="3"/>
      <c r="BV1014" s="3"/>
      <c r="BW1014" s="3"/>
      <c r="BX1014" s="3"/>
      <c r="BY1014" s="3"/>
      <c r="BZ1014" s="3"/>
      <c r="CA1014" s="3"/>
      <c r="CB1014" s="3"/>
      <c r="CC1014" s="3"/>
      <c r="CD1014" s="3"/>
      <c r="CE1014" s="3"/>
      <c r="CF1014" s="3"/>
      <c r="CG1014" s="3"/>
      <c r="CH1014" s="3"/>
      <c r="CI1014" s="3"/>
      <c r="CJ1014" s="3"/>
      <c r="CK1014" s="3"/>
      <c r="CL1014" s="3"/>
      <c r="CM1014" s="3"/>
    </row>
    <row r="1015">
      <c r="C1015" s="83"/>
      <c r="K1015" s="11"/>
      <c r="U1015" s="47"/>
      <c r="AO1015" s="11"/>
      <c r="AT1015" s="17"/>
      <c r="AY1015" s="17"/>
      <c r="BI1015" s="3"/>
      <c r="BJ1015" s="3"/>
      <c r="BK1015" s="3"/>
      <c r="BL1015" s="3"/>
      <c r="BN1015" s="3"/>
      <c r="BO1015" s="3"/>
      <c r="BP1015" s="3"/>
      <c r="BQ1015" s="3"/>
      <c r="BR1015" s="3"/>
      <c r="BS1015" s="3"/>
      <c r="BT1015" s="3"/>
      <c r="BU1015" s="3"/>
      <c r="BV1015" s="3"/>
      <c r="BW1015" s="3"/>
      <c r="BX1015" s="3"/>
      <c r="BY1015" s="3"/>
      <c r="BZ1015" s="3"/>
      <c r="CA1015" s="3"/>
      <c r="CB1015" s="3"/>
      <c r="CC1015" s="3"/>
      <c r="CD1015" s="3"/>
      <c r="CE1015" s="3"/>
      <c r="CF1015" s="3"/>
      <c r="CG1015" s="3"/>
      <c r="CH1015" s="3"/>
      <c r="CI1015" s="3"/>
      <c r="CJ1015" s="3"/>
      <c r="CK1015" s="3"/>
      <c r="CL1015" s="3"/>
      <c r="CM1015" s="3"/>
    </row>
  </sheetData>
  <drawing r:id="rId1"/>
</worksheet>
</file>