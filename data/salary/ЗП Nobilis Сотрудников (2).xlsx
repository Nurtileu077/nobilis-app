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юнь" sheetId="1" r:id="rId5"/>
    <sheet state="visible" name="Июль" sheetId="2" r:id="rId6"/>
    <sheet state="visible" name="Август" sheetId="3" r:id="rId7"/>
    <sheet state="visible" name="Сентябрь" sheetId="4" r:id="rId8"/>
    <sheet state="visible" name="Октябрь" sheetId="5" r:id="rId9"/>
    <sheet state="visible" name="Ноябрь" sheetId="6" r:id="rId10"/>
    <sheet state="visible" name="Декабрь" sheetId="7" r:id="rId11"/>
    <sheet state="visible" name="Январь" sheetId="8" r:id="rId12"/>
    <sheet state="visible" name="Февраль" sheetId="9" r:id="rId13"/>
    <sheet state="visible" name="Март" sheetId="10" r:id="rId14"/>
    <sheet state="visible" name="Апрель" sheetId="11" r:id="rId15"/>
    <sheet state="visible" name="Май" sheetId="12" r:id="rId16"/>
    <sheet state="visible" name="Июнь 2025" sheetId="13" r:id="rId17"/>
    <sheet state="visible" name="Июль 2025" sheetId="14" r:id="rId18"/>
    <sheet state="visible" name="Август 2025" sheetId="15" r:id="rId19"/>
    <sheet state="visible" name="Сентябрь 2025" sheetId="16" r:id="rId20"/>
    <sheet state="visible" name="Октябрь 2025" sheetId="17" r:id="rId21"/>
    <sheet state="visible" name="Ноябрь 2025" sheetId="18" r:id="rId22"/>
    <sheet state="visible" name="Декабрь 2025 " sheetId="19" r:id="rId23"/>
    <sheet state="visible" name="Январь 2026" sheetId="20" r:id="rId24"/>
    <sheet state="visible" name="Февраль 2026" sheetId="21" r:id="rId25"/>
    <sheet state="visible" name="Март 2026" sheetId="22" r:id="rId2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tc={8bcad52f-fedf-43d5-ae25-8d32374bf6d9}</author>
    <author>tc={afeb7df6-765c-4bae-a636-81926228ed6a}</author>
  </authors>
  <commentList>
    <comment authorId="0" xr:uid="{8bcad52f-fedf-43d5-ae25-8d32374bf6d9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др
</t>
      </text>
    </comment>
    <comment authorId="1" xr:uid="{afeb7df6-765c-4bae-a636-81926228ed6a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01,01 за ипотеку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tc={c2506008-8631-4f88-a81f-fe9b45b22754}</author>
  </authors>
  <commentList>
    <comment authorId="0" xr:uid="{c2506008-8631-4f88-a81f-fe9b45b22754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кред
</t>
      </text>
    </comment>
  </commentList>
</comments>
</file>

<file path=xl/sharedStrings.xml><?xml version="1.0" encoding="utf-8"?>
<sst xmlns="http://schemas.openxmlformats.org/spreadsheetml/2006/main" count="1993" uniqueCount="281">
  <si>
    <t xml:space="preserve">Имя сотрудника </t>
  </si>
  <si>
    <t xml:space="preserve">зарплата за март </t>
  </si>
  <si>
    <t xml:space="preserve">аванс 1 </t>
  </si>
  <si>
    <t xml:space="preserve">аванс 2 </t>
  </si>
  <si>
    <t xml:space="preserve">аванс 3 </t>
  </si>
  <si>
    <t xml:space="preserve">аванс 4 </t>
  </si>
  <si>
    <t xml:space="preserve">аванс 5 </t>
  </si>
  <si>
    <t xml:space="preserve">премия </t>
  </si>
  <si>
    <t xml:space="preserve">остаток зп на март </t>
  </si>
  <si>
    <t>ИП</t>
  </si>
  <si>
    <t>перевод</t>
  </si>
  <si>
    <t xml:space="preserve">Ерболат Аружан </t>
  </si>
  <si>
    <t>Тұрсынхан Нұртілеу</t>
  </si>
  <si>
    <t>Байғазы Салтанат</t>
  </si>
  <si>
    <t>Расиль Асхат</t>
  </si>
  <si>
    <t xml:space="preserve">Эльвира (уборщица) </t>
  </si>
  <si>
    <t>Құндызай юрист</t>
  </si>
  <si>
    <t>Али</t>
  </si>
  <si>
    <t>Нурым</t>
  </si>
  <si>
    <t>Мадияр</t>
  </si>
  <si>
    <t>Бейбит</t>
  </si>
  <si>
    <t>Мадина</t>
  </si>
  <si>
    <t>Анель</t>
  </si>
  <si>
    <t>Малика</t>
  </si>
  <si>
    <t>Алена Гугл</t>
  </si>
  <si>
    <t>Султан 16 видео</t>
  </si>
  <si>
    <t>Общ</t>
  </si>
  <si>
    <t>Зп Нурым с аленей</t>
  </si>
  <si>
    <t xml:space="preserve">рабочие дни за март </t>
  </si>
  <si>
    <t xml:space="preserve">отработано </t>
  </si>
  <si>
    <t>с 13 июня</t>
  </si>
  <si>
    <t>с 17 по 20</t>
  </si>
  <si>
    <t>с 17</t>
  </si>
  <si>
    <t>с 20</t>
  </si>
  <si>
    <t>Султан</t>
  </si>
  <si>
    <t>зарплата за июль</t>
  </si>
  <si>
    <t>Аружан Дизайнер</t>
  </si>
  <si>
    <t>Бейбут</t>
  </si>
  <si>
    <t>Арайлым СММ</t>
  </si>
  <si>
    <t>Маргулан Видеограф</t>
  </si>
  <si>
    <t>Бухгалтер</t>
  </si>
  <si>
    <t>Алена</t>
  </si>
  <si>
    <t>менеджера</t>
  </si>
  <si>
    <t>ПО ИП</t>
  </si>
  <si>
    <t>с 8 июля</t>
  </si>
  <si>
    <t>Арайлым</t>
  </si>
  <si>
    <t>Улан актер</t>
  </si>
  <si>
    <t>Асель</t>
  </si>
  <si>
    <t>не выход на работу</t>
  </si>
  <si>
    <t>Дархан</t>
  </si>
  <si>
    <t>Малика СММ</t>
  </si>
  <si>
    <t>Меруерт ом</t>
  </si>
  <si>
    <t>Бекмухамед</t>
  </si>
  <si>
    <t>Аруна (ПУ)</t>
  </si>
  <si>
    <t>Алмат РОП</t>
  </si>
  <si>
    <t>с 5 нет</t>
  </si>
  <si>
    <t>4 дня за июль</t>
  </si>
  <si>
    <t>с 6 Авг</t>
  </si>
  <si>
    <t>-8дней</t>
  </si>
  <si>
    <t>Меруерт</t>
  </si>
  <si>
    <t>с 15 Авг</t>
  </si>
  <si>
    <t>с 23 авг</t>
  </si>
  <si>
    <t>На ДР</t>
  </si>
  <si>
    <t>Штрафы</t>
  </si>
  <si>
    <t>премия и %</t>
  </si>
  <si>
    <t>остаток зп на Сентябрь</t>
  </si>
  <si>
    <t>за 1 день</t>
  </si>
  <si>
    <t>Амина Дизайнер</t>
  </si>
  <si>
    <t>Руслан колл центр</t>
  </si>
  <si>
    <t>Динара Колл центр</t>
  </si>
  <si>
    <t>Бахадыр Юрист</t>
  </si>
  <si>
    <t>Гульжахан Бухгалтер</t>
  </si>
  <si>
    <t>Алуа Ментор Айлтс</t>
  </si>
  <si>
    <t>Гулмира ом</t>
  </si>
  <si>
    <t>Аманжол</t>
  </si>
  <si>
    <t>Алима</t>
  </si>
  <si>
    <t>Улан</t>
  </si>
  <si>
    <t>нал</t>
  </si>
  <si>
    <t>общ</t>
  </si>
  <si>
    <t>ФИО</t>
  </si>
  <si>
    <t>Дни отсутствия</t>
  </si>
  <si>
    <t>график работы</t>
  </si>
  <si>
    <t>с 16 сент</t>
  </si>
  <si>
    <t>-</t>
  </si>
  <si>
    <t>20-25 видео в мес</t>
  </si>
  <si>
    <t>Онлайн</t>
  </si>
  <si>
    <t>Алуа</t>
  </si>
  <si>
    <t>с 9сент</t>
  </si>
  <si>
    <t>Гулмира</t>
  </si>
  <si>
    <t>2 раза в нед</t>
  </si>
  <si>
    <t>Камиля Колл центр</t>
  </si>
  <si>
    <t>Динара колл центр</t>
  </si>
  <si>
    <t>СММ Абылай</t>
  </si>
  <si>
    <t>СММ Еркежан</t>
  </si>
  <si>
    <t>Асель колл центр</t>
  </si>
  <si>
    <t>Асель SAT</t>
  </si>
  <si>
    <t>SMM Абылай</t>
  </si>
  <si>
    <t>SMM Еркежан</t>
  </si>
  <si>
    <t>Бахадыр</t>
  </si>
  <si>
    <t>Аманжол Математика</t>
  </si>
  <si>
    <t>Асем Психолог</t>
  </si>
  <si>
    <t xml:space="preserve">  </t>
  </si>
  <si>
    <t>Алмат Ком дир</t>
  </si>
  <si>
    <t>Гульнара РОП</t>
  </si>
  <si>
    <t>Мадина колл центр</t>
  </si>
  <si>
    <t>Айгерим колл центр</t>
  </si>
  <si>
    <t>Ханаби</t>
  </si>
  <si>
    <t>с 21 125000 зп</t>
  </si>
  <si>
    <t xml:space="preserve">                               </t>
  </si>
  <si>
    <t>Асем психолог</t>
  </si>
  <si>
    <t xml:space="preserve"> </t>
  </si>
  <si>
    <t>с13ого</t>
  </si>
  <si>
    <t>до 28го</t>
  </si>
  <si>
    <t>Ханабиль</t>
  </si>
  <si>
    <t>Диас международн отд</t>
  </si>
  <si>
    <t>Мадияр РОП</t>
  </si>
  <si>
    <t>Темирлан РОП</t>
  </si>
  <si>
    <t>Ольга Атырау</t>
  </si>
  <si>
    <t>СММ Диана</t>
  </si>
  <si>
    <t>по факту если не работала</t>
  </si>
  <si>
    <t xml:space="preserve">фактические рабочие дни </t>
  </si>
  <si>
    <t xml:space="preserve">отпуск без сохра зара плата </t>
  </si>
  <si>
    <t xml:space="preserve">не раб офиц </t>
  </si>
  <si>
    <t xml:space="preserve">не работали </t>
  </si>
  <si>
    <t xml:space="preserve">офиц </t>
  </si>
  <si>
    <t xml:space="preserve">не оплачивается </t>
  </si>
  <si>
    <t>30 31</t>
  </si>
  <si>
    <t>Аружан</t>
  </si>
  <si>
    <t>Нуртилеу</t>
  </si>
  <si>
    <t>Салтанат</t>
  </si>
  <si>
    <t>Расиль Асхат(Онлайн)</t>
  </si>
  <si>
    <t>онлайн</t>
  </si>
  <si>
    <t>Алуа (Онлайн)</t>
  </si>
  <si>
    <t>Диас международн отд (Онлайн)</t>
  </si>
  <si>
    <t>чт 12</t>
  </si>
  <si>
    <t>пт12к</t>
  </si>
  <si>
    <t>сб2часа 6000</t>
  </si>
  <si>
    <t>пн12к</t>
  </si>
  <si>
    <t>ср12</t>
  </si>
  <si>
    <t>пт12</t>
  </si>
  <si>
    <t>по часам</t>
  </si>
  <si>
    <t>Мерей Сат с 11.01</t>
  </si>
  <si>
    <t>4 часа в день</t>
  </si>
  <si>
    <t>по 4 к</t>
  </si>
  <si>
    <t>Miracle с 14.01</t>
  </si>
  <si>
    <t>Адип SAT</t>
  </si>
  <si>
    <t>Мадина ОП</t>
  </si>
  <si>
    <t>Гулим ОМ</t>
  </si>
  <si>
    <t>2ого вышла  до11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</si>
  <si>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</si>
  <si>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Мерей</t>
  </si>
  <si>
    <t>с 11</t>
  </si>
  <si>
    <t>Miracle</t>
  </si>
  <si>
    <t>с14</t>
  </si>
  <si>
    <t>вт чт суб</t>
  </si>
  <si>
    <t>Адип</t>
  </si>
  <si>
    <t>?</t>
  </si>
  <si>
    <t>Учи</t>
  </si>
  <si>
    <t>с20</t>
  </si>
  <si>
    <t>зарплата за февраль</t>
  </si>
  <si>
    <t>8 март</t>
  </si>
  <si>
    <t>Адиб SAT</t>
  </si>
  <si>
    <t>Дамир SAT</t>
  </si>
  <si>
    <t>Шолпан</t>
  </si>
  <si>
    <t>Камила Офис менеджер</t>
  </si>
  <si>
    <t>Жангелди с 22.01</t>
  </si>
  <si>
    <t>Анель ОП  + координатор 21.02</t>
  </si>
  <si>
    <t>Алтынбек профоринтолог</t>
  </si>
  <si>
    <t>Жанибек ОП</t>
  </si>
  <si>
    <t>Дамир</t>
  </si>
  <si>
    <t>с 18.02</t>
  </si>
  <si>
    <t>Жангельди</t>
  </si>
  <si>
    <t>Анель ОП</t>
  </si>
  <si>
    <t>Алтынбек ОП</t>
  </si>
  <si>
    <t>Учебный отдел</t>
  </si>
  <si>
    <t xml:space="preserve">Жангелди </t>
  </si>
  <si>
    <t xml:space="preserve">Мерей Сат </t>
  </si>
  <si>
    <t xml:space="preserve">Miracle </t>
  </si>
  <si>
    <t>до 17 ого</t>
  </si>
  <si>
    <t>Ариана международ</t>
  </si>
  <si>
    <t>Отдел продаж</t>
  </si>
  <si>
    <t xml:space="preserve">Анель ОП  </t>
  </si>
  <si>
    <t>Маркетинг</t>
  </si>
  <si>
    <t>БЭК Офис</t>
  </si>
  <si>
    <t>до 17 300 после 400</t>
  </si>
  <si>
    <t>Ариана междунардн</t>
  </si>
  <si>
    <t>Али ОП</t>
  </si>
  <si>
    <t xml:space="preserve">СММ </t>
  </si>
  <si>
    <t>Жулдыз уборщица</t>
  </si>
  <si>
    <t>Ариана</t>
  </si>
  <si>
    <t>Мерген РОП</t>
  </si>
  <si>
    <t xml:space="preserve">Жулдыз (уборщица) </t>
  </si>
  <si>
    <t>Асем уборщица</t>
  </si>
  <si>
    <t xml:space="preserve">Асем(уборщица) </t>
  </si>
  <si>
    <t>Даяна</t>
  </si>
  <si>
    <t>СММ Асем</t>
  </si>
  <si>
    <t>Мади</t>
  </si>
  <si>
    <t>Мадина международн отд (Онлайн)</t>
  </si>
  <si>
    <t>Динара Куратор</t>
  </si>
  <si>
    <t>Алтынбек Проф ориентолог</t>
  </si>
  <si>
    <t>долг по зп:</t>
  </si>
  <si>
    <t>долг по кредитам:</t>
  </si>
  <si>
    <t>жанерке</t>
  </si>
  <si>
    <t>налог</t>
  </si>
  <si>
    <t>Дильяра</t>
  </si>
  <si>
    <t>Дильназ</t>
  </si>
  <si>
    <t>Жангелди</t>
  </si>
  <si>
    <t>Сауле уборщиц</t>
  </si>
  <si>
    <t>возвратники</t>
  </si>
  <si>
    <t>Айнур</t>
  </si>
  <si>
    <t>Думан</t>
  </si>
  <si>
    <t>Алимаргулан</t>
  </si>
  <si>
    <t>Жушуан</t>
  </si>
  <si>
    <t>запас 500к за сат</t>
  </si>
  <si>
    <t>Аян</t>
  </si>
  <si>
    <t>400к</t>
  </si>
  <si>
    <t>Мира</t>
  </si>
  <si>
    <t>450к</t>
  </si>
  <si>
    <t>гелик</t>
  </si>
  <si>
    <t>200 пред оплата</t>
  </si>
  <si>
    <t>Сауле уборщица</t>
  </si>
  <si>
    <t>по 3 к</t>
  </si>
  <si>
    <t>80 ч до 22окт</t>
  </si>
  <si>
    <t>по 5 к</t>
  </si>
  <si>
    <t>Диас международн</t>
  </si>
  <si>
    <t>консультация</t>
  </si>
  <si>
    <t>по 10 к</t>
  </si>
  <si>
    <t>Илона</t>
  </si>
  <si>
    <t>Сулейман</t>
  </si>
  <si>
    <t>Рустам</t>
  </si>
  <si>
    <t>Абдулазиз</t>
  </si>
  <si>
    <t>Инжу</t>
  </si>
  <si>
    <t>Дарина ОП</t>
  </si>
  <si>
    <t>c 15</t>
  </si>
  <si>
    <t xml:space="preserve">Бота СММ </t>
  </si>
  <si>
    <t>c 6</t>
  </si>
  <si>
    <t>23 ого октября</t>
  </si>
  <si>
    <t>c 10</t>
  </si>
  <si>
    <t>Асельхан</t>
  </si>
  <si>
    <t>СММ Бота</t>
  </si>
  <si>
    <t>Ванесса</t>
  </si>
  <si>
    <t>4кчас</t>
  </si>
  <si>
    <t>4к час</t>
  </si>
  <si>
    <t>Инжу КЦ</t>
  </si>
  <si>
    <t>Дарина КЦ</t>
  </si>
  <si>
    <t>Точка роста</t>
  </si>
  <si>
    <t>Циньгун</t>
  </si>
  <si>
    <t>оклад 222</t>
  </si>
  <si>
    <t>Касымжомарт</t>
  </si>
  <si>
    <t>Дарина</t>
  </si>
  <si>
    <t>Талшын куратор</t>
  </si>
  <si>
    <t>Динара куратор</t>
  </si>
  <si>
    <t>оклад 160</t>
  </si>
  <si>
    <t>Уборщица Раушан</t>
  </si>
  <si>
    <t>Мама Ажар</t>
  </si>
  <si>
    <t>Лаура</t>
  </si>
  <si>
    <t>Саян</t>
  </si>
  <si>
    <t xml:space="preserve">Раушан(уборщица) </t>
  </si>
  <si>
    <t>Аружан бывш учредитель</t>
  </si>
  <si>
    <t>Нуртилеу директор владелец</t>
  </si>
  <si>
    <t>Салтанат академ дир</t>
  </si>
  <si>
    <t>Султан айлтс онлайн</t>
  </si>
  <si>
    <t>Мади дженерал инглиш</t>
  </si>
  <si>
    <t>Ванесса дженерал</t>
  </si>
  <si>
    <t>Султан куратор</t>
  </si>
  <si>
    <t>Диас международн координатор</t>
  </si>
  <si>
    <t>Илона айлтс</t>
  </si>
  <si>
    <t>Рустам сат вербал</t>
  </si>
  <si>
    <t xml:space="preserve">Аружан САТ уволилась с марта </t>
  </si>
  <si>
    <t>Касымжомарт Сат матем</t>
  </si>
  <si>
    <t>Мадияр РОП/Оп</t>
  </si>
  <si>
    <t>Ерасыл Кц</t>
  </si>
  <si>
    <t>долг по остаткам зп:</t>
  </si>
  <si>
    <t>долг компании</t>
  </si>
  <si>
    <t>жанерке долг</t>
  </si>
  <si>
    <t>Аружан долг</t>
  </si>
  <si>
    <t>Нуртилеу кредит</t>
  </si>
  <si>
    <t>Салтанат долг</t>
  </si>
  <si>
    <t>долг Папа Мадияра</t>
  </si>
  <si>
    <t>Султан Куратора</t>
  </si>
  <si>
    <t>Папа Мадияра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</si>
</sst>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,m,yy"/>
  </numFmts>
  <fonts count="21">
    <font>
      <sz val="12.0"/>
      <color theme="1"/>
      <name val="Aptos narrow"/>
      <scheme val="minor"/>
    </font>
    <font>
      <b/>
      <sz val="16.0"/>
      <color theme="1"/>
      <name val="Aptos narrow"/>
    </font>
    <font>
      <color theme="1"/>
      <name val="Arial"/>
    </font>
    <font>
      <sz val="14.0"/>
      <color theme="1"/>
      <name val="Arial"/>
    </font>
    <font>
      <sz val="14.0"/>
      <color theme="1"/>
      <name val="Aptos narrow"/>
    </font>
    <font>
      <color theme="1"/>
      <name val="Aptos narrow"/>
    </font>
    <font>
      <b/>
      <sz val="16.0"/>
      <color theme="1"/>
      <name val="Arial"/>
    </font>
    <font>
      <sz val="14.0"/>
      <color rgb="FF1F1F1F"/>
      <name val="Arial"/>
    </font>
    <font>
      <sz val="11.0"/>
      <color theme="1"/>
      <name val="Arial"/>
    </font>
    <font>
      <b/>
      <sz val="15.0"/>
      <color theme="1"/>
      <name val="Arial"/>
    </font>
    <font>
      <sz val="14.0"/>
      <color rgb="FF000000"/>
      <name val="Arial"/>
    </font>
    <font>
      <sz val="14.0"/>
      <color rgb="FF000000"/>
      <name val="Aptos narrow"/>
    </font>
    <font>
      <color theme="1"/>
      <name val="Aptos narrow"/>
      <scheme val="minor"/>
    </font>
    <font>
      <sz val="14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b/>
      <sz val="15.0"/>
      <color theme="1"/>
      <name val="Aptos narrow"/>
    </font>
    <font>
      <sz val="15.0"/>
      <color theme="1"/>
      <name val="Aptos narrow"/>
    </font>
    <font>
      <sz val="15.0"/>
      <color theme="1"/>
      <name val="Arial"/>
    </font>
    <font>
      <sz val="15.0"/>
      <color theme="1"/>
      <name val="Aptos narrow"/>
      <scheme val="minor"/>
    </font>
    <font/>
  </fonts>
  <fills count="13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CC4125"/>
        <bgColor rgb="FFCC4125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8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2" fillId="0" fontId="3" numFmtId="0" xfId="0" applyBorder="1" applyFont="1"/>
    <xf borderId="2" fillId="0" fontId="3" numFmtId="3" xfId="0" applyBorder="1" applyFont="1" applyNumberFormat="1"/>
    <xf borderId="2" fillId="0" fontId="4" numFmtId="3" xfId="0" applyBorder="1" applyFont="1" applyNumberFormat="1"/>
    <xf borderId="2" fillId="0" fontId="4" numFmtId="0" xfId="0" applyBorder="1" applyFont="1"/>
    <xf borderId="2" fillId="3" fontId="4" numFmtId="3" xfId="0" applyBorder="1" applyFill="1" applyFont="1" applyNumberFormat="1"/>
    <xf borderId="0" fillId="0" fontId="5" numFmtId="3" xfId="0" applyFont="1" applyNumberFormat="1"/>
    <xf borderId="0" fillId="0" fontId="4" numFmtId="0" xfId="0" applyFont="1"/>
    <xf borderId="0" fillId="0" fontId="3" numFmtId="0" xfId="0" applyFont="1"/>
    <xf borderId="1" fillId="2" fontId="6" numFmtId="0" xfId="0" applyBorder="1" applyFont="1"/>
    <xf borderId="2" fillId="4" fontId="7" numFmtId="0" xfId="0" applyBorder="1" applyFill="1" applyFont="1"/>
    <xf borderId="3" fillId="0" fontId="3" numFmtId="3" xfId="0" applyAlignment="1" applyBorder="1" applyFont="1" applyNumberFormat="1">
      <alignment horizontal="right" vertical="bottom"/>
    </xf>
    <xf borderId="2" fillId="0" fontId="3" numFmtId="3" xfId="0" applyAlignment="1" applyBorder="1" applyFont="1" applyNumberFormat="1">
      <alignment horizontal="right" vertical="bottom"/>
    </xf>
    <xf borderId="0" fillId="0" fontId="8" numFmtId="3" xfId="0" applyAlignment="1" applyFont="1" applyNumberFormat="1">
      <alignment horizontal="right" vertical="bottom"/>
    </xf>
    <xf borderId="0" fillId="0" fontId="3" numFmtId="3" xfId="0" applyFont="1" applyNumberFormat="1"/>
    <xf borderId="0" fillId="0" fontId="4" numFmtId="3" xfId="0" applyFont="1" applyNumberFormat="1"/>
    <xf borderId="2" fillId="2" fontId="9" numFmtId="0" xfId="0" applyBorder="1" applyFont="1"/>
    <xf borderId="2" fillId="2" fontId="1" numFmtId="0" xfId="0" applyBorder="1" applyFont="1"/>
    <xf borderId="2" fillId="2" fontId="6" numFmtId="0" xfId="0" applyBorder="1" applyFont="1"/>
    <xf borderId="2" fillId="3" fontId="3" numFmtId="3" xfId="0" applyBorder="1" applyFont="1" applyNumberFormat="1"/>
    <xf borderId="2" fillId="4" fontId="10" numFmtId="3" xfId="0" applyBorder="1" applyFont="1" applyNumberFormat="1"/>
    <xf borderId="2" fillId="5" fontId="4" numFmtId="3" xfId="0" applyBorder="1" applyFill="1" applyFont="1" applyNumberFormat="1"/>
    <xf borderId="4" fillId="0" fontId="10" numFmtId="3" xfId="0" applyAlignment="1" applyBorder="1" applyFont="1" applyNumberFormat="1">
      <alignment horizontal="right" vertical="bottom"/>
    </xf>
    <xf borderId="4" fillId="0" fontId="3" numFmtId="3" xfId="0" applyAlignment="1" applyBorder="1" applyFont="1" applyNumberFormat="1">
      <alignment horizontal="right" vertical="bottom"/>
    </xf>
    <xf borderId="2" fillId="0" fontId="10" numFmtId="0" xfId="0" applyBorder="1" applyFont="1"/>
    <xf borderId="2" fillId="0" fontId="11" numFmtId="0" xfId="0" applyBorder="1" applyFont="1"/>
    <xf borderId="2" fillId="4" fontId="10" numFmtId="0" xfId="0" applyBorder="1" applyFont="1"/>
    <xf borderId="2" fillId="6" fontId="4" numFmtId="0" xfId="0" applyBorder="1" applyFill="1" applyFont="1"/>
    <xf borderId="2" fillId="7" fontId="4" numFmtId="0" xfId="0" applyBorder="1" applyFill="1" applyFont="1"/>
    <xf borderId="2" fillId="8" fontId="3" numFmtId="0" xfId="0" applyBorder="1" applyFill="1" applyFont="1"/>
    <xf borderId="2" fillId="0" fontId="3" numFmtId="164" xfId="0" applyBorder="1" applyFont="1" applyNumberFormat="1"/>
    <xf borderId="2" fillId="0" fontId="2" numFmtId="0" xfId="0" applyBorder="1" applyFont="1"/>
    <xf borderId="2" fillId="0" fontId="2" numFmtId="164" xfId="0" applyBorder="1" applyFont="1" applyNumberFormat="1"/>
    <xf borderId="2" fillId="0" fontId="3" numFmtId="3" xfId="0" applyAlignment="1" applyBorder="1" applyFont="1" applyNumberFormat="1">
      <alignment readingOrder="0"/>
    </xf>
    <xf borderId="2" fillId="0" fontId="3" numFmtId="0" xfId="0" applyAlignment="1" applyBorder="1" applyFont="1">
      <alignment readingOrder="0"/>
    </xf>
    <xf borderId="3" fillId="0" fontId="10" numFmtId="3" xfId="0" applyAlignment="1" applyBorder="1" applyFont="1" applyNumberFormat="1">
      <alignment horizontal="right" vertical="bottom"/>
    </xf>
    <xf borderId="2" fillId="0" fontId="10" numFmtId="3" xfId="0" applyAlignment="1" applyBorder="1" applyFont="1" applyNumberFormat="1">
      <alignment horizontal="right" readingOrder="0" vertical="bottom"/>
    </xf>
    <xf borderId="2" fillId="0" fontId="10" numFmtId="3" xfId="0" applyAlignment="1" applyBorder="1" applyFont="1" applyNumberFormat="1">
      <alignment horizontal="right" vertical="bottom"/>
    </xf>
    <xf borderId="2" fillId="4" fontId="3" numFmtId="0" xfId="0" applyBorder="1" applyFont="1"/>
    <xf borderId="2" fillId="0" fontId="2" numFmtId="0" xfId="0" applyAlignment="1" applyBorder="1" applyFont="1">
      <alignment readingOrder="0"/>
    </xf>
    <xf borderId="2" fillId="9" fontId="3" numFmtId="0" xfId="0" applyBorder="1" applyFill="1" applyFont="1"/>
    <xf borderId="2" fillId="0" fontId="10" numFmtId="0" xfId="0" applyAlignment="1" applyBorder="1" applyFont="1">
      <alignment readingOrder="0"/>
    </xf>
    <xf borderId="0" fillId="0" fontId="12" numFmtId="3" xfId="0" applyFont="1" applyNumberFormat="1"/>
    <xf borderId="2" fillId="9" fontId="3" numFmtId="0" xfId="0" applyAlignment="1" applyBorder="1" applyFont="1">
      <alignment readingOrder="0"/>
    </xf>
    <xf borderId="2" fillId="4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4" fontId="10" numFmtId="3" xfId="0" applyAlignment="1" applyBorder="1" applyFont="1" applyNumberFormat="1">
      <alignment readingOrder="0"/>
    </xf>
    <xf borderId="0" fillId="0" fontId="12" numFmtId="0" xfId="0" applyFont="1"/>
    <xf borderId="2" fillId="3" fontId="3" numFmtId="3" xfId="0" applyAlignment="1" applyBorder="1" applyFont="1" applyNumberFormat="1">
      <alignment readingOrder="0"/>
    </xf>
    <xf borderId="2" fillId="10" fontId="4" numFmtId="3" xfId="0" applyBorder="1" applyFill="1" applyFont="1" applyNumberFormat="1"/>
    <xf borderId="2" fillId="0" fontId="1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11" fontId="4" numFmtId="3" xfId="0" applyBorder="1" applyFill="1" applyFont="1" applyNumberFormat="1"/>
    <xf borderId="2" fillId="0" fontId="3" numFmtId="0" xfId="0" applyAlignment="1" applyBorder="1" applyFont="1">
      <alignment horizontal="right" vertical="bottom"/>
    </xf>
    <xf borderId="2" fillId="2" fontId="9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2" fillId="2" fontId="6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2" fillId="0" fontId="3" numFmtId="0" xfId="0" applyAlignment="1" applyBorder="1" applyFont="1">
      <alignment readingOrder="0" vertical="bottom"/>
    </xf>
    <xf borderId="2" fillId="0" fontId="3" numFmtId="3" xfId="0" applyAlignment="1" applyBorder="1" applyFont="1" applyNumberFormat="1">
      <alignment horizontal="right" readingOrder="0" vertical="bottom"/>
    </xf>
    <xf borderId="2" fillId="0" fontId="14" numFmtId="3" xfId="0" applyAlignment="1" applyBorder="1" applyFont="1" applyNumberFormat="1">
      <alignment vertical="bottom"/>
    </xf>
    <xf borderId="2" fillId="0" fontId="14" numFmtId="0" xfId="0" applyAlignment="1" applyBorder="1" applyFont="1">
      <alignment vertical="bottom"/>
    </xf>
    <xf borderId="2" fillId="0" fontId="14" numFmtId="0" xfId="0" applyAlignment="1" applyBorder="1" applyFont="1">
      <alignment vertical="bottom"/>
    </xf>
    <xf borderId="2" fillId="0" fontId="4" numFmtId="0" xfId="0" applyAlignment="1" applyBorder="1" applyFont="1">
      <alignment horizontal="right" vertical="bottom"/>
    </xf>
    <xf borderId="2" fillId="3" fontId="4" numFmtId="3" xfId="0" applyAlignment="1" applyBorder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2" fillId="0" fontId="15" numFmtId="3" xfId="0" applyAlignment="1" applyBorder="1" applyFont="1" applyNumberFormat="1">
      <alignment readingOrder="0" vertical="bottom"/>
    </xf>
    <xf borderId="2" fillId="0" fontId="15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2" fillId="12" fontId="3" numFmtId="3" xfId="0" applyAlignment="1" applyBorder="1" applyFill="1" applyFont="1" applyNumberFormat="1">
      <alignment horizontal="right" readingOrder="0" vertical="bottom"/>
    </xf>
    <xf borderId="2" fillId="0" fontId="3" numFmtId="0" xfId="0" applyAlignment="1" applyBorder="1" applyFont="1">
      <alignment vertical="bottom"/>
    </xf>
    <xf borderId="2" fillId="3" fontId="3" numFmtId="3" xfId="0" applyAlignment="1" applyBorder="1" applyFont="1" applyNumberFormat="1">
      <alignment horizontal="right" readingOrder="0" vertical="bottom"/>
    </xf>
    <xf borderId="2" fillId="0" fontId="3" numFmtId="0" xfId="0" applyAlignment="1" applyBorder="1" applyFont="1">
      <alignment horizontal="right" readingOrder="0" vertical="bottom"/>
    </xf>
    <xf borderId="2" fillId="10" fontId="3" numFmtId="0" xfId="0" applyAlignment="1" applyBorder="1" applyFont="1">
      <alignment vertical="bottom"/>
    </xf>
    <xf borderId="2" fillId="10" fontId="3" numFmtId="3" xfId="0" applyAlignment="1" applyBorder="1" applyFont="1" applyNumberFormat="1">
      <alignment horizontal="right" vertical="bottom"/>
    </xf>
    <xf borderId="2" fillId="10" fontId="14" numFmtId="3" xfId="0" applyAlignment="1" applyBorder="1" applyFont="1" applyNumberFormat="1">
      <alignment vertical="bottom"/>
    </xf>
    <xf borderId="2" fillId="10" fontId="14" numFmtId="0" xfId="0" applyAlignment="1" applyBorder="1" applyFont="1">
      <alignment vertical="bottom"/>
    </xf>
    <xf borderId="2" fillId="10" fontId="14" numFmtId="0" xfId="0" applyAlignment="1" applyBorder="1" applyFont="1">
      <alignment vertical="bottom"/>
    </xf>
    <xf borderId="2" fillId="10" fontId="4" numFmtId="0" xfId="0" applyAlignment="1" applyBorder="1" applyFont="1">
      <alignment horizontal="right" vertical="bottom"/>
    </xf>
    <xf borderId="2" fillId="10" fontId="3" numFmtId="3" xfId="0" applyAlignment="1" applyBorder="1" applyFont="1" applyNumberFormat="1">
      <alignment horizontal="right" readingOrder="0" vertical="bottom"/>
    </xf>
    <xf borderId="2" fillId="10" fontId="3" numFmtId="0" xfId="0" applyAlignment="1" applyBorder="1" applyFont="1">
      <alignment horizontal="right" vertical="bottom"/>
    </xf>
    <xf borderId="0" fillId="10" fontId="14" numFmtId="0" xfId="0" applyAlignment="1" applyFont="1">
      <alignment vertical="bottom"/>
    </xf>
    <xf borderId="2" fillId="4" fontId="3" numFmtId="3" xfId="0" applyAlignment="1" applyBorder="1" applyFont="1" applyNumberFormat="1">
      <alignment horizontal="right" vertical="bottom"/>
    </xf>
    <xf borderId="2" fillId="10" fontId="15" numFmtId="0" xfId="0" applyAlignment="1" applyBorder="1" applyFont="1">
      <alignment readingOrder="0" vertical="bottom"/>
    </xf>
    <xf borderId="2" fillId="0" fontId="4" numFmtId="3" xfId="0" applyAlignment="1" applyBorder="1" applyFont="1" applyNumberFormat="1">
      <alignment horizontal="right" vertical="bottom"/>
    </xf>
    <xf borderId="0" fillId="0" fontId="14" numFmtId="3" xfId="0" applyAlignment="1" applyFont="1" applyNumberFormat="1">
      <alignment vertical="bottom"/>
    </xf>
    <xf borderId="2" fillId="3" fontId="3" numFmtId="3" xfId="0" applyAlignment="1" applyBorder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2" fillId="6" fontId="4" numFmtId="0" xfId="0" applyAlignment="1" applyBorder="1" applyFont="1">
      <alignment vertical="bottom"/>
    </xf>
    <xf borderId="2" fillId="7" fontId="4" numFmtId="0" xfId="0" applyAlignment="1" applyBorder="1" applyFont="1">
      <alignment vertical="bottom"/>
    </xf>
    <xf borderId="2" fillId="8" fontId="3" numFmtId="0" xfId="0" applyAlignment="1" applyBorder="1" applyFont="1">
      <alignment vertical="bottom"/>
    </xf>
    <xf borderId="2" fillId="0" fontId="15" numFmtId="0" xfId="0" applyAlignment="1" applyBorder="1" applyFont="1">
      <alignment horizontal="right" vertical="bottom"/>
    </xf>
    <xf borderId="2" fillId="0" fontId="3" numFmtId="164" xfId="0" applyAlignment="1" applyBorder="1" applyFont="1" applyNumberFormat="1">
      <alignment horizontal="right" vertical="bottom"/>
    </xf>
    <xf borderId="2" fillId="0" fontId="15" numFmtId="0" xfId="0" applyAlignment="1" applyBorder="1" applyFont="1">
      <alignment horizontal="right" readingOrder="0" vertical="bottom"/>
    </xf>
    <xf borderId="2" fillId="0" fontId="3" numFmtId="164" xfId="0" applyAlignment="1" applyBorder="1" applyFont="1" applyNumberFormat="1">
      <alignment horizontal="right" readingOrder="0" vertical="bottom"/>
    </xf>
    <xf borderId="2" fillId="0" fontId="3" numFmtId="0" xfId="0" applyAlignment="1" applyBorder="1" applyFont="1">
      <alignment horizontal="right" vertical="bottom"/>
    </xf>
    <xf borderId="2" fillId="0" fontId="15" numFmtId="0" xfId="0" applyAlignment="1" applyBorder="1" applyFont="1">
      <alignment horizontal="right" vertical="bottom"/>
    </xf>
    <xf borderId="2" fillId="4" fontId="3" numFmtId="0" xfId="0" applyAlignment="1" applyBorder="1" applyFont="1">
      <alignment vertical="bottom"/>
    </xf>
    <xf borderId="0" fillId="0" fontId="3" numFmtId="165" xfId="0" applyAlignment="1" applyFont="1" applyNumberFormat="1">
      <alignment readingOrder="0" vertical="bottom"/>
    </xf>
    <xf borderId="0" fillId="0" fontId="15" numFmtId="0" xfId="0" applyAlignment="1" applyFont="1">
      <alignment vertical="bottom"/>
    </xf>
    <xf borderId="0" fillId="0" fontId="14" numFmtId="164" xfId="0" applyAlignment="1" applyFont="1" applyNumberFormat="1">
      <alignment vertical="bottom"/>
    </xf>
    <xf borderId="2" fillId="2" fontId="9" numFmtId="0" xfId="0" applyAlignment="1" applyBorder="1" applyFont="1">
      <alignment readingOrder="0" vertical="bottom"/>
    </xf>
    <xf borderId="2" fillId="2" fontId="16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2" fillId="0" fontId="18" numFmtId="0" xfId="0" applyAlignment="1" applyBorder="1" applyFont="1">
      <alignment readingOrder="0" vertical="bottom"/>
    </xf>
    <xf borderId="2" fillId="0" fontId="18" numFmtId="3" xfId="0" applyAlignment="1" applyBorder="1" applyFont="1" applyNumberFormat="1">
      <alignment horizontal="right" readingOrder="0" vertical="bottom"/>
    </xf>
    <xf borderId="2" fillId="0" fontId="18" numFmtId="3" xfId="0" applyAlignment="1" applyBorder="1" applyFont="1" applyNumberFormat="1">
      <alignment readingOrder="0" vertical="bottom"/>
    </xf>
    <xf borderId="2" fillId="0" fontId="17" numFmtId="0" xfId="0" applyAlignment="1" applyBorder="1" applyFont="1">
      <alignment vertical="bottom"/>
    </xf>
    <xf borderId="2" fillId="0" fontId="17" numFmtId="0" xfId="0" applyAlignment="1" applyBorder="1" applyFont="1">
      <alignment horizontal="right" vertical="bottom"/>
    </xf>
    <xf borderId="2" fillId="0" fontId="17" numFmtId="3" xfId="0" applyAlignment="1" applyBorder="1" applyFont="1" applyNumberFormat="1">
      <alignment horizontal="right" vertical="bottom"/>
    </xf>
    <xf borderId="2" fillId="0" fontId="18" numFmtId="0" xfId="0" applyAlignment="1" applyBorder="1" applyFont="1">
      <alignment horizontal="right" vertical="bottom"/>
    </xf>
    <xf borderId="0" fillId="0" fontId="18" numFmtId="0" xfId="0" applyAlignment="1" applyFont="1">
      <alignment vertical="bottom"/>
    </xf>
    <xf borderId="2" fillId="0" fontId="17" numFmtId="0" xfId="0" applyAlignment="1" applyBorder="1" applyFont="1">
      <alignment vertical="bottom"/>
    </xf>
    <xf borderId="2" fillId="0" fontId="18" numFmtId="0" xfId="0" applyAlignment="1" applyBorder="1" applyFont="1">
      <alignment vertical="bottom"/>
    </xf>
    <xf borderId="2" fillId="0" fontId="17" numFmtId="3" xfId="0" applyAlignment="1" applyBorder="1" applyFont="1" applyNumberFormat="1">
      <alignment vertical="bottom"/>
    </xf>
    <xf borderId="2" fillId="0" fontId="18" numFmtId="0" xfId="0" applyAlignment="1" applyBorder="1" applyFont="1">
      <alignment horizontal="right" readingOrder="0" vertical="bottom"/>
    </xf>
    <xf borderId="2" fillId="3" fontId="17" numFmtId="3" xfId="0" applyAlignment="1" applyBorder="1" applyFont="1" applyNumberFormat="1">
      <alignment horizontal="right" vertical="bottom"/>
    </xf>
    <xf borderId="2" fillId="0" fontId="18" numFmtId="3" xfId="0" applyAlignment="1" applyBorder="1" applyFont="1" applyNumberFormat="1">
      <alignment horizontal="right" vertical="bottom"/>
    </xf>
    <xf borderId="0" fillId="0" fontId="17" numFmtId="3" xfId="0" applyAlignment="1" applyFont="1" applyNumberFormat="1">
      <alignment vertical="bottom"/>
    </xf>
    <xf borderId="2" fillId="0" fontId="18" numFmtId="0" xfId="0" applyAlignment="1" applyBorder="1" applyFont="1">
      <alignment vertical="bottom"/>
    </xf>
    <xf borderId="0" fillId="0" fontId="18" numFmtId="0" xfId="0" applyAlignment="1" applyFont="1">
      <alignment readingOrder="0" vertical="bottom"/>
    </xf>
    <xf borderId="2" fillId="4" fontId="18" numFmtId="3" xfId="0" applyAlignment="1" applyBorder="1" applyFont="1" applyNumberFormat="1">
      <alignment horizontal="right" vertical="bottom"/>
    </xf>
    <xf borderId="0" fillId="0" fontId="18" numFmtId="3" xfId="0" applyAlignment="1" applyFont="1" applyNumberFormat="1">
      <alignment readingOrder="0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vertical="bottom"/>
    </xf>
    <xf borderId="2" fillId="0" fontId="9" numFmtId="0" xfId="0" applyAlignment="1" applyBorder="1" applyFont="1">
      <alignment vertical="bottom"/>
    </xf>
    <xf borderId="2" fillId="6" fontId="16" numFmtId="0" xfId="0" applyAlignment="1" applyBorder="1" applyFont="1">
      <alignment vertical="bottom"/>
    </xf>
    <xf borderId="2" fillId="7" fontId="16" numFmtId="0" xfId="0" applyAlignment="1" applyBorder="1" applyFont="1">
      <alignment vertical="bottom"/>
    </xf>
    <xf borderId="2" fillId="8" fontId="9" numFmtId="0" xfId="0" applyAlignment="1" applyBorder="1" applyFont="1">
      <alignment vertical="bottom"/>
    </xf>
    <xf borderId="2" fillId="0" fontId="18" numFmtId="164" xfId="0" applyAlignment="1" applyBorder="1" applyFont="1" applyNumberFormat="1">
      <alignment horizontal="right" vertical="bottom"/>
    </xf>
    <xf borderId="2" fillId="0" fontId="18" numFmtId="0" xfId="0" applyAlignment="1" applyBorder="1" applyFont="1">
      <alignment horizontal="right" vertical="bottom"/>
    </xf>
    <xf borderId="2" fillId="4" fontId="18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Font="1"/>
    <xf borderId="2" fillId="7" fontId="9" numFmtId="0" xfId="0" applyAlignment="1" applyBorder="1" applyFont="1">
      <alignment vertical="bottom"/>
    </xf>
    <xf borderId="2" fillId="7" fontId="9" numFmtId="0" xfId="0" applyAlignment="1" applyBorder="1" applyFont="1">
      <alignment readingOrder="0" vertical="bottom"/>
    </xf>
    <xf borderId="0" fillId="7" fontId="17" numFmtId="0" xfId="0" applyAlignment="1" applyFont="1">
      <alignment vertical="bottom"/>
    </xf>
    <xf borderId="5" fillId="7" fontId="18" numFmtId="0" xfId="0" applyAlignment="1" applyBorder="1" applyFont="1">
      <alignment horizontal="center" readingOrder="0" vertical="bottom"/>
    </xf>
    <xf borderId="6" fillId="0" fontId="20" numFmtId="0" xfId="0" applyBorder="1" applyFont="1"/>
    <xf borderId="6" fillId="7" fontId="18" numFmtId="0" xfId="0" applyAlignment="1" applyBorder="1" applyFont="1">
      <alignment horizontal="center" readingOrder="0" vertical="bottom"/>
    </xf>
    <xf borderId="7" fillId="7" fontId="18" numFmtId="0" xfId="0" applyAlignment="1" applyBorder="1" applyFont="1">
      <alignment horizontal="center" readingOrder="0" vertical="bottom"/>
    </xf>
    <xf borderId="2" fillId="10" fontId="18" numFmtId="0" xfId="0" applyAlignment="1" applyBorder="1" applyFont="1">
      <alignment readingOrder="0" vertical="bottom"/>
    </xf>
    <xf borderId="2" fillId="10" fontId="18" numFmtId="3" xfId="0" applyAlignment="1" applyBorder="1" applyFont="1" applyNumberFormat="1">
      <alignment readingOrder="0" vertical="bottom"/>
    </xf>
    <xf borderId="2" fillId="10" fontId="17" numFmtId="0" xfId="0" applyAlignment="1" applyBorder="1" applyFont="1">
      <alignment vertical="bottom"/>
    </xf>
    <xf borderId="2" fillId="10" fontId="17" numFmtId="0" xfId="0" applyAlignment="1" applyBorder="1" applyFont="1">
      <alignment horizontal="right" vertical="bottom"/>
    </xf>
    <xf borderId="2" fillId="10" fontId="17" numFmtId="3" xfId="0" applyAlignment="1" applyBorder="1" applyFont="1" applyNumberFormat="1">
      <alignment horizontal="right" vertical="bottom"/>
    </xf>
    <xf borderId="2" fillId="10" fontId="18" numFmtId="0" xfId="0" applyAlignment="1" applyBorder="1" applyFont="1">
      <alignment horizontal="right" vertical="bottom"/>
    </xf>
    <xf borderId="0" fillId="10" fontId="17" numFmtId="0" xfId="0" applyAlignment="1" applyFont="1">
      <alignment vertical="bottom"/>
    </xf>
    <xf borderId="2" fillId="10" fontId="18" numFmtId="3" xfId="0" applyAlignment="1" applyBorder="1" applyFont="1" applyNumberFormat="1">
      <alignment horizontal="right" readingOrder="0" vertical="bottom"/>
    </xf>
    <xf borderId="2" fillId="10" fontId="17" numFmtId="0" xfId="0" applyAlignment="1" applyBorder="1" applyFont="1">
      <alignment vertical="bottom"/>
    </xf>
    <xf borderId="0" fillId="10" fontId="18" numFmtId="0" xfId="0" applyAlignment="1" applyFont="1">
      <alignment vertical="bottom"/>
    </xf>
    <xf borderId="5" fillId="0" fontId="18" numFmtId="0" xfId="0" applyAlignment="1" applyBorder="1" applyFont="1">
      <alignment readingOrder="0" vertical="bottom"/>
    </xf>
    <xf borderId="5" fillId="0" fontId="18" numFmtId="3" xfId="0" applyAlignment="1" applyBorder="1" applyFont="1" applyNumberFormat="1">
      <alignment horizontal="right" readingOrder="0" vertical="bottom"/>
    </xf>
    <xf borderId="5" fillId="0" fontId="18" numFmtId="3" xfId="0" applyAlignment="1" applyBorder="1" applyFont="1" applyNumberFormat="1">
      <alignment readingOrder="0" vertical="bottom"/>
    </xf>
    <xf borderId="5" fillId="0" fontId="17" numFmtId="0" xfId="0" applyAlignment="1" applyBorder="1" applyFont="1">
      <alignment vertical="bottom"/>
    </xf>
    <xf borderId="5" fillId="0" fontId="17" numFmtId="0" xfId="0" applyAlignment="1" applyBorder="1" applyFont="1">
      <alignment vertical="bottom"/>
    </xf>
    <xf borderId="5" fillId="0" fontId="17" numFmtId="0" xfId="0" applyAlignment="1" applyBorder="1" applyFont="1">
      <alignment horizontal="right" vertical="bottom"/>
    </xf>
    <xf borderId="7" fillId="0" fontId="18" numFmtId="0" xfId="0" applyAlignment="1" applyBorder="1" applyFont="1">
      <alignment horizontal="right" vertical="bottom"/>
    </xf>
    <xf borderId="2" fillId="4" fontId="18" numFmtId="3" xfId="0" applyAlignment="1" applyBorder="1" applyFont="1" applyNumberFormat="1">
      <alignment horizontal="right" readingOrder="0" vertical="bottom"/>
    </xf>
    <xf borderId="2" fillId="3" fontId="18" numFmtId="3" xfId="0" applyAlignment="1" applyBorder="1" applyFont="1" applyNumberFormat="1">
      <alignment horizontal="right" readingOrder="0" vertical="bottom"/>
    </xf>
    <xf borderId="2" fillId="6" fontId="17" numFmtId="0" xfId="0" applyAlignment="1" applyBorder="1" applyFont="1">
      <alignment vertical="bottom"/>
    </xf>
    <xf borderId="2" fillId="7" fontId="17" numFmtId="0" xfId="0" applyAlignment="1" applyBorder="1" applyFont="1">
      <alignment vertical="bottom"/>
    </xf>
    <xf borderId="2" fillId="8" fontId="18" numFmtId="0" xfId="0" applyAlignment="1" applyBorder="1" applyFont="1">
      <alignment vertical="bottom"/>
    </xf>
    <xf borderId="7" fillId="0" fontId="20" numFmtId="0" xfId="0" applyBorder="1" applyFont="1"/>
    <xf borderId="0" fillId="7" fontId="18" numFmtId="0" xfId="0" applyAlignment="1" applyFont="1">
      <alignment horizontal="center" readingOrder="0" vertical="bottom"/>
    </xf>
    <xf borderId="2" fillId="3" fontId="18" numFmtId="0" xfId="0" applyAlignment="1" applyBorder="1" applyFont="1">
      <alignment vertical="bottom"/>
    </xf>
    <xf borderId="2" fillId="3" fontId="18" numFmtId="3" xfId="0" applyAlignment="1" applyBorder="1" applyFont="1" applyNumberFormat="1">
      <alignment readingOrder="0" vertical="bottom"/>
    </xf>
    <xf borderId="2" fillId="3" fontId="17" numFmtId="0" xfId="0" applyAlignment="1" applyBorder="1" applyFont="1">
      <alignment vertical="bottom"/>
    </xf>
    <xf borderId="2" fillId="3" fontId="17" numFmtId="0" xfId="0" applyAlignment="1" applyBorder="1" applyFont="1">
      <alignment vertical="bottom"/>
    </xf>
    <xf borderId="2" fillId="3" fontId="17" numFmtId="0" xfId="0" applyAlignment="1" applyBorder="1" applyFont="1">
      <alignment horizontal="right" vertical="bottom"/>
    </xf>
    <xf borderId="2" fillId="3" fontId="18" numFmtId="0" xfId="0" applyAlignment="1" applyBorder="1" applyFont="1">
      <alignment horizontal="right" vertical="bottom"/>
    </xf>
    <xf borderId="0" fillId="3" fontId="18" numFmtId="0" xfId="0" applyAlignment="1" applyFont="1">
      <alignment vertical="bottom"/>
    </xf>
    <xf borderId="0" fillId="3" fontId="17" numFmtId="0" xfId="0" applyAlignment="1" applyFont="1">
      <alignment vertical="bottom"/>
    </xf>
    <xf borderId="0" fillId="3" fontId="18" numFmtId="0" xfId="0" applyAlignment="1" applyFont="1">
      <alignment readingOrder="0" vertical="bottom"/>
    </xf>
    <xf borderId="2" fillId="10" fontId="18" numFmtId="0" xfId="0" applyAlignment="1" applyBorder="1" applyFont="1">
      <alignment vertical="bottom"/>
    </xf>
    <xf borderId="2" fillId="10" fontId="17" numFmtId="3" xfId="0" applyAlignment="1" applyBorder="1" applyFont="1" applyNumberFormat="1">
      <alignment vertical="bottom"/>
    </xf>
    <xf borderId="2" fillId="3" fontId="18" numFmtId="0" xfId="0" applyAlignment="1" applyBorder="1" applyFont="1">
      <alignment vertical="bottom"/>
    </xf>
    <xf borderId="2" fillId="3" fontId="18" numFmtId="0" xfId="0" applyAlignment="1" applyBorder="1" applyFont="1">
      <alignment readingOrder="0" vertical="bottom"/>
    </xf>
    <xf borderId="5" fillId="3" fontId="18" numFmtId="0" xfId="0" applyAlignment="1" applyBorder="1" applyFont="1">
      <alignment readingOrder="0" vertical="bottom"/>
    </xf>
    <xf borderId="5" fillId="3" fontId="18" numFmtId="3" xfId="0" applyAlignment="1" applyBorder="1" applyFont="1" applyNumberFormat="1">
      <alignment horizontal="right" readingOrder="0" vertical="bottom"/>
    </xf>
    <xf borderId="5" fillId="3" fontId="18" numFmtId="3" xfId="0" applyAlignment="1" applyBorder="1" applyFont="1" applyNumberFormat="1">
      <alignment readingOrder="0" vertical="bottom"/>
    </xf>
    <xf borderId="5" fillId="3" fontId="17" numFmtId="0" xfId="0" applyAlignment="1" applyBorder="1" applyFont="1">
      <alignment vertical="bottom"/>
    </xf>
    <xf borderId="5" fillId="3" fontId="17" numFmtId="0" xfId="0" applyAlignment="1" applyBorder="1" applyFont="1">
      <alignment vertical="bottom"/>
    </xf>
    <xf borderId="5" fillId="3" fontId="17" numFmtId="0" xfId="0" applyAlignment="1" applyBorder="1" applyFont="1">
      <alignment horizontal="right" vertical="bottom"/>
    </xf>
    <xf borderId="7" fillId="3" fontId="18" numFmtId="0" xfId="0" applyAlignment="1" applyBorder="1" applyFont="1">
      <alignment horizontal="right" vertical="bottom"/>
    </xf>
    <xf borderId="2" fillId="3" fontId="18" numFmtId="3" xfId="0" applyAlignment="1" applyBorder="1" applyFont="1" applyNumberFormat="1">
      <alignment horizontal="right" vertical="bottom"/>
    </xf>
    <xf borderId="2" fillId="3" fontId="17" numFmtId="3" xfId="0" applyAlignment="1" applyBorder="1" applyFont="1" applyNumberFormat="1">
      <alignment vertical="bottom"/>
    </xf>
    <xf borderId="2" fillId="3" fontId="14" numFmtId="0" xfId="0" applyAlignment="1" applyBorder="1" applyFont="1">
      <alignment vertical="bottom"/>
    </xf>
    <xf borderId="5" fillId="4" fontId="18" numFmtId="3" xfId="0" applyAlignment="1" applyBorder="1" applyFont="1" applyNumberFormat="1">
      <alignment horizontal="right" readingOrder="0" vertical="bottom"/>
    </xf>
    <xf borderId="6" fillId="0" fontId="17" numFmtId="3" xfId="0" applyAlignment="1" applyBorder="1" applyFont="1" applyNumberFormat="1">
      <alignment horizontal="right" vertical="bottom"/>
    </xf>
    <xf borderId="2" fillId="0" fontId="17" numFmtId="3" xfId="0" applyAlignment="1" applyBorder="1" applyFont="1" applyNumberFormat="1">
      <alignment readingOrder="0" vertical="bottom"/>
    </xf>
    <xf borderId="2" fillId="0" fontId="1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urtuleu Tursunhan" id="{db07d6e6-568b-4df4-b30c-549da17b599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6-02-02T11:25:37.00" personId="{db07d6e6-568b-4df4-b30c-549da17b599a}" id="{afeb7df6-765c-4bae-a636-81926228ed6a}" done="0">
    <x18tc:text xml:space="preserve">01,01 за ипотеку</x18tc:text>
  </x18tc:threadedComment>
  <x18tc:threadedComment ref="D5" dT="2026-02-10T13:28:14.00" personId="{db07d6e6-568b-4df4-b30c-549da17b599a}" id="{8bcad52f-fedf-43d5-ae25-8d32374bf6d9}" done="0">
    <x18tc:text xml:space="preserve">на др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6-03-06T09:45:28.00" personId="{db07d6e6-568b-4df4-b30c-549da17b599a}" id="{c2506008-8631-4f88-a81f-fe9b45b22754}" done="0">
    <x18tc:text xml:space="preserve">кред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1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1.xml"/><Relationship Id="rId5" Type="http://schemas.openxmlformats.org/officeDocument/2006/relationships/vmlDrawing" Target="../drawings/vmlDrawing2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6" width="18.11"/>
    <col customWidth="1" min="7" max="7" width="20.78"/>
    <col customWidth="1" min="8" max="8" width="21.78"/>
    <col customWidth="1" min="9" max="9" width="24.78"/>
    <col customWidth="1" min="10" max="12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15.75" customHeight="1">
      <c r="A2" s="3" t="s">
        <v>11</v>
      </c>
      <c r="B2" s="4">
        <v>600000.0</v>
      </c>
      <c r="C2" s="5"/>
      <c r="D2" s="5"/>
      <c r="E2" s="6"/>
      <c r="F2" s="6"/>
      <c r="G2" s="6"/>
      <c r="H2" s="6">
        <v>0.0</v>
      </c>
      <c r="I2" s="7">
        <f t="shared" ref="I2:I9" si="1">B2-C2-D2-E2-F2-G2</f>
        <v>600000</v>
      </c>
    </row>
    <row r="3" ht="15.75" customHeight="1">
      <c r="A3" s="3" t="s">
        <v>12</v>
      </c>
      <c r="B3" s="4">
        <v>600000.0</v>
      </c>
      <c r="C3" s="6"/>
      <c r="D3" s="6"/>
      <c r="E3" s="6"/>
      <c r="F3" s="6"/>
      <c r="G3" s="6"/>
      <c r="H3" s="6">
        <v>0.0</v>
      </c>
      <c r="I3" s="7">
        <f t="shared" si="1"/>
        <v>600000</v>
      </c>
    </row>
    <row r="4" ht="15.75" customHeight="1">
      <c r="A4" s="3" t="s">
        <v>13</v>
      </c>
      <c r="B4" s="4">
        <v>700000.0</v>
      </c>
      <c r="C4" s="4">
        <v>200000.0</v>
      </c>
      <c r="D4" s="6"/>
      <c r="E4" s="6"/>
      <c r="F4" s="6"/>
      <c r="G4" s="6"/>
      <c r="H4" s="6">
        <v>0.0</v>
      </c>
      <c r="I4" s="7">
        <f t="shared" si="1"/>
        <v>500000</v>
      </c>
    </row>
    <row r="5" ht="15.75" customHeight="1">
      <c r="A5" s="3" t="s">
        <v>14</v>
      </c>
      <c r="B5" s="4">
        <v>700000.0</v>
      </c>
      <c r="C5" s="5"/>
      <c r="D5" s="6"/>
      <c r="E5" s="6"/>
      <c r="F5" s="6"/>
      <c r="G5" s="6"/>
      <c r="H5" s="6">
        <v>0.0</v>
      </c>
      <c r="I5" s="7">
        <f t="shared" si="1"/>
        <v>700000</v>
      </c>
      <c r="J5" s="2">
        <v>700000.0</v>
      </c>
    </row>
    <row r="6" ht="15.75" customHeight="1">
      <c r="A6" s="3" t="s">
        <v>15</v>
      </c>
      <c r="B6" s="4">
        <v>120000.0</v>
      </c>
      <c r="C6" s="5"/>
      <c r="D6" s="6"/>
      <c r="E6" s="6"/>
      <c r="F6" s="6"/>
      <c r="G6" s="6"/>
      <c r="H6" s="6">
        <v>0.0</v>
      </c>
      <c r="I6" s="7">
        <f t="shared" si="1"/>
        <v>120000</v>
      </c>
    </row>
    <row r="7" ht="15.75" customHeight="1">
      <c r="A7" s="3" t="s">
        <v>16</v>
      </c>
      <c r="B7" s="4">
        <v>100000.0</v>
      </c>
      <c r="C7" s="3">
        <v>50000.0</v>
      </c>
      <c r="D7" s="6"/>
      <c r="E7" s="6"/>
      <c r="F7" s="6"/>
      <c r="G7" s="6"/>
      <c r="H7" s="6">
        <v>0.0</v>
      </c>
      <c r="I7" s="7">
        <f t="shared" si="1"/>
        <v>50000</v>
      </c>
    </row>
    <row r="8" ht="15.75" customHeight="1">
      <c r="A8" s="3" t="s">
        <v>17</v>
      </c>
      <c r="B8" s="4">
        <v>50000.0</v>
      </c>
      <c r="C8" s="6"/>
      <c r="D8" s="6"/>
      <c r="E8" s="6"/>
      <c r="F8" s="6"/>
      <c r="G8" s="6"/>
      <c r="H8" s="6">
        <v>0.0</v>
      </c>
      <c r="I8" s="7">
        <f t="shared" si="1"/>
        <v>50000</v>
      </c>
    </row>
    <row r="9" ht="16.5" customHeight="1">
      <c r="A9" s="3" t="s">
        <v>18</v>
      </c>
      <c r="B9" s="4">
        <v>150000.0</v>
      </c>
      <c r="C9" s="6"/>
      <c r="D9" s="6"/>
      <c r="E9" s="6"/>
      <c r="F9" s="6"/>
      <c r="G9" s="6"/>
      <c r="H9" s="6">
        <v>0.0</v>
      </c>
      <c r="I9" s="7">
        <f t="shared" si="1"/>
        <v>150000</v>
      </c>
      <c r="J9" s="2">
        <v>150000.0</v>
      </c>
    </row>
    <row r="10" ht="15.75" customHeight="1">
      <c r="A10" s="3" t="s">
        <v>19</v>
      </c>
      <c r="B10" s="4">
        <v>85000.0</v>
      </c>
      <c r="C10" s="3">
        <v>150000.0</v>
      </c>
      <c r="D10" s="6"/>
      <c r="E10" s="6"/>
      <c r="F10" s="6"/>
      <c r="G10" s="6"/>
      <c r="H10" s="3">
        <v>281677.0</v>
      </c>
      <c r="I10" s="7">
        <f>B10-C10-D10-E10-F10-G10+H10</f>
        <v>216677</v>
      </c>
    </row>
    <row r="11" ht="15.75" customHeight="1">
      <c r="A11" s="3" t="s">
        <v>20</v>
      </c>
      <c r="B11" s="4">
        <v>150000.0</v>
      </c>
      <c r="C11" s="3">
        <v>50000.0</v>
      </c>
      <c r="D11" s="6"/>
      <c r="E11" s="6"/>
      <c r="F11" s="6"/>
      <c r="G11" s="6"/>
      <c r="H11" s="6">
        <v>0.0</v>
      </c>
      <c r="I11" s="7">
        <f>B11-C11-D11-E11-F11-G11</f>
        <v>100000</v>
      </c>
    </row>
    <row r="12" ht="15.75" customHeight="1">
      <c r="A12" s="3" t="s">
        <v>21</v>
      </c>
      <c r="B12" s="4">
        <v>40800.0</v>
      </c>
      <c r="C12" s="5"/>
      <c r="D12" s="5"/>
      <c r="E12" s="5"/>
      <c r="F12" s="5"/>
      <c r="G12" s="6"/>
      <c r="H12" s="3">
        <v>122377.0</v>
      </c>
      <c r="I12" s="7">
        <f t="shared" ref="I12:I13" si="2">B12-C12-D12-E12-F12-G12+H12</f>
        <v>163177</v>
      </c>
    </row>
    <row r="13" ht="15.75" customHeight="1">
      <c r="A13" s="3" t="s">
        <v>22</v>
      </c>
      <c r="B13" s="4">
        <v>40800.0</v>
      </c>
      <c r="C13" s="6"/>
      <c r="D13" s="6"/>
      <c r="E13" s="6"/>
      <c r="F13" s="6"/>
      <c r="G13" s="6"/>
      <c r="H13" s="3">
        <v>113931.0</v>
      </c>
      <c r="I13" s="7">
        <f t="shared" si="2"/>
        <v>154731</v>
      </c>
    </row>
    <row r="14" ht="15.75" customHeight="1">
      <c r="A14" s="3" t="s">
        <v>23</v>
      </c>
      <c r="B14" s="4">
        <v>54000.0</v>
      </c>
      <c r="C14" s="3">
        <v>50000.0</v>
      </c>
      <c r="D14" s="6"/>
      <c r="E14" s="6"/>
      <c r="F14" s="6"/>
      <c r="G14" s="6"/>
      <c r="H14" s="3">
        <v>0.0</v>
      </c>
      <c r="I14" s="7">
        <f t="shared" ref="I14:I16" si="3">B14-C14-D14-E14-F14-G14</f>
        <v>4000</v>
      </c>
    </row>
    <row r="15" ht="15.75" customHeight="1">
      <c r="A15" s="3" t="s">
        <v>24</v>
      </c>
      <c r="B15" s="4">
        <v>200000.0</v>
      </c>
      <c r="C15" s="3"/>
      <c r="D15" s="6"/>
      <c r="E15" s="6"/>
      <c r="F15" s="6"/>
      <c r="G15" s="6"/>
      <c r="H15" s="3"/>
      <c r="I15" s="7">
        <f t="shared" si="3"/>
        <v>200000</v>
      </c>
      <c r="J15" s="2">
        <v>200000.0</v>
      </c>
    </row>
    <row r="16" ht="15.75" customHeight="1">
      <c r="A16" s="3" t="s">
        <v>25</v>
      </c>
      <c r="B16" s="4">
        <v>24000.0</v>
      </c>
      <c r="C16" s="6"/>
      <c r="D16" s="6"/>
      <c r="E16" s="6"/>
      <c r="F16" s="6"/>
      <c r="G16" s="6"/>
      <c r="H16" s="3"/>
      <c r="I16" s="7">
        <f t="shared" si="3"/>
        <v>24000</v>
      </c>
    </row>
    <row r="17" ht="15.75" customHeight="1">
      <c r="A17" s="3" t="s">
        <v>26</v>
      </c>
      <c r="B17" s="6"/>
      <c r="C17" s="6"/>
      <c r="D17" s="6"/>
      <c r="E17" s="6"/>
      <c r="F17" s="6"/>
      <c r="G17" s="6"/>
      <c r="H17" s="6"/>
      <c r="I17" s="5">
        <f>I2+I3+I4+I5+I6+I7+I8+I9+I10+I11+I12+I13+I14+I15+I16</f>
        <v>3632585</v>
      </c>
      <c r="J17" s="6">
        <f>J2+J3+J4+J5+J6+J7+J8+J9+J10+J11+J12+J13+J14</f>
        <v>850000</v>
      </c>
      <c r="K17" s="8">
        <f>I17-J17</f>
        <v>2782585</v>
      </c>
      <c r="L17" s="8">
        <f>K17-1000000+J15+J9</f>
        <v>2132585</v>
      </c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2" t="s">
        <v>27</v>
      </c>
      <c r="K18" s="2"/>
      <c r="L18" s="2">
        <v>350000.0</v>
      </c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</row>
    <row r="23" ht="15.75" customHeight="1">
      <c r="A23" s="9"/>
      <c r="B23" s="9" t="s">
        <v>28</v>
      </c>
      <c r="C23" s="9" t="s">
        <v>29</v>
      </c>
      <c r="D23" s="9"/>
      <c r="E23" s="9"/>
      <c r="F23" s="9"/>
      <c r="G23" s="9"/>
      <c r="H23" s="9"/>
      <c r="I23" s="9"/>
    </row>
    <row r="24" ht="15.75" customHeight="1">
      <c r="A24" s="3" t="s">
        <v>11</v>
      </c>
      <c r="B24" s="10">
        <v>25.0</v>
      </c>
      <c r="C24" s="10">
        <v>25.0</v>
      </c>
      <c r="D24" s="9"/>
      <c r="E24" s="9"/>
      <c r="F24" s="9"/>
      <c r="G24" s="9"/>
      <c r="H24" s="9"/>
      <c r="I24" s="9"/>
    </row>
    <row r="25" ht="15.75" customHeight="1">
      <c r="A25" s="3" t="s">
        <v>12</v>
      </c>
      <c r="B25" s="10">
        <v>25.0</v>
      </c>
      <c r="C25" s="10">
        <v>25.0</v>
      </c>
      <c r="D25" s="9"/>
      <c r="E25" s="9"/>
      <c r="F25" s="9"/>
      <c r="G25" s="9"/>
      <c r="H25" s="9"/>
      <c r="I25" s="10">
        <v>1615908.0</v>
      </c>
    </row>
    <row r="26" ht="15.75" customHeight="1">
      <c r="A26" s="3" t="s">
        <v>13</v>
      </c>
      <c r="B26" s="10">
        <v>25.0</v>
      </c>
      <c r="C26" s="10">
        <v>25.0</v>
      </c>
      <c r="D26" s="9"/>
      <c r="E26" s="9"/>
      <c r="F26" s="9"/>
      <c r="G26" s="9"/>
      <c r="H26" s="9"/>
      <c r="I26" s="10">
        <v>2016677.0</v>
      </c>
    </row>
    <row r="27" ht="15.75" customHeight="1">
      <c r="A27" s="3" t="s">
        <v>14</v>
      </c>
      <c r="B27" s="10">
        <v>25.0</v>
      </c>
      <c r="C27" s="10">
        <v>25.0</v>
      </c>
      <c r="D27" s="9"/>
      <c r="E27" s="9"/>
      <c r="F27" s="9"/>
      <c r="G27" s="9"/>
      <c r="H27" s="5"/>
      <c r="I27" s="9"/>
    </row>
    <row r="28" ht="15.75" customHeight="1">
      <c r="A28" s="3" t="s">
        <v>15</v>
      </c>
      <c r="B28" s="10">
        <v>25.0</v>
      </c>
      <c r="C28" s="10">
        <v>25.0</v>
      </c>
      <c r="D28" s="9"/>
      <c r="E28" s="9"/>
      <c r="F28" s="9"/>
      <c r="G28" s="9"/>
      <c r="H28" s="5"/>
      <c r="I28" s="9"/>
    </row>
    <row r="29" ht="15.75" customHeight="1">
      <c r="A29" s="3" t="s">
        <v>16</v>
      </c>
      <c r="B29" s="10">
        <v>25.0</v>
      </c>
      <c r="C29" s="10">
        <v>25.0</v>
      </c>
      <c r="D29" s="9"/>
      <c r="E29" s="9"/>
      <c r="F29" s="9"/>
      <c r="G29" s="9"/>
      <c r="H29" s="5"/>
      <c r="I29" s="9"/>
    </row>
    <row r="30" ht="15.75" customHeight="1">
      <c r="A30" s="3" t="s">
        <v>17</v>
      </c>
      <c r="B30" s="10">
        <v>25.0</v>
      </c>
      <c r="C30" s="10">
        <v>15.0</v>
      </c>
      <c r="D30" s="10" t="s">
        <v>30</v>
      </c>
      <c r="E30" s="9"/>
      <c r="F30" s="9"/>
      <c r="G30" s="9"/>
      <c r="H30" s="5"/>
      <c r="I30" s="9"/>
    </row>
    <row r="31" ht="15.75" customHeight="1">
      <c r="A31" s="3" t="s">
        <v>18</v>
      </c>
      <c r="B31" s="10">
        <v>25.0</v>
      </c>
      <c r="C31" s="10">
        <v>25.0</v>
      </c>
      <c r="D31" s="9"/>
      <c r="E31" s="9"/>
      <c r="F31" s="9"/>
      <c r="G31" s="9"/>
      <c r="H31" s="5"/>
      <c r="I31" s="9"/>
    </row>
    <row r="32" ht="15.75" customHeight="1">
      <c r="A32" s="3" t="s">
        <v>19</v>
      </c>
      <c r="B32" s="10">
        <v>25.0</v>
      </c>
      <c r="C32" s="10">
        <v>25.0</v>
      </c>
      <c r="D32" s="9"/>
      <c r="E32" s="10" t="s">
        <v>31</v>
      </c>
      <c r="F32" s="9"/>
      <c r="G32" s="9"/>
      <c r="H32" s="5"/>
      <c r="I32" s="9"/>
    </row>
    <row r="33" ht="15.75" customHeight="1">
      <c r="A33" s="3" t="s">
        <v>20</v>
      </c>
      <c r="B33" s="10">
        <v>25.0</v>
      </c>
      <c r="C33" s="10">
        <v>25.0</v>
      </c>
      <c r="D33" s="9"/>
      <c r="E33" s="9"/>
      <c r="F33" s="9"/>
      <c r="G33" s="9"/>
      <c r="H33" s="5"/>
      <c r="I33" s="9"/>
    </row>
    <row r="34" ht="15.75" customHeight="1">
      <c r="A34" s="3" t="s">
        <v>21</v>
      </c>
      <c r="B34" s="10">
        <v>25.0</v>
      </c>
      <c r="C34" s="10">
        <v>12.0</v>
      </c>
      <c r="D34" s="10" t="s">
        <v>32</v>
      </c>
      <c r="E34" s="9"/>
      <c r="F34" s="9"/>
      <c r="G34" s="9"/>
      <c r="H34" s="5"/>
      <c r="I34" s="9"/>
    </row>
    <row r="35" ht="15.75" customHeight="1">
      <c r="A35" s="3" t="s">
        <v>22</v>
      </c>
      <c r="B35" s="10">
        <v>25.0</v>
      </c>
      <c r="C35" s="10">
        <v>11.0</v>
      </c>
      <c r="D35" s="10" t="s">
        <v>32</v>
      </c>
      <c r="E35" s="9"/>
      <c r="F35" s="9"/>
      <c r="G35" s="9"/>
      <c r="H35" s="5"/>
      <c r="I35" s="9"/>
    </row>
    <row r="36" ht="15.75" customHeight="1">
      <c r="A36" s="3" t="s">
        <v>23</v>
      </c>
      <c r="B36" s="10">
        <v>25.0</v>
      </c>
      <c r="C36" s="10">
        <v>9.0</v>
      </c>
      <c r="D36" s="10" t="s">
        <v>33</v>
      </c>
      <c r="E36" s="9"/>
      <c r="F36" s="9"/>
      <c r="G36" s="9"/>
      <c r="H36" s="5"/>
      <c r="I36" s="9"/>
    </row>
    <row r="37" ht="15.75" customHeight="1">
      <c r="A37" s="3" t="s">
        <v>34</v>
      </c>
      <c r="B37" s="10">
        <v>25.0</v>
      </c>
      <c r="C37" s="10"/>
      <c r="D37" s="9"/>
      <c r="E37" s="9"/>
      <c r="F37" s="9"/>
      <c r="G37" s="9"/>
      <c r="H37" s="5"/>
      <c r="I37" s="9"/>
    </row>
    <row r="38" ht="15.75" customHeight="1">
      <c r="A38" s="9"/>
      <c r="B38" s="9"/>
      <c r="C38" s="9"/>
      <c r="D38" s="9"/>
      <c r="E38" s="9"/>
      <c r="F38" s="9"/>
      <c r="G38" s="9"/>
      <c r="H38" s="5"/>
      <c r="I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6" width="18.11"/>
    <col customWidth="1" min="7" max="7" width="20.78"/>
    <col customWidth="1" min="8" max="8" width="21.78"/>
    <col customWidth="1" min="9" max="9" width="24.78"/>
    <col customWidth="1" min="10" max="11" width="10.56"/>
  </cols>
  <sheetData>
    <row r="1" ht="15.75" customHeight="1">
      <c r="A1" s="1" t="s">
        <v>0</v>
      </c>
      <c r="B1" s="11" t="s">
        <v>35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 t="s">
        <v>11</v>
      </c>
      <c r="B2" s="4">
        <v>1027138.0</v>
      </c>
      <c r="C2" s="4">
        <v>700000.0</v>
      </c>
      <c r="D2" s="5"/>
      <c r="E2" s="6"/>
      <c r="F2" s="6"/>
      <c r="G2" s="6"/>
      <c r="H2" s="6">
        <v>0.0</v>
      </c>
      <c r="I2" s="7">
        <f t="shared" ref="I2:I17" si="1">B2-C2-D2-E2-F2-G2+H2</f>
        <v>327138</v>
      </c>
    </row>
    <row r="3" ht="15.75" customHeight="1">
      <c r="A3" s="3" t="s">
        <v>12</v>
      </c>
      <c r="B3" s="4">
        <v>1027138.0</v>
      </c>
      <c r="C3" s="4">
        <v>700000.0</v>
      </c>
      <c r="D3" s="6"/>
      <c r="E3" s="6"/>
      <c r="F3" s="6"/>
      <c r="G3" s="6"/>
      <c r="H3" s="6">
        <v>0.0</v>
      </c>
      <c r="I3" s="7">
        <f t="shared" si="1"/>
        <v>327138</v>
      </c>
    </row>
    <row r="4" ht="15.75" customHeight="1">
      <c r="A4" s="3" t="s">
        <v>13</v>
      </c>
      <c r="B4" s="4">
        <v>700000.0</v>
      </c>
      <c r="C4" s="4">
        <v>400000.0</v>
      </c>
      <c r="D4" s="6"/>
      <c r="E4" s="6"/>
      <c r="F4" s="6"/>
      <c r="G4" s="6"/>
      <c r="H4" s="6">
        <v>0.0</v>
      </c>
      <c r="I4" s="7">
        <f t="shared" si="1"/>
        <v>300000</v>
      </c>
    </row>
    <row r="5" ht="15.75" customHeight="1">
      <c r="A5" s="3" t="s">
        <v>14</v>
      </c>
      <c r="B5" s="4">
        <v>700000.0</v>
      </c>
      <c r="C5" s="4"/>
      <c r="D5" s="6"/>
      <c r="E5" s="6"/>
      <c r="F5" s="6"/>
      <c r="G5" s="6"/>
      <c r="H5" s="6">
        <v>0.0</v>
      </c>
      <c r="I5" s="7">
        <f t="shared" si="1"/>
        <v>700000</v>
      </c>
    </row>
    <row r="6" ht="15.75" customHeight="1">
      <c r="A6" s="3" t="s">
        <v>15</v>
      </c>
      <c r="B6" s="4">
        <v>120000.0</v>
      </c>
      <c r="C6" s="4"/>
      <c r="D6" s="6"/>
      <c r="E6" s="6"/>
      <c r="F6" s="6"/>
      <c r="G6" s="6"/>
      <c r="H6" s="6">
        <v>0.0</v>
      </c>
      <c r="I6" s="7">
        <f t="shared" si="1"/>
        <v>120000</v>
      </c>
    </row>
    <row r="7" ht="15.75" customHeight="1">
      <c r="A7" s="3" t="s">
        <v>16</v>
      </c>
      <c r="B7" s="4">
        <v>80000.0</v>
      </c>
      <c r="C7" s="4"/>
      <c r="D7" s="6"/>
      <c r="E7" s="6"/>
      <c r="F7" s="6"/>
      <c r="G7" s="6"/>
      <c r="H7" s="6">
        <v>0.0</v>
      </c>
      <c r="I7" s="7">
        <f t="shared" si="1"/>
        <v>80000</v>
      </c>
    </row>
    <row r="8" ht="15.75" customHeight="1">
      <c r="A8" s="3" t="s">
        <v>36</v>
      </c>
      <c r="B8" s="4">
        <v>233000.0</v>
      </c>
      <c r="C8" s="4"/>
      <c r="D8" s="6"/>
      <c r="E8" s="6"/>
      <c r="F8" s="6"/>
      <c r="G8" s="6"/>
      <c r="H8" s="6">
        <v>0.0</v>
      </c>
      <c r="I8" s="7">
        <f t="shared" si="1"/>
        <v>233000</v>
      </c>
    </row>
    <row r="9" ht="15.75" customHeight="1">
      <c r="A9" s="3" t="s">
        <v>18</v>
      </c>
      <c r="B9" s="4">
        <v>400000.0</v>
      </c>
      <c r="C9" s="4"/>
      <c r="D9" s="6"/>
      <c r="E9" s="6"/>
      <c r="F9" s="6"/>
      <c r="G9" s="6"/>
      <c r="H9" s="6">
        <v>0.0</v>
      </c>
      <c r="I9" s="7">
        <f t="shared" si="1"/>
        <v>400000</v>
      </c>
    </row>
    <row r="10" ht="15.75" customHeight="1">
      <c r="A10" s="3" t="s">
        <v>37</v>
      </c>
      <c r="B10" s="4">
        <v>180000.0</v>
      </c>
      <c r="C10" s="4">
        <v>100000.0</v>
      </c>
      <c r="D10" s="6"/>
      <c r="E10" s="6"/>
      <c r="F10" s="6"/>
      <c r="G10" s="6"/>
      <c r="H10" s="3">
        <v>0.0</v>
      </c>
      <c r="I10" s="7">
        <f t="shared" si="1"/>
        <v>80000</v>
      </c>
    </row>
    <row r="11" ht="15.75" customHeight="1">
      <c r="A11" s="3" t="s">
        <v>19</v>
      </c>
      <c r="B11" s="4">
        <v>42240.0</v>
      </c>
      <c r="C11" s="4"/>
      <c r="D11" s="6"/>
      <c r="E11" s="6"/>
      <c r="F11" s="6"/>
      <c r="G11" s="6"/>
      <c r="H11" s="12">
        <v>222339.0</v>
      </c>
      <c r="I11" s="7">
        <f t="shared" si="1"/>
        <v>264579</v>
      </c>
    </row>
    <row r="12" ht="15.75" customHeight="1">
      <c r="A12" s="3" t="s">
        <v>21</v>
      </c>
      <c r="B12" s="4">
        <v>63466.0</v>
      </c>
      <c r="C12" s="4"/>
      <c r="D12" s="5"/>
      <c r="E12" s="5"/>
      <c r="F12" s="5"/>
      <c r="G12" s="6"/>
      <c r="H12" s="13">
        <v>283278.0</v>
      </c>
      <c r="I12" s="7">
        <f t="shared" si="1"/>
        <v>346744</v>
      </c>
    </row>
    <row r="13" ht="15.75" customHeight="1">
      <c r="A13" s="3" t="s">
        <v>22</v>
      </c>
      <c r="B13" s="4">
        <v>81600.0</v>
      </c>
      <c r="C13" s="4">
        <v>81600.0</v>
      </c>
      <c r="D13" s="6"/>
      <c r="E13" s="6"/>
      <c r="F13" s="6"/>
      <c r="G13" s="6"/>
      <c r="H13" s="14">
        <v>203383.0</v>
      </c>
      <c r="I13" s="7">
        <f t="shared" si="1"/>
        <v>203383</v>
      </c>
    </row>
    <row r="14" ht="15.75" customHeight="1">
      <c r="A14" s="3" t="s">
        <v>38</v>
      </c>
      <c r="B14" s="4">
        <v>132000.0</v>
      </c>
      <c r="C14" s="4">
        <v>85000.0</v>
      </c>
      <c r="D14" s="6"/>
      <c r="E14" s="6"/>
      <c r="F14" s="6"/>
      <c r="G14" s="6"/>
      <c r="H14" s="3">
        <v>0.0</v>
      </c>
      <c r="I14" s="7">
        <f t="shared" si="1"/>
        <v>47000</v>
      </c>
    </row>
    <row r="15" ht="15.75" customHeight="1">
      <c r="A15" s="3" t="s">
        <v>39</v>
      </c>
      <c r="B15" s="4">
        <v>200000.0</v>
      </c>
      <c r="C15" s="4"/>
      <c r="D15" s="6"/>
      <c r="E15" s="6"/>
      <c r="F15" s="6"/>
      <c r="G15" s="6"/>
      <c r="H15" s="6">
        <v>0.0</v>
      </c>
      <c r="I15" s="5">
        <f t="shared" si="1"/>
        <v>200000</v>
      </c>
    </row>
    <row r="16" ht="15.75" customHeight="1">
      <c r="A16" s="3" t="s">
        <v>40</v>
      </c>
      <c r="B16" s="4">
        <v>150000.0</v>
      </c>
      <c r="C16" s="4">
        <v>150000.0</v>
      </c>
      <c r="D16" s="6"/>
      <c r="E16" s="6"/>
      <c r="F16" s="6"/>
      <c r="G16" s="6"/>
      <c r="H16" s="6">
        <v>0.0</v>
      </c>
      <c r="I16" s="5">
        <f t="shared" si="1"/>
        <v>0</v>
      </c>
    </row>
    <row r="17" ht="15.75" customHeight="1">
      <c r="A17" s="3" t="s">
        <v>41</v>
      </c>
      <c r="B17" s="4">
        <v>200000.0</v>
      </c>
      <c r="C17" s="4"/>
      <c r="D17" s="6"/>
      <c r="E17" s="6"/>
      <c r="F17" s="6"/>
      <c r="G17" s="6"/>
      <c r="H17" s="6">
        <v>0.0</v>
      </c>
      <c r="I17" s="7">
        <f t="shared" si="1"/>
        <v>200000</v>
      </c>
    </row>
    <row r="18" ht="15.75" customHeight="1">
      <c r="A18" s="3" t="s">
        <v>26</v>
      </c>
      <c r="B18" s="6"/>
      <c r="C18" s="6"/>
      <c r="D18" s="6"/>
      <c r="E18" s="6"/>
      <c r="F18" s="6"/>
      <c r="G18" s="6"/>
      <c r="H18" s="6"/>
      <c r="I18" s="5">
        <f>I2+I3+I4+I5+I6+I7+I8+I9+I11+I10+I12+I13+I14+I15+I16+I17</f>
        <v>3828982</v>
      </c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2"/>
      <c r="K20" s="15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2"/>
      <c r="K21" s="15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2"/>
      <c r="K22" s="15"/>
    </row>
    <row r="23" ht="15.75" customHeight="1">
      <c r="A23" s="9"/>
      <c r="B23" s="9"/>
      <c r="C23" s="9"/>
      <c r="D23" s="9"/>
      <c r="E23" s="9"/>
      <c r="F23" s="9"/>
      <c r="G23" s="9"/>
      <c r="H23" s="16">
        <f>1700000-I23-I24-I4</f>
        <v>258294</v>
      </c>
      <c r="I23" s="17">
        <f>I13+I12+I11</f>
        <v>814706</v>
      </c>
      <c r="J23" s="2" t="s">
        <v>42</v>
      </c>
    </row>
    <row r="24" ht="15.75" customHeight="1">
      <c r="A24" s="9"/>
      <c r="B24" s="9" t="s">
        <v>28</v>
      </c>
      <c r="C24" s="9" t="s">
        <v>29</v>
      </c>
      <c r="D24" s="9"/>
      <c r="E24" s="9"/>
      <c r="F24" s="9"/>
      <c r="G24" s="9"/>
      <c r="H24" s="9"/>
      <c r="I24" s="17">
        <f>I14+I10+I7+I6</f>
        <v>327000</v>
      </c>
    </row>
    <row r="25" ht="15.75" customHeight="1">
      <c r="A25" s="3" t="s">
        <v>11</v>
      </c>
      <c r="B25" s="10">
        <v>25.0</v>
      </c>
      <c r="C25" s="10">
        <v>25.0</v>
      </c>
      <c r="D25" s="9"/>
      <c r="E25" s="9"/>
      <c r="F25" s="9"/>
      <c r="G25" s="9"/>
      <c r="H25" s="9"/>
      <c r="I25" s="9"/>
    </row>
    <row r="26" ht="15.75" customHeight="1">
      <c r="A26" s="3" t="s">
        <v>12</v>
      </c>
      <c r="B26" s="10">
        <v>25.0</v>
      </c>
      <c r="C26" s="10">
        <v>25.0</v>
      </c>
      <c r="D26" s="9"/>
      <c r="E26" s="9"/>
      <c r="F26" s="9"/>
      <c r="G26" s="9"/>
      <c r="H26" s="9"/>
      <c r="I26" s="9"/>
    </row>
    <row r="27" ht="15.75" customHeight="1">
      <c r="A27" s="3" t="s">
        <v>13</v>
      </c>
      <c r="B27" s="10">
        <v>25.0</v>
      </c>
      <c r="C27" s="10">
        <v>25.0</v>
      </c>
      <c r="D27" s="9"/>
      <c r="E27" s="9"/>
      <c r="F27" s="9"/>
      <c r="G27" s="9"/>
      <c r="H27" s="10" t="s">
        <v>43</v>
      </c>
      <c r="I27" s="17">
        <f>I5+I9+I17+I15+I8</f>
        <v>1733000</v>
      </c>
    </row>
    <row r="28" ht="15.75" customHeight="1">
      <c r="A28" s="3" t="s">
        <v>14</v>
      </c>
      <c r="B28" s="10">
        <v>25.0</v>
      </c>
      <c r="C28" s="10">
        <v>25.0</v>
      </c>
      <c r="D28" s="9"/>
      <c r="E28" s="9"/>
      <c r="F28" s="9"/>
      <c r="G28" s="9"/>
      <c r="H28" s="9"/>
      <c r="I28" s="9"/>
    </row>
    <row r="29" ht="15.75" customHeight="1">
      <c r="A29" s="3" t="s">
        <v>15</v>
      </c>
      <c r="B29" s="10">
        <v>25.0</v>
      </c>
      <c r="C29" s="10">
        <v>25.0</v>
      </c>
      <c r="D29" s="9"/>
      <c r="E29" s="9"/>
      <c r="F29" s="9"/>
      <c r="G29" s="9"/>
      <c r="H29" s="10"/>
      <c r="I29" s="9"/>
    </row>
    <row r="30" ht="15.75" customHeight="1">
      <c r="A30" s="3" t="s">
        <v>16</v>
      </c>
      <c r="B30" s="10">
        <v>25.0</v>
      </c>
      <c r="C30" s="10">
        <v>25.0</v>
      </c>
      <c r="D30" s="9"/>
      <c r="E30" s="9"/>
      <c r="F30" s="9"/>
      <c r="G30" s="9"/>
      <c r="H30" s="9"/>
      <c r="I30" s="9"/>
    </row>
    <row r="31" ht="15.75" customHeight="1">
      <c r="A31" s="3" t="s">
        <v>36</v>
      </c>
      <c r="B31" s="10">
        <v>25.0</v>
      </c>
      <c r="C31" s="10">
        <v>21.0</v>
      </c>
      <c r="D31" s="10" t="s">
        <v>44</v>
      </c>
      <c r="E31" s="9"/>
      <c r="F31" s="9"/>
      <c r="G31" s="9"/>
      <c r="H31" s="9"/>
      <c r="I31" s="9"/>
    </row>
    <row r="32" ht="15.75" customHeight="1">
      <c r="A32" s="3" t="s">
        <v>18</v>
      </c>
      <c r="B32" s="10">
        <v>25.0</v>
      </c>
      <c r="C32" s="10">
        <v>25.0</v>
      </c>
      <c r="D32" s="9"/>
      <c r="E32" s="9"/>
      <c r="F32" s="9"/>
      <c r="G32" s="9"/>
      <c r="H32" s="9"/>
      <c r="I32" s="9"/>
    </row>
    <row r="33" ht="15.75" customHeight="1">
      <c r="A33" s="3" t="s">
        <v>19</v>
      </c>
      <c r="B33" s="10">
        <v>25.0</v>
      </c>
      <c r="C33" s="10">
        <v>25.0</v>
      </c>
      <c r="D33" s="9"/>
      <c r="E33" s="10"/>
      <c r="F33" s="9"/>
      <c r="G33" s="9"/>
      <c r="H33" s="9"/>
      <c r="I33" s="9"/>
    </row>
    <row r="34" ht="15.75" customHeight="1">
      <c r="A34" s="3" t="s">
        <v>37</v>
      </c>
      <c r="B34" s="10">
        <v>25.0</v>
      </c>
      <c r="C34" s="10">
        <v>25.0</v>
      </c>
      <c r="D34" s="9"/>
      <c r="E34" s="9"/>
      <c r="F34" s="9"/>
      <c r="G34" s="9"/>
      <c r="H34" s="9"/>
      <c r="I34" s="9"/>
    </row>
    <row r="35" ht="15.75" customHeight="1">
      <c r="A35" s="3" t="s">
        <v>21</v>
      </c>
      <c r="B35" s="10">
        <v>25.0</v>
      </c>
      <c r="C35" s="10">
        <v>12.0</v>
      </c>
      <c r="D35" s="10"/>
      <c r="E35" s="9"/>
      <c r="F35" s="9"/>
      <c r="G35" s="9"/>
      <c r="H35" s="9"/>
      <c r="I35" s="9"/>
    </row>
    <row r="36" ht="15.75" customHeight="1">
      <c r="A36" s="3" t="s">
        <v>22</v>
      </c>
      <c r="B36" s="10">
        <v>25.0</v>
      </c>
      <c r="C36" s="10">
        <v>11.0</v>
      </c>
      <c r="D36" s="10"/>
      <c r="E36" s="9"/>
      <c r="F36" s="9"/>
      <c r="G36" s="9"/>
      <c r="H36" s="9"/>
      <c r="I36" s="9"/>
    </row>
    <row r="37" ht="15.75" customHeight="1">
      <c r="A37" s="3" t="s">
        <v>45</v>
      </c>
      <c r="B37" s="10">
        <v>25.0</v>
      </c>
      <c r="C37" s="10">
        <v>21.0</v>
      </c>
      <c r="D37" s="10" t="s">
        <v>44</v>
      </c>
      <c r="E37" s="9"/>
      <c r="F37" s="9"/>
      <c r="G37" s="9"/>
      <c r="H37" s="9"/>
      <c r="I37" s="9"/>
    </row>
    <row r="38" ht="15.75" customHeight="1">
      <c r="A38" s="3" t="s">
        <v>39</v>
      </c>
      <c r="B38" s="10">
        <v>25.0</v>
      </c>
      <c r="C38" s="10">
        <v>21.0</v>
      </c>
      <c r="D38" s="10" t="s">
        <v>44</v>
      </c>
      <c r="E38" s="9"/>
      <c r="F38" s="9"/>
      <c r="G38" s="9"/>
      <c r="H38" s="9"/>
      <c r="I38" s="9"/>
    </row>
    <row r="39" ht="15.75" customHeight="1">
      <c r="A39" s="3" t="s">
        <v>40</v>
      </c>
      <c r="B39" s="10">
        <v>25.0</v>
      </c>
      <c r="C39" s="10">
        <v>25.0</v>
      </c>
      <c r="D39" s="9"/>
      <c r="E39" s="9"/>
      <c r="F39" s="9"/>
      <c r="G39" s="9"/>
      <c r="H39" s="9"/>
      <c r="I39" s="9"/>
    </row>
    <row r="40" ht="15.75" customHeight="1">
      <c r="A40" s="3" t="s">
        <v>41</v>
      </c>
      <c r="B40" s="10">
        <v>25.0</v>
      </c>
      <c r="C40" s="10">
        <v>25.0</v>
      </c>
      <c r="D40" s="9"/>
      <c r="E40" s="9"/>
      <c r="F40" s="9"/>
      <c r="G40" s="9"/>
      <c r="H40" s="9"/>
      <c r="I40" s="9"/>
    </row>
    <row r="41" ht="15.75" customHeight="1">
      <c r="A41" s="3" t="s">
        <v>46</v>
      </c>
      <c r="B41" s="10">
        <v>25.0</v>
      </c>
      <c r="C41" s="10">
        <v>25.0</v>
      </c>
    </row>
    <row r="42" ht="15.75" customHeight="1">
      <c r="A42" s="3" t="s">
        <v>47</v>
      </c>
      <c r="B42" s="10">
        <v>25.0</v>
      </c>
      <c r="C42" s="10">
        <v>25.0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6" width="18.11"/>
    <col customWidth="1" min="7" max="7" width="24.11"/>
    <col customWidth="1" min="8" max="8" width="21.78"/>
    <col customWidth="1" min="9" max="9" width="24.78"/>
  </cols>
  <sheetData>
    <row r="1" ht="15.75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48</v>
      </c>
      <c r="H1" s="19" t="s">
        <v>7</v>
      </c>
      <c r="I1" s="19" t="s">
        <v>8</v>
      </c>
    </row>
    <row r="2" ht="15.75" customHeight="1">
      <c r="A2" s="3" t="s">
        <v>11</v>
      </c>
      <c r="B2" s="4">
        <v>1000000.0</v>
      </c>
      <c r="C2" s="4">
        <v>1000000.0</v>
      </c>
      <c r="D2" s="5"/>
      <c r="E2" s="6"/>
      <c r="F2" s="6"/>
      <c r="G2" s="6"/>
      <c r="H2" s="6">
        <v>0.0</v>
      </c>
      <c r="I2" s="7">
        <f t="shared" ref="I2:I12" si="1">B2-C2-D2-E2-F2-G2+H2</f>
        <v>0</v>
      </c>
    </row>
    <row r="3" ht="15.75" customHeight="1">
      <c r="A3" s="3" t="s">
        <v>12</v>
      </c>
      <c r="B3" s="4">
        <v>1000000.0</v>
      </c>
      <c r="C3" s="4">
        <v>1000000.0</v>
      </c>
      <c r="D3" s="6"/>
      <c r="E3" s="6"/>
      <c r="F3" s="6"/>
      <c r="G3" s="6"/>
      <c r="H3" s="6">
        <v>0.0</v>
      </c>
      <c r="I3" s="7">
        <f t="shared" si="1"/>
        <v>0</v>
      </c>
    </row>
    <row r="4" ht="15.75" customHeight="1">
      <c r="A4" s="3" t="s">
        <v>13</v>
      </c>
      <c r="B4" s="4">
        <v>700000.0</v>
      </c>
      <c r="C4" s="4">
        <v>285000.0</v>
      </c>
      <c r="D4" s="6"/>
      <c r="E4" s="6"/>
      <c r="F4" s="6"/>
      <c r="G4" s="6"/>
      <c r="H4" s="6">
        <v>0.0</v>
      </c>
      <c r="I4" s="7">
        <f t="shared" si="1"/>
        <v>415000</v>
      </c>
    </row>
    <row r="5" ht="15.75" customHeight="1">
      <c r="A5" s="3" t="s">
        <v>14</v>
      </c>
      <c r="B5" s="4">
        <v>700000.0</v>
      </c>
      <c r="C5" s="4"/>
      <c r="D5" s="6"/>
      <c r="E5" s="6"/>
      <c r="F5" s="6"/>
      <c r="G5" s="6"/>
      <c r="H5" s="6">
        <v>0.0</v>
      </c>
      <c r="I5" s="7">
        <f t="shared" si="1"/>
        <v>700000</v>
      </c>
    </row>
    <row r="6" ht="15.75" customHeight="1">
      <c r="A6" s="3" t="s">
        <v>49</v>
      </c>
      <c r="B6" s="4">
        <v>500000.0</v>
      </c>
      <c r="C6" s="4">
        <v>200000.0</v>
      </c>
      <c r="D6" s="6"/>
      <c r="E6" s="6"/>
      <c r="F6" s="6"/>
      <c r="G6" s="3">
        <v>118181.0</v>
      </c>
      <c r="H6" s="6">
        <v>0.0</v>
      </c>
      <c r="I6" s="7">
        <f t="shared" si="1"/>
        <v>181819</v>
      </c>
    </row>
    <row r="7" ht="15.75" customHeight="1">
      <c r="A7" s="3" t="s">
        <v>15</v>
      </c>
      <c r="B7" s="4">
        <v>120000.0</v>
      </c>
      <c r="C7" s="4"/>
      <c r="D7" s="6"/>
      <c r="E7" s="6"/>
      <c r="F7" s="6"/>
      <c r="G7" s="6"/>
      <c r="H7" s="6">
        <v>0.0</v>
      </c>
      <c r="I7" s="7">
        <f t="shared" si="1"/>
        <v>120000</v>
      </c>
    </row>
    <row r="8" ht="15.75" customHeight="1">
      <c r="A8" s="3" t="s">
        <v>16</v>
      </c>
      <c r="B8" s="4">
        <v>80000.0</v>
      </c>
      <c r="C8" s="4"/>
      <c r="D8" s="6"/>
      <c r="E8" s="6"/>
      <c r="F8" s="6"/>
      <c r="G8" s="6"/>
      <c r="H8" s="6">
        <v>0.0</v>
      </c>
      <c r="I8" s="7">
        <f t="shared" si="1"/>
        <v>80000</v>
      </c>
    </row>
    <row r="9" ht="15.75" customHeight="1">
      <c r="A9" s="3" t="s">
        <v>36</v>
      </c>
      <c r="B9" s="4">
        <v>300000.0</v>
      </c>
      <c r="C9" s="4"/>
      <c r="D9" s="6"/>
      <c r="E9" s="6"/>
      <c r="F9" s="6"/>
      <c r="G9" s="6"/>
      <c r="H9" s="6">
        <v>0.0</v>
      </c>
      <c r="I9" s="7">
        <f t="shared" si="1"/>
        <v>300000</v>
      </c>
    </row>
    <row r="10" ht="15.75" customHeight="1">
      <c r="A10" s="3" t="s">
        <v>18</v>
      </c>
      <c r="B10" s="4">
        <v>400000.0</v>
      </c>
      <c r="C10" s="4"/>
      <c r="D10" s="6"/>
      <c r="E10" s="6"/>
      <c r="F10" s="6"/>
      <c r="G10" s="6"/>
      <c r="H10" s="6">
        <v>0.0</v>
      </c>
      <c r="I10" s="7">
        <f t="shared" si="1"/>
        <v>400000</v>
      </c>
    </row>
    <row r="11" ht="15.75" customHeight="1">
      <c r="A11" s="3" t="s">
        <v>37</v>
      </c>
      <c r="B11" s="4">
        <v>200000.0</v>
      </c>
      <c r="C11" s="4"/>
      <c r="D11" s="6"/>
      <c r="E11" s="6"/>
      <c r="F11" s="6"/>
      <c r="G11" s="6"/>
      <c r="H11" s="6">
        <v>0.0</v>
      </c>
      <c r="I11" s="7">
        <f t="shared" si="1"/>
        <v>200000</v>
      </c>
    </row>
    <row r="12" ht="15.75" customHeight="1">
      <c r="A12" s="3" t="s">
        <v>19</v>
      </c>
      <c r="B12" s="4">
        <v>81600.0</v>
      </c>
      <c r="C12" s="4"/>
      <c r="D12" s="6"/>
      <c r="E12" s="6"/>
      <c r="F12" s="6"/>
      <c r="G12" s="6"/>
      <c r="H12" s="6">
        <v>0.0</v>
      </c>
      <c r="I12" s="7">
        <f t="shared" si="1"/>
        <v>81600</v>
      </c>
    </row>
    <row r="13" ht="15.75" customHeight="1">
      <c r="A13" s="3" t="s">
        <v>21</v>
      </c>
      <c r="B13" s="4">
        <v>81600.0</v>
      </c>
      <c r="C13" s="4">
        <v>81600.0</v>
      </c>
      <c r="D13" s="5"/>
      <c r="E13" s="5"/>
      <c r="F13" s="5"/>
      <c r="G13" s="6"/>
      <c r="H13" s="3">
        <v>0.0</v>
      </c>
      <c r="I13" s="21">
        <v>0.0</v>
      </c>
    </row>
    <row r="14" ht="15.75" customHeight="1">
      <c r="A14" s="3" t="s">
        <v>22</v>
      </c>
      <c r="B14" s="4">
        <v>81600.0</v>
      </c>
      <c r="C14" s="4">
        <v>81600.0</v>
      </c>
      <c r="D14" s="6"/>
      <c r="E14" s="6"/>
      <c r="F14" s="6"/>
      <c r="G14" s="6"/>
      <c r="H14" s="3">
        <v>0.0</v>
      </c>
      <c r="I14" s="7">
        <f t="shared" ref="I14:I25" si="2">B14-C14-D14-E14-F14-G14+H14</f>
        <v>0</v>
      </c>
    </row>
    <row r="15" ht="15.75" customHeight="1">
      <c r="A15" s="3" t="s">
        <v>38</v>
      </c>
      <c r="B15" s="4">
        <v>120000.0</v>
      </c>
      <c r="C15" s="4">
        <v>40000.0</v>
      </c>
      <c r="D15" s="6"/>
      <c r="E15" s="6"/>
      <c r="F15" s="6"/>
      <c r="G15" s="6"/>
      <c r="H15" s="3">
        <v>0.0</v>
      </c>
      <c r="I15" s="7">
        <f t="shared" si="2"/>
        <v>80000</v>
      </c>
    </row>
    <row r="16" ht="15.75" customHeight="1">
      <c r="A16" s="3" t="s">
        <v>50</v>
      </c>
      <c r="B16" s="4">
        <v>120000.0</v>
      </c>
      <c r="C16" s="4">
        <v>25000.0</v>
      </c>
      <c r="D16" s="6"/>
      <c r="E16" s="6"/>
      <c r="F16" s="6"/>
      <c r="G16" s="6"/>
      <c r="H16" s="3">
        <v>0.0</v>
      </c>
      <c r="I16" s="7">
        <f t="shared" si="2"/>
        <v>95000</v>
      </c>
    </row>
    <row r="17" ht="15.75" customHeight="1">
      <c r="A17" s="3" t="s">
        <v>39</v>
      </c>
      <c r="B17" s="4">
        <v>250000.0</v>
      </c>
      <c r="C17" s="4"/>
      <c r="D17" s="6"/>
      <c r="E17" s="6"/>
      <c r="F17" s="6"/>
      <c r="G17" s="6"/>
      <c r="H17" s="6">
        <v>0.0</v>
      </c>
      <c r="I17" s="7">
        <f t="shared" si="2"/>
        <v>250000</v>
      </c>
    </row>
    <row r="18">
      <c r="A18" s="3" t="s">
        <v>40</v>
      </c>
      <c r="B18" s="4">
        <v>150000.0</v>
      </c>
      <c r="C18" s="4"/>
      <c r="D18" s="6"/>
      <c r="E18" s="6"/>
      <c r="F18" s="3">
        <v>150000.0</v>
      </c>
      <c r="G18" s="6"/>
      <c r="H18" s="6">
        <v>0.0</v>
      </c>
      <c r="I18" s="7">
        <f t="shared" si="2"/>
        <v>0</v>
      </c>
    </row>
    <row r="19" ht="15.75" customHeight="1">
      <c r="A19" s="3" t="s">
        <v>41</v>
      </c>
      <c r="B19" s="4">
        <v>200000.0</v>
      </c>
      <c r="C19" s="4"/>
      <c r="D19" s="6"/>
      <c r="E19" s="6"/>
      <c r="F19" s="6"/>
      <c r="G19" s="6"/>
      <c r="H19" s="6">
        <v>0.0</v>
      </c>
      <c r="I19" s="7">
        <f t="shared" si="2"/>
        <v>200000</v>
      </c>
    </row>
    <row r="20" ht="15.75" customHeight="1">
      <c r="A20" s="3" t="s">
        <v>46</v>
      </c>
      <c r="B20" s="4">
        <v>170000.0</v>
      </c>
      <c r="C20" s="4">
        <v>60000.0</v>
      </c>
      <c r="D20" s="6"/>
      <c r="E20" s="6"/>
      <c r="F20" s="6"/>
      <c r="G20" s="6"/>
      <c r="H20" s="3">
        <v>30909.0</v>
      </c>
      <c r="I20" s="7">
        <f t="shared" si="2"/>
        <v>140909</v>
      </c>
    </row>
    <row r="21" ht="15.75" customHeight="1">
      <c r="A21" s="3" t="s">
        <v>47</v>
      </c>
      <c r="B21" s="4">
        <v>200000.0</v>
      </c>
      <c r="C21" s="4"/>
      <c r="D21" s="6"/>
      <c r="E21" s="6"/>
      <c r="F21" s="6"/>
      <c r="G21" s="6"/>
      <c r="H21" s="3">
        <v>32000.0</v>
      </c>
      <c r="I21" s="7">
        <f t="shared" si="2"/>
        <v>232000</v>
      </c>
    </row>
    <row r="22" ht="15.75" customHeight="1">
      <c r="A22" s="3" t="s">
        <v>51</v>
      </c>
      <c r="B22" s="4">
        <v>300000.0</v>
      </c>
      <c r="C22" s="4"/>
      <c r="D22" s="6"/>
      <c r="E22" s="6"/>
      <c r="F22" s="6"/>
      <c r="G22" s="3">
        <v>40909.0</v>
      </c>
      <c r="H22" s="6">
        <v>0.0</v>
      </c>
      <c r="I22" s="7">
        <f t="shared" si="2"/>
        <v>259091</v>
      </c>
    </row>
    <row r="23" ht="15.75" customHeight="1">
      <c r="A23" s="3" t="s">
        <v>52</v>
      </c>
      <c r="B23" s="4">
        <v>250000.0</v>
      </c>
      <c r="C23" s="4"/>
      <c r="D23" s="6"/>
      <c r="E23" s="6"/>
      <c r="F23" s="6"/>
      <c r="G23" s="4">
        <v>113636.0</v>
      </c>
      <c r="H23" s="6">
        <v>0.0</v>
      </c>
      <c r="I23" s="7">
        <f t="shared" si="2"/>
        <v>136364</v>
      </c>
    </row>
    <row r="24" ht="15.75" customHeight="1">
      <c r="A24" s="3" t="s">
        <v>53</v>
      </c>
      <c r="B24" s="4">
        <v>150000.0</v>
      </c>
      <c r="C24" s="4"/>
      <c r="D24" s="6"/>
      <c r="E24" s="6"/>
      <c r="F24" s="6"/>
      <c r="G24" s="4">
        <v>150000.0</v>
      </c>
      <c r="H24" s="3">
        <v>35714.0</v>
      </c>
      <c r="I24" s="7">
        <f t="shared" si="2"/>
        <v>35714</v>
      </c>
    </row>
    <row r="25" ht="15.75" customHeight="1">
      <c r="A25" s="3" t="s">
        <v>54</v>
      </c>
      <c r="B25" s="4">
        <v>250000.0</v>
      </c>
      <c r="C25" s="4">
        <v>56819.0</v>
      </c>
      <c r="D25" s="6"/>
      <c r="E25" s="6"/>
      <c r="F25" s="6"/>
      <c r="G25" s="3">
        <v>193181.0</v>
      </c>
      <c r="H25" s="6"/>
      <c r="I25" s="5">
        <f t="shared" si="2"/>
        <v>0</v>
      </c>
    </row>
    <row r="26" ht="15.75" customHeight="1">
      <c r="A26" s="3"/>
      <c r="B26" s="4"/>
      <c r="C26" s="4"/>
      <c r="D26" s="6"/>
      <c r="E26" s="6"/>
      <c r="F26" s="6"/>
      <c r="G26" s="6"/>
      <c r="H26" s="6"/>
      <c r="I26" s="5"/>
    </row>
    <row r="27" ht="15.75" customHeight="1">
      <c r="A27" s="3" t="s">
        <v>26</v>
      </c>
      <c r="B27" s="6"/>
      <c r="C27" s="6"/>
      <c r="D27" s="6"/>
      <c r="E27" s="6"/>
      <c r="F27" s="6"/>
      <c r="G27" s="6"/>
      <c r="H27" s="6"/>
      <c r="I27" s="22">
        <f>SUM(I2:I25)</f>
        <v>3907497</v>
      </c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</row>
    <row r="33" ht="15.75" customHeight="1">
      <c r="A33" s="9"/>
      <c r="B33" s="9" t="s">
        <v>28</v>
      </c>
      <c r="C33" s="9" t="s">
        <v>29</v>
      </c>
      <c r="D33" s="9"/>
      <c r="E33" s="9"/>
      <c r="F33" s="9"/>
      <c r="G33" s="9"/>
      <c r="H33" s="9"/>
      <c r="I33" s="9"/>
    </row>
    <row r="34" ht="15.75" customHeight="1">
      <c r="A34" s="3" t="s">
        <v>11</v>
      </c>
      <c r="B34" s="10">
        <v>22.0</v>
      </c>
      <c r="C34" s="10">
        <v>22.0</v>
      </c>
      <c r="D34" s="9"/>
      <c r="E34" s="9"/>
      <c r="F34" s="9"/>
      <c r="G34" s="9"/>
      <c r="H34" s="9"/>
      <c r="I34" s="9"/>
    </row>
    <row r="35" ht="15.75" customHeight="1">
      <c r="A35" s="3" t="s">
        <v>12</v>
      </c>
      <c r="B35" s="10">
        <v>22.0</v>
      </c>
      <c r="C35" s="10">
        <v>22.0</v>
      </c>
      <c r="D35" s="9"/>
      <c r="E35" s="9"/>
      <c r="F35" s="9"/>
      <c r="G35" s="9"/>
      <c r="H35" s="9"/>
      <c r="I35" s="9"/>
    </row>
    <row r="36" ht="15.75" customHeight="1">
      <c r="A36" s="3" t="s">
        <v>13</v>
      </c>
      <c r="B36" s="10">
        <v>22.0</v>
      </c>
      <c r="C36" s="10">
        <v>22.0</v>
      </c>
      <c r="D36" s="9"/>
      <c r="E36" s="9"/>
      <c r="F36" s="9"/>
      <c r="G36" s="9"/>
      <c r="H36" s="9"/>
      <c r="I36" s="9"/>
    </row>
    <row r="37" ht="15.75" customHeight="1">
      <c r="A37" s="3" t="s">
        <v>14</v>
      </c>
      <c r="B37" s="10">
        <v>22.0</v>
      </c>
      <c r="C37" s="10">
        <v>22.0</v>
      </c>
      <c r="D37" s="9"/>
      <c r="E37" s="9"/>
      <c r="F37" s="9"/>
      <c r="G37" s="9"/>
      <c r="H37" s="9"/>
      <c r="I37" s="9"/>
    </row>
    <row r="38" ht="15.75" customHeight="1">
      <c r="A38" s="3" t="s">
        <v>15</v>
      </c>
      <c r="B38" s="10">
        <v>22.0</v>
      </c>
      <c r="C38" s="10">
        <v>22.0</v>
      </c>
      <c r="D38" s="9"/>
      <c r="E38" s="9"/>
      <c r="F38" s="9"/>
      <c r="G38" s="9"/>
      <c r="H38" s="9"/>
      <c r="I38" s="9"/>
    </row>
    <row r="39" ht="15.75" customHeight="1">
      <c r="A39" s="3" t="s">
        <v>16</v>
      </c>
      <c r="B39" s="10">
        <v>22.0</v>
      </c>
      <c r="C39" s="10">
        <v>22.0</v>
      </c>
      <c r="D39" s="9"/>
      <c r="E39" s="9"/>
      <c r="F39" s="9"/>
      <c r="G39" s="9"/>
      <c r="H39" s="9"/>
      <c r="I39" s="9"/>
    </row>
    <row r="40" ht="15.75" customHeight="1">
      <c r="A40" s="3" t="s">
        <v>36</v>
      </c>
      <c r="B40" s="10">
        <v>22.0</v>
      </c>
      <c r="C40" s="10">
        <v>22.0</v>
      </c>
      <c r="D40" s="10"/>
      <c r="E40" s="9"/>
      <c r="F40" s="9"/>
      <c r="G40" s="9"/>
      <c r="H40" s="9"/>
      <c r="I40" s="9"/>
    </row>
    <row r="41" ht="15.75" customHeight="1">
      <c r="A41" s="3" t="s">
        <v>18</v>
      </c>
      <c r="B41" s="10">
        <v>22.0</v>
      </c>
      <c r="C41" s="10">
        <v>22.0</v>
      </c>
      <c r="D41" s="9"/>
      <c r="E41" s="9"/>
      <c r="F41" s="9"/>
      <c r="G41" s="9"/>
      <c r="H41" s="9"/>
      <c r="I41" s="9"/>
    </row>
    <row r="42" ht="15.75" customHeight="1">
      <c r="A42" s="3" t="s">
        <v>19</v>
      </c>
      <c r="B42" s="10">
        <v>22.0</v>
      </c>
      <c r="C42" s="10">
        <v>22.0</v>
      </c>
      <c r="D42" s="9"/>
      <c r="E42" s="10"/>
      <c r="F42" s="9"/>
      <c r="G42" s="9"/>
      <c r="H42" s="9"/>
      <c r="I42" s="9"/>
    </row>
    <row r="43" ht="15.75" customHeight="1">
      <c r="A43" s="3" t="s">
        <v>37</v>
      </c>
      <c r="B43" s="10">
        <v>22.0</v>
      </c>
      <c r="C43" s="10">
        <v>22.0</v>
      </c>
      <c r="D43" s="9"/>
      <c r="E43" s="9"/>
      <c r="F43" s="9"/>
      <c r="G43" s="9"/>
      <c r="H43" s="9"/>
      <c r="I43" s="9"/>
    </row>
    <row r="44" ht="15.75" customHeight="1">
      <c r="A44" s="3" t="s">
        <v>21</v>
      </c>
      <c r="B44" s="10">
        <v>22.0</v>
      </c>
      <c r="C44" s="10">
        <v>22.0</v>
      </c>
      <c r="D44" s="10" t="s">
        <v>55</v>
      </c>
      <c r="E44" s="9"/>
      <c r="F44" s="9"/>
      <c r="G44" s="9"/>
      <c r="H44" s="9"/>
      <c r="I44" s="9"/>
    </row>
    <row r="45" ht="15.75" customHeight="1">
      <c r="A45" s="3" t="s">
        <v>22</v>
      </c>
      <c r="B45" s="10">
        <v>22.0</v>
      </c>
      <c r="C45" s="10">
        <v>22.0</v>
      </c>
      <c r="D45" s="10"/>
      <c r="E45" s="9"/>
      <c r="F45" s="9"/>
      <c r="G45" s="9"/>
      <c r="H45" s="9"/>
      <c r="I45" s="9"/>
    </row>
    <row r="46" ht="15.75" customHeight="1">
      <c r="A46" s="3" t="s">
        <v>45</v>
      </c>
      <c r="B46" s="10">
        <v>22.0</v>
      </c>
      <c r="C46" s="10">
        <v>22.0</v>
      </c>
      <c r="D46" s="10"/>
      <c r="E46" s="9"/>
      <c r="F46" s="9"/>
      <c r="G46" s="9"/>
      <c r="H46" s="9"/>
      <c r="I46" s="9"/>
    </row>
    <row r="47" ht="15.75" customHeight="1">
      <c r="A47" s="3" t="s">
        <v>39</v>
      </c>
      <c r="B47" s="10">
        <v>22.0</v>
      </c>
      <c r="C47" s="10">
        <v>22.0</v>
      </c>
      <c r="D47" s="9"/>
      <c r="E47" s="9"/>
      <c r="F47" s="9"/>
      <c r="G47" s="9"/>
      <c r="H47" s="9"/>
      <c r="I47" s="9"/>
    </row>
    <row r="48" ht="15.75" customHeight="1">
      <c r="A48" s="3" t="s">
        <v>40</v>
      </c>
      <c r="B48" s="10">
        <v>22.0</v>
      </c>
      <c r="C48" s="10">
        <v>22.0</v>
      </c>
      <c r="D48" s="9"/>
      <c r="E48" s="9"/>
      <c r="F48" s="9"/>
      <c r="G48" s="9"/>
      <c r="H48" s="9"/>
      <c r="I48" s="9"/>
    </row>
    <row r="49" ht="15.75" customHeight="1">
      <c r="A49" s="3" t="s">
        <v>41</v>
      </c>
      <c r="B49" s="10">
        <v>22.0</v>
      </c>
      <c r="C49" s="10">
        <v>22.0</v>
      </c>
      <c r="D49" s="9"/>
      <c r="E49" s="9"/>
      <c r="F49" s="9"/>
      <c r="G49" s="9"/>
      <c r="H49" s="9"/>
      <c r="I49" s="9"/>
    </row>
    <row r="50" ht="15.75" customHeight="1">
      <c r="A50" s="3" t="s">
        <v>46</v>
      </c>
      <c r="B50" s="10">
        <v>22.0</v>
      </c>
      <c r="C50" s="10">
        <v>22.0</v>
      </c>
      <c r="D50" s="2" t="s">
        <v>56</v>
      </c>
    </row>
    <row r="51" ht="15.75" customHeight="1">
      <c r="A51" s="3" t="s">
        <v>47</v>
      </c>
      <c r="B51" s="10">
        <v>21.0</v>
      </c>
      <c r="C51" s="10">
        <v>22.0</v>
      </c>
      <c r="D51" s="2" t="s">
        <v>56</v>
      </c>
    </row>
    <row r="52" ht="15.75" customHeight="1">
      <c r="A52" s="3" t="s">
        <v>49</v>
      </c>
      <c r="B52" s="10">
        <v>22.0</v>
      </c>
      <c r="C52" s="10">
        <v>22.0</v>
      </c>
      <c r="D52" s="2" t="s">
        <v>57</v>
      </c>
      <c r="E52" s="2" t="s">
        <v>58</v>
      </c>
    </row>
    <row r="53" ht="15.75" customHeight="1">
      <c r="A53" s="3" t="s">
        <v>59</v>
      </c>
      <c r="B53" s="10">
        <v>22.0</v>
      </c>
      <c r="C53" s="10">
        <v>22.0</v>
      </c>
      <c r="D53" s="2" t="s">
        <v>57</v>
      </c>
    </row>
    <row r="54" ht="15.75" customHeight="1">
      <c r="A54" s="3" t="s">
        <v>52</v>
      </c>
      <c r="B54" s="10">
        <v>22.0</v>
      </c>
      <c r="C54" s="10">
        <v>22.0</v>
      </c>
      <c r="D54" s="2" t="s">
        <v>60</v>
      </c>
    </row>
    <row r="55" ht="15.75" customHeight="1">
      <c r="A55" s="3" t="s">
        <v>53</v>
      </c>
      <c r="B55" s="10">
        <v>21.0</v>
      </c>
      <c r="C55" s="10">
        <v>22.0</v>
      </c>
      <c r="D55" s="2" t="s">
        <v>61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15.75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62</v>
      </c>
      <c r="H1" s="20" t="s">
        <v>63</v>
      </c>
      <c r="I1" s="20" t="s">
        <v>48</v>
      </c>
      <c r="J1" s="20" t="s">
        <v>64</v>
      </c>
      <c r="K1" s="20" t="s">
        <v>65</v>
      </c>
      <c r="L1" s="20" t="s">
        <v>66</v>
      </c>
    </row>
    <row r="2" ht="15.75" customHeight="1">
      <c r="A2" s="3" t="s">
        <v>11</v>
      </c>
      <c r="B2" s="4">
        <v>1000000.0</v>
      </c>
      <c r="C2" s="4">
        <v>1000000.0</v>
      </c>
      <c r="D2" s="5"/>
      <c r="E2" s="6"/>
      <c r="F2" s="6"/>
      <c r="G2" s="6"/>
      <c r="H2" s="6"/>
      <c r="I2" s="6">
        <f t="shared" ref="I2:I25" si="1">L2*D36</f>
        <v>0</v>
      </c>
      <c r="J2" s="6"/>
      <c r="K2" s="7">
        <f t="shared" ref="K2:K27" si="2">B2-C2-D2-E2-F2-I2+J2-G2-H2</f>
        <v>0</v>
      </c>
      <c r="L2" s="3">
        <v>40000.0</v>
      </c>
    </row>
    <row r="3" ht="15.75" customHeight="1">
      <c r="A3" s="3" t="s">
        <v>12</v>
      </c>
      <c r="B3" s="4">
        <v>1000000.0</v>
      </c>
      <c r="C3" s="4">
        <v>1000000.0</v>
      </c>
      <c r="D3" s="6"/>
      <c r="E3" s="6"/>
      <c r="F3" s="6"/>
      <c r="G3" s="6"/>
      <c r="H3" s="6"/>
      <c r="I3" s="6">
        <f t="shared" si="1"/>
        <v>0</v>
      </c>
      <c r="J3" s="6"/>
      <c r="K3" s="7">
        <f t="shared" si="2"/>
        <v>0</v>
      </c>
      <c r="L3" s="3">
        <v>40000.0</v>
      </c>
    </row>
    <row r="4" ht="15.75" customHeight="1">
      <c r="A4" s="3" t="s">
        <v>13</v>
      </c>
      <c r="B4" s="4">
        <v>700000.0</v>
      </c>
      <c r="C4" s="4">
        <v>300000.0</v>
      </c>
      <c r="D4" s="6"/>
      <c r="E4" s="6"/>
      <c r="F4" s="6"/>
      <c r="G4" s="6"/>
      <c r="H4" s="6"/>
      <c r="I4" s="6">
        <f t="shared" si="1"/>
        <v>50001</v>
      </c>
      <c r="J4" s="6"/>
      <c r="K4" s="7">
        <f t="shared" si="2"/>
        <v>349999</v>
      </c>
      <c r="L4" s="3">
        <v>33334.0</v>
      </c>
    </row>
    <row r="5" ht="15.75" customHeight="1">
      <c r="A5" s="3" t="s">
        <v>14</v>
      </c>
      <c r="B5" s="4">
        <v>700000.0</v>
      </c>
      <c r="C5" s="4"/>
      <c r="D5" s="6"/>
      <c r="E5" s="6"/>
      <c r="F5" s="6"/>
      <c r="G5" s="6"/>
      <c r="H5" s="6"/>
      <c r="I5" s="6">
        <f t="shared" si="1"/>
        <v>50001</v>
      </c>
      <c r="J5" s="6"/>
      <c r="K5" s="7">
        <f t="shared" si="2"/>
        <v>649999</v>
      </c>
      <c r="L5" s="3">
        <v>33334.0</v>
      </c>
    </row>
    <row r="6" ht="15.75" customHeight="1">
      <c r="A6" s="3" t="s">
        <v>49</v>
      </c>
      <c r="B6" s="4">
        <v>600000.0</v>
      </c>
      <c r="C6" s="4">
        <v>450000.0</v>
      </c>
      <c r="D6" s="6"/>
      <c r="E6" s="6"/>
      <c r="F6" s="6"/>
      <c r="G6" s="6"/>
      <c r="H6" s="6"/>
      <c r="I6" s="6">
        <f t="shared" si="1"/>
        <v>23809.5</v>
      </c>
      <c r="J6" s="6"/>
      <c r="K6" s="7">
        <f t="shared" si="2"/>
        <v>126190.5</v>
      </c>
      <c r="L6" s="3">
        <v>23809.5</v>
      </c>
    </row>
    <row r="7" ht="15.75" customHeight="1">
      <c r="A7" s="3" t="s">
        <v>15</v>
      </c>
      <c r="B7" s="4">
        <v>120000.0</v>
      </c>
      <c r="C7" s="4"/>
      <c r="D7" s="6"/>
      <c r="E7" s="6"/>
      <c r="F7" s="6"/>
      <c r="G7" s="6"/>
      <c r="H7" s="6"/>
      <c r="I7" s="6">
        <f t="shared" si="1"/>
        <v>0</v>
      </c>
      <c r="J7" s="6"/>
      <c r="K7" s="7">
        <f t="shared" si="2"/>
        <v>120000</v>
      </c>
      <c r="L7" s="3">
        <v>4800.0</v>
      </c>
    </row>
    <row r="8" ht="15.75" customHeight="1">
      <c r="A8" s="3" t="s">
        <v>67</v>
      </c>
      <c r="B8" s="4">
        <v>300000.0</v>
      </c>
      <c r="C8" s="4"/>
      <c r="D8" s="6"/>
      <c r="E8" s="6"/>
      <c r="F8" s="6"/>
      <c r="G8" s="6"/>
      <c r="H8" s="6"/>
      <c r="I8" s="6">
        <f t="shared" si="1"/>
        <v>0</v>
      </c>
      <c r="J8" s="6"/>
      <c r="K8" s="23">
        <f t="shared" si="2"/>
        <v>300000</v>
      </c>
      <c r="L8" s="3">
        <v>10000.0</v>
      </c>
    </row>
    <row r="9" ht="15.75" customHeight="1">
      <c r="A9" s="3" t="s">
        <v>18</v>
      </c>
      <c r="B9" s="4">
        <v>400000.0</v>
      </c>
      <c r="C9" s="4">
        <v>33000.0</v>
      </c>
      <c r="D9" s="6"/>
      <c r="E9" s="6"/>
      <c r="F9" s="6"/>
      <c r="G9" s="6"/>
      <c r="H9" s="6"/>
      <c r="I9" s="6">
        <f t="shared" si="1"/>
        <v>0</v>
      </c>
      <c r="J9" s="6"/>
      <c r="K9" s="7">
        <f t="shared" si="2"/>
        <v>367000</v>
      </c>
      <c r="L9" s="3">
        <v>16000.0</v>
      </c>
    </row>
    <row r="10" ht="15.75" customHeight="1">
      <c r="A10" s="3" t="s">
        <v>37</v>
      </c>
      <c r="B10" s="4">
        <v>200000.0</v>
      </c>
      <c r="C10" s="4">
        <v>100000.0</v>
      </c>
      <c r="D10" s="6"/>
      <c r="E10" s="6"/>
      <c r="F10" s="6"/>
      <c r="G10" s="6"/>
      <c r="H10" s="6"/>
      <c r="I10" s="6">
        <f t="shared" si="1"/>
        <v>0</v>
      </c>
      <c r="J10" s="6"/>
      <c r="K10" s="7">
        <f t="shared" si="2"/>
        <v>100000</v>
      </c>
      <c r="L10" s="3">
        <v>8000.0</v>
      </c>
    </row>
    <row r="11" ht="15.75" customHeight="1">
      <c r="A11" s="3" t="s">
        <v>54</v>
      </c>
      <c r="B11" s="4">
        <v>250000.0</v>
      </c>
      <c r="C11" s="4">
        <v>150000.0</v>
      </c>
      <c r="D11" s="6"/>
      <c r="E11" s="3"/>
      <c r="F11" s="6"/>
      <c r="G11" s="6"/>
      <c r="H11" s="6"/>
      <c r="I11" s="6">
        <f t="shared" si="1"/>
        <v>10000</v>
      </c>
      <c r="J11" s="24">
        <f>IFERROR(__xludf.DUMMYFUNCTION("IMPORTRANGE(""https://docs.google.com/spreadsheets/d/1JJd44_6b1hsmD6e8liei_zzkkh-GYab6gE4K23IJPVI/edit?gid=0#gid=0&amp;range=J95"",""'Лист1'!J93"")"),450416.17500000075)</f>
        <v>450416.175</v>
      </c>
      <c r="K11" s="7">
        <f t="shared" si="2"/>
        <v>540416.175</v>
      </c>
      <c r="L11" s="3">
        <v>10000.0</v>
      </c>
    </row>
    <row r="12" ht="15.75" customHeight="1">
      <c r="A12" s="3" t="s">
        <v>19</v>
      </c>
      <c r="B12" s="4">
        <v>81600.0</v>
      </c>
      <c r="C12" s="4">
        <v>205000.0</v>
      </c>
      <c r="D12" s="3"/>
      <c r="E12" s="6"/>
      <c r="F12" s="6"/>
      <c r="G12" s="6"/>
      <c r="H12" s="3">
        <v>10000.0</v>
      </c>
      <c r="I12" s="6">
        <f t="shared" si="1"/>
        <v>3264</v>
      </c>
      <c r="J12" s="25">
        <f>IFERROR(__xludf.DUMMYFUNCTION("IMPORTRANGE(""https://docs.google.com/spreadsheets/d/1JJd44_6b1hsmD6e8liei_zzkkh-GYab6gE4K23IJPVI/edit?gid=0#gid=0&amp;range=L58"",""'Лист1'!K87"")"),451912.5)</f>
        <v>451912.5</v>
      </c>
      <c r="K12" s="7">
        <f t="shared" si="2"/>
        <v>315248.5</v>
      </c>
      <c r="L12" s="3">
        <v>3264.0</v>
      </c>
    </row>
    <row r="13" ht="15.75" customHeight="1">
      <c r="A13" s="3" t="s">
        <v>21</v>
      </c>
      <c r="B13" s="4">
        <v>81600.0</v>
      </c>
      <c r="C13" s="4">
        <v>205000.0</v>
      </c>
      <c r="D13" s="5"/>
      <c r="E13" s="5"/>
      <c r="F13" s="5"/>
      <c r="G13" s="5"/>
      <c r="H13" s="3">
        <v>25000.0</v>
      </c>
      <c r="I13" s="6">
        <f t="shared" si="1"/>
        <v>3264</v>
      </c>
      <c r="J13" s="24">
        <f>IFERROR(__xludf.DUMMYFUNCTION("IMPORTRANGE(""https://docs.google.com/spreadsheets/d/1JJd44_6b1hsmD6e8liei_zzkkh-GYab6gE4K23IJPVI/edit?gid=0#gid=0&amp;range=L58"",""'Лист1'!W87"")"),378242.775)</f>
        <v>378242.775</v>
      </c>
      <c r="K13" s="7">
        <f t="shared" si="2"/>
        <v>226578.775</v>
      </c>
      <c r="L13" s="3">
        <v>3264.0</v>
      </c>
    </row>
    <row r="14" ht="15.75" customHeight="1">
      <c r="A14" s="3" t="s">
        <v>22</v>
      </c>
      <c r="B14" s="4">
        <v>81600.0</v>
      </c>
      <c r="C14" s="4">
        <v>320000.0</v>
      </c>
      <c r="D14" s="3"/>
      <c r="E14" s="6"/>
      <c r="F14" s="6"/>
      <c r="G14" s="3">
        <v>30000.0</v>
      </c>
      <c r="H14" s="3">
        <v>15000.0</v>
      </c>
      <c r="I14" s="6">
        <f t="shared" si="1"/>
        <v>0</v>
      </c>
      <c r="J14" s="24">
        <f>IFERROR(__xludf.DUMMYFUNCTION("IMPORTRANGE(""https://docs.google.com/spreadsheets/d/1JJd44_6b1hsmD6e8liei_zzkkh-GYab6gE4K23IJPVI/edit?gid=0#gid=0&amp;range=L58"",""'Лист1'!AI87"") "),521093.25)</f>
        <v>521093.25</v>
      </c>
      <c r="K14" s="7">
        <f t="shared" si="2"/>
        <v>237693.25</v>
      </c>
      <c r="L14" s="3">
        <v>3264.0</v>
      </c>
    </row>
    <row r="15" ht="15.75" customHeight="1">
      <c r="A15" s="3" t="s">
        <v>68</v>
      </c>
      <c r="B15" s="4">
        <v>100000.0</v>
      </c>
      <c r="C15" s="4"/>
      <c r="D15" s="6"/>
      <c r="E15" s="6"/>
      <c r="F15" s="6"/>
      <c r="G15" s="6"/>
      <c r="H15" s="6"/>
      <c r="I15" s="6">
        <f t="shared" si="1"/>
        <v>52000</v>
      </c>
      <c r="J15" s="26">
        <f>35000+40000</f>
        <v>75000</v>
      </c>
      <c r="K15" s="7">
        <f t="shared" si="2"/>
        <v>123000</v>
      </c>
      <c r="L15" s="3">
        <v>4000.0</v>
      </c>
    </row>
    <row r="16" ht="15.75" customHeight="1">
      <c r="A16" s="3" t="s">
        <v>69</v>
      </c>
      <c r="B16" s="4">
        <v>100000.0</v>
      </c>
      <c r="C16" s="4"/>
      <c r="D16" s="6"/>
      <c r="E16" s="6"/>
      <c r="F16" s="6"/>
      <c r="G16" s="6"/>
      <c r="H16" s="6"/>
      <c r="I16" s="6">
        <f t="shared" si="1"/>
        <v>84000</v>
      </c>
      <c r="J16" s="26">
        <v>3000.0</v>
      </c>
      <c r="K16" s="7">
        <f t="shared" si="2"/>
        <v>19000</v>
      </c>
      <c r="L16" s="3">
        <v>4000.0</v>
      </c>
    </row>
    <row r="17" ht="15.75" customHeight="1">
      <c r="A17" s="3" t="s">
        <v>70</v>
      </c>
      <c r="B17" s="4">
        <v>50000.0</v>
      </c>
      <c r="C17" s="4"/>
      <c r="D17" s="6"/>
      <c r="E17" s="6"/>
      <c r="F17" s="6"/>
      <c r="G17" s="6"/>
      <c r="H17" s="6"/>
      <c r="I17" s="6">
        <f t="shared" si="1"/>
        <v>0</v>
      </c>
      <c r="J17" s="26"/>
      <c r="K17" s="7">
        <f t="shared" si="2"/>
        <v>50000</v>
      </c>
      <c r="L17" s="3">
        <v>0.0</v>
      </c>
    </row>
    <row r="18" ht="16.5" customHeight="1">
      <c r="A18" s="3" t="s">
        <v>39</v>
      </c>
      <c r="B18" s="4">
        <v>250000.0</v>
      </c>
      <c r="C18" s="4"/>
      <c r="D18" s="6"/>
      <c r="E18" s="6"/>
      <c r="F18" s="6"/>
      <c r="G18" s="6"/>
      <c r="H18" s="6"/>
      <c r="I18" s="6">
        <f t="shared" si="1"/>
        <v>0</v>
      </c>
      <c r="J18" s="27"/>
      <c r="K18" s="7">
        <f t="shared" si="2"/>
        <v>250000</v>
      </c>
      <c r="L18" s="3">
        <v>10000.0</v>
      </c>
    </row>
    <row r="19">
      <c r="A19" s="3" t="s">
        <v>71</v>
      </c>
      <c r="B19" s="4">
        <v>150000.0</v>
      </c>
      <c r="C19" s="4">
        <v>150000.0</v>
      </c>
      <c r="D19" s="6"/>
      <c r="E19" s="6"/>
      <c r="F19" s="3"/>
      <c r="G19" s="3"/>
      <c r="H19" s="3"/>
      <c r="I19" s="6">
        <f t="shared" si="1"/>
        <v>0</v>
      </c>
      <c r="J19" s="27"/>
      <c r="K19" s="7">
        <f t="shared" si="2"/>
        <v>0</v>
      </c>
      <c r="L19" s="3">
        <v>6000.0</v>
      </c>
    </row>
    <row r="20" ht="15.75" customHeight="1">
      <c r="A20" s="3" t="s">
        <v>41</v>
      </c>
      <c r="B20" s="4">
        <v>200000.0</v>
      </c>
      <c r="C20" s="4"/>
      <c r="D20" s="6"/>
      <c r="E20" s="6"/>
      <c r="F20" s="6"/>
      <c r="G20" s="6"/>
      <c r="H20" s="6"/>
      <c r="I20" s="6">
        <f t="shared" si="1"/>
        <v>0</v>
      </c>
      <c r="J20" s="27"/>
      <c r="K20" s="7">
        <f t="shared" si="2"/>
        <v>200000</v>
      </c>
      <c r="L20" s="3">
        <v>8000.0</v>
      </c>
    </row>
    <row r="21" ht="15.75" customHeight="1">
      <c r="A21" s="3" t="s">
        <v>72</v>
      </c>
      <c r="B21" s="4">
        <v>250000.0</v>
      </c>
      <c r="C21" s="4">
        <v>5000.0</v>
      </c>
      <c r="D21" s="3">
        <v>100000.0</v>
      </c>
      <c r="E21" s="6"/>
      <c r="F21" s="6"/>
      <c r="G21" s="3"/>
      <c r="H21" s="6"/>
      <c r="I21" s="6">
        <f t="shared" si="1"/>
        <v>83333.3333</v>
      </c>
      <c r="J21" s="26"/>
      <c r="K21" s="7">
        <f t="shared" si="2"/>
        <v>61666.6667</v>
      </c>
      <c r="L21" s="3">
        <v>11904.7619</v>
      </c>
    </row>
    <row r="22" ht="15.75" customHeight="1">
      <c r="A22" s="3" t="s">
        <v>73</v>
      </c>
      <c r="B22" s="4">
        <v>250000.0</v>
      </c>
      <c r="C22" s="4">
        <v>3000.0</v>
      </c>
      <c r="D22" s="6"/>
      <c r="E22" s="6"/>
      <c r="F22" s="6"/>
      <c r="G22" s="6"/>
      <c r="H22" s="6"/>
      <c r="I22" s="6">
        <f t="shared" si="1"/>
        <v>10000</v>
      </c>
      <c r="J22" s="27"/>
      <c r="K22" s="7">
        <f t="shared" si="2"/>
        <v>237000</v>
      </c>
      <c r="L22" s="3">
        <v>10000.0</v>
      </c>
    </row>
    <row r="23" ht="15.75" customHeight="1">
      <c r="A23" s="3" t="s">
        <v>52</v>
      </c>
      <c r="B23" s="4">
        <v>250000.0</v>
      </c>
      <c r="C23" s="4"/>
      <c r="D23" s="6"/>
      <c r="E23" s="6"/>
      <c r="F23" s="6"/>
      <c r="G23" s="3"/>
      <c r="H23" s="6"/>
      <c r="I23" s="6">
        <f t="shared" si="1"/>
        <v>47619.0476</v>
      </c>
      <c r="J23" s="27"/>
      <c r="K23" s="7">
        <f t="shared" si="2"/>
        <v>202380.9524</v>
      </c>
      <c r="L23" s="3">
        <v>11904.7619</v>
      </c>
    </row>
    <row r="24" ht="15.75" customHeight="1">
      <c r="A24" s="3" t="s">
        <v>53</v>
      </c>
      <c r="B24" s="4">
        <v>150000.0</v>
      </c>
      <c r="C24" s="4"/>
      <c r="D24" s="6"/>
      <c r="E24" s="6"/>
      <c r="F24" s="6"/>
      <c r="G24" s="6"/>
      <c r="H24" s="6"/>
      <c r="I24" s="6">
        <f t="shared" si="1"/>
        <v>0</v>
      </c>
      <c r="J24" s="26"/>
      <c r="K24" s="7">
        <f t="shared" si="2"/>
        <v>150000</v>
      </c>
      <c r="L24" s="3">
        <v>7142.85714</v>
      </c>
    </row>
    <row r="25" ht="15.75" customHeight="1">
      <c r="A25" s="3" t="s">
        <v>74</v>
      </c>
      <c r="B25" s="4">
        <v>150000.0</v>
      </c>
      <c r="C25" s="4">
        <v>75000.0</v>
      </c>
      <c r="D25" s="6"/>
      <c r="E25" s="6"/>
      <c r="F25" s="6"/>
      <c r="G25" s="6"/>
      <c r="H25" s="3">
        <v>2000.0</v>
      </c>
      <c r="I25" s="6">
        <f t="shared" si="1"/>
        <v>21428.57142</v>
      </c>
      <c r="J25" s="6"/>
      <c r="K25" s="7">
        <f t="shared" si="2"/>
        <v>51571.42858</v>
      </c>
      <c r="L25" s="3">
        <v>7142.85714</v>
      </c>
    </row>
    <row r="26" ht="15.75" customHeight="1">
      <c r="A26" s="3" t="s">
        <v>75</v>
      </c>
      <c r="B26" s="4">
        <v>150000.0</v>
      </c>
      <c r="C26" s="4"/>
      <c r="D26" s="6"/>
      <c r="E26" s="6"/>
      <c r="F26" s="6"/>
      <c r="G26" s="6"/>
      <c r="H26" s="6"/>
      <c r="I26" s="6"/>
      <c r="J26" s="6"/>
      <c r="K26" s="23">
        <f t="shared" si="2"/>
        <v>150000</v>
      </c>
      <c r="L26" s="3">
        <v>7142.85714</v>
      </c>
    </row>
    <row r="27" ht="15.75" customHeight="1">
      <c r="A27" s="3" t="s">
        <v>76</v>
      </c>
      <c r="B27" s="4">
        <v>170000.0</v>
      </c>
      <c r="C27" s="4"/>
      <c r="D27" s="6"/>
      <c r="E27" s="6"/>
      <c r="F27" s="6"/>
      <c r="G27" s="6"/>
      <c r="H27" s="6"/>
      <c r="I27" s="3"/>
      <c r="J27" s="6"/>
      <c r="K27" s="7">
        <f t="shared" si="2"/>
        <v>170000</v>
      </c>
      <c r="L27" s="3"/>
    </row>
    <row r="28" ht="15.75" customHeight="1">
      <c r="A28" s="3"/>
      <c r="B28" s="4"/>
      <c r="C28" s="4"/>
      <c r="D28" s="6"/>
      <c r="E28" s="6"/>
      <c r="F28" s="6"/>
      <c r="G28" s="6"/>
      <c r="H28" s="6"/>
      <c r="I28" s="6"/>
      <c r="J28" s="6"/>
      <c r="K28" s="5"/>
      <c r="L28" s="6"/>
    </row>
    <row r="29" ht="15.75" customHeight="1">
      <c r="A29" s="3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22">
        <f t="shared" ref="K29:L29" si="3">SUM(K2:K27)</f>
        <v>4997744.248</v>
      </c>
      <c r="L29" s="28">
        <f t="shared" si="3"/>
        <v>316307.5952</v>
      </c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10">
        <v>525138.0</v>
      </c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10" t="s">
        <v>77</v>
      </c>
      <c r="L34" s="2" t="s">
        <v>78</v>
      </c>
    </row>
    <row r="35" ht="15.75" customHeight="1">
      <c r="A35" s="3" t="s">
        <v>79</v>
      </c>
      <c r="B35" s="29" t="s">
        <v>28</v>
      </c>
      <c r="C35" s="30" t="s">
        <v>29</v>
      </c>
      <c r="D35" s="31" t="s">
        <v>80</v>
      </c>
      <c r="E35" s="3" t="s">
        <v>81</v>
      </c>
      <c r="F35" s="9"/>
      <c r="G35" s="9"/>
      <c r="H35" s="9"/>
      <c r="I35" s="9"/>
      <c r="J35" s="9"/>
      <c r="K35" s="17">
        <f>K6+K7+K10+K24</f>
        <v>496190.5</v>
      </c>
      <c r="L35" s="8">
        <f>K33-K35</f>
        <v>28947.5</v>
      </c>
    </row>
    <row r="36" ht="15.75" customHeight="1">
      <c r="A36" s="3" t="s">
        <v>11</v>
      </c>
      <c r="B36" s="3">
        <v>25.0</v>
      </c>
      <c r="C36" s="3">
        <f t="shared" ref="C36:C53" si="4">B36-D36</f>
        <v>25</v>
      </c>
      <c r="D36" s="6"/>
      <c r="E36" s="32">
        <v>45297.0</v>
      </c>
      <c r="F36" s="9"/>
      <c r="G36" s="9"/>
      <c r="H36" s="9"/>
      <c r="I36" s="9"/>
      <c r="J36" s="9"/>
      <c r="K36" s="9"/>
    </row>
    <row r="37" ht="15.75" customHeight="1">
      <c r="A37" s="3" t="s">
        <v>12</v>
      </c>
      <c r="B37" s="3">
        <v>25.0</v>
      </c>
      <c r="C37" s="3">
        <f t="shared" si="4"/>
        <v>25</v>
      </c>
      <c r="D37" s="6"/>
      <c r="E37" s="32">
        <v>45297.0</v>
      </c>
      <c r="F37" s="9"/>
      <c r="G37" s="9"/>
      <c r="H37" s="9"/>
      <c r="I37" s="9"/>
      <c r="J37" s="9"/>
      <c r="K37" s="9"/>
    </row>
    <row r="38" ht="15.75" customHeight="1">
      <c r="A38" s="3" t="s">
        <v>13</v>
      </c>
      <c r="B38" s="3">
        <v>21.0</v>
      </c>
      <c r="C38" s="3">
        <f t="shared" si="4"/>
        <v>19.5</v>
      </c>
      <c r="D38" s="3">
        <v>1.5</v>
      </c>
      <c r="E38" s="32">
        <v>45327.0</v>
      </c>
      <c r="F38" s="9"/>
      <c r="G38" s="9"/>
      <c r="H38" s="9"/>
      <c r="I38" s="9"/>
      <c r="J38" s="9"/>
      <c r="K38" s="9"/>
    </row>
    <row r="39" ht="15.75" customHeight="1">
      <c r="A39" s="3" t="s">
        <v>14</v>
      </c>
      <c r="B39" s="3">
        <v>21.0</v>
      </c>
      <c r="C39" s="3">
        <f t="shared" si="4"/>
        <v>19.5</v>
      </c>
      <c r="D39" s="3">
        <v>1.5</v>
      </c>
      <c r="E39" s="32">
        <v>45327.0</v>
      </c>
      <c r="F39" s="9"/>
      <c r="G39" s="9"/>
      <c r="H39" s="9"/>
      <c r="I39" s="9"/>
      <c r="J39" s="9"/>
      <c r="K39" s="9"/>
    </row>
    <row r="40" ht="15.75" customHeight="1">
      <c r="A40" s="3" t="s">
        <v>49</v>
      </c>
      <c r="B40" s="3">
        <v>21.0</v>
      </c>
      <c r="C40" s="3">
        <f t="shared" si="4"/>
        <v>20</v>
      </c>
      <c r="D40" s="33">
        <v>1.0</v>
      </c>
      <c r="E40" s="32">
        <v>45327.0</v>
      </c>
    </row>
    <row r="41" ht="15.75" customHeight="1">
      <c r="A41" s="3" t="s">
        <v>15</v>
      </c>
      <c r="B41" s="3">
        <v>25.0</v>
      </c>
      <c r="C41" s="3">
        <f t="shared" si="4"/>
        <v>25</v>
      </c>
      <c r="D41" s="6"/>
      <c r="E41" s="32">
        <v>45297.0</v>
      </c>
      <c r="F41" s="9"/>
      <c r="G41" s="9"/>
      <c r="H41" s="9"/>
      <c r="I41" s="9"/>
      <c r="J41" s="9"/>
      <c r="K41" s="9"/>
    </row>
    <row r="42" ht="15.75" customHeight="1">
      <c r="A42" s="3" t="s">
        <v>67</v>
      </c>
      <c r="B42" s="3">
        <v>25.0</v>
      </c>
      <c r="C42" s="3">
        <f t="shared" si="4"/>
        <v>25</v>
      </c>
      <c r="D42" s="3"/>
      <c r="E42" s="32">
        <v>45297.0</v>
      </c>
      <c r="F42" s="9"/>
      <c r="G42" s="9"/>
      <c r="H42" s="9"/>
      <c r="I42" s="9"/>
      <c r="J42" s="9"/>
      <c r="K42" s="9"/>
    </row>
    <row r="43" ht="15.75" customHeight="1">
      <c r="A43" s="3" t="s">
        <v>18</v>
      </c>
      <c r="B43" s="3">
        <v>25.0</v>
      </c>
      <c r="C43" s="3">
        <f t="shared" si="4"/>
        <v>25</v>
      </c>
      <c r="D43" s="6"/>
      <c r="E43" s="32">
        <v>45297.0</v>
      </c>
      <c r="F43" s="9"/>
      <c r="G43" s="9"/>
      <c r="H43" s="9"/>
      <c r="I43" s="9"/>
      <c r="J43" s="9"/>
      <c r="K43" s="9"/>
    </row>
    <row r="44" ht="15.75" customHeight="1">
      <c r="A44" s="3" t="s">
        <v>37</v>
      </c>
      <c r="B44" s="3">
        <v>25.0</v>
      </c>
      <c r="C44" s="3">
        <f t="shared" si="4"/>
        <v>25</v>
      </c>
      <c r="D44" s="6"/>
      <c r="E44" s="32">
        <v>45297.0</v>
      </c>
      <c r="F44" s="9"/>
      <c r="G44" s="9"/>
      <c r="H44" s="9"/>
      <c r="I44" s="9"/>
      <c r="J44" s="9"/>
      <c r="K44" s="9"/>
    </row>
    <row r="45" ht="15.75" customHeight="1">
      <c r="A45" s="3" t="s">
        <v>54</v>
      </c>
      <c r="B45" s="3">
        <v>25.0</v>
      </c>
      <c r="C45" s="3">
        <f t="shared" si="4"/>
        <v>24</v>
      </c>
      <c r="D45" s="33">
        <v>1.0</v>
      </c>
      <c r="E45" s="32">
        <v>45297.0</v>
      </c>
    </row>
    <row r="46" ht="15.75" customHeight="1">
      <c r="A46" s="3" t="s">
        <v>19</v>
      </c>
      <c r="B46" s="3">
        <v>25.0</v>
      </c>
      <c r="C46" s="3">
        <f t="shared" si="4"/>
        <v>24</v>
      </c>
      <c r="D46" s="3">
        <v>1.0</v>
      </c>
      <c r="E46" s="32">
        <v>45297.0</v>
      </c>
      <c r="F46" s="9"/>
      <c r="G46" s="9"/>
      <c r="H46" s="9"/>
      <c r="I46" s="9"/>
      <c r="J46" s="9"/>
      <c r="K46" s="9"/>
    </row>
    <row r="47" ht="15.75" customHeight="1">
      <c r="A47" s="3" t="s">
        <v>21</v>
      </c>
      <c r="B47" s="3">
        <v>25.0</v>
      </c>
      <c r="C47" s="3">
        <f t="shared" si="4"/>
        <v>24</v>
      </c>
      <c r="D47" s="3">
        <v>1.0</v>
      </c>
      <c r="E47" s="32">
        <v>45297.0</v>
      </c>
      <c r="F47" s="9"/>
      <c r="G47" s="9"/>
      <c r="H47" s="9"/>
      <c r="I47" s="9"/>
      <c r="J47" s="9"/>
      <c r="K47" s="9"/>
    </row>
    <row r="48" ht="15.75" customHeight="1">
      <c r="A48" s="3" t="s">
        <v>22</v>
      </c>
      <c r="B48" s="3">
        <v>25.0</v>
      </c>
      <c r="C48" s="3">
        <f t="shared" si="4"/>
        <v>25</v>
      </c>
      <c r="D48" s="3"/>
      <c r="E48" s="32">
        <v>45297.0</v>
      </c>
      <c r="F48" s="9"/>
      <c r="G48" s="9"/>
      <c r="H48" s="9"/>
      <c r="I48" s="9"/>
      <c r="J48" s="9"/>
      <c r="K48" s="9"/>
    </row>
    <row r="49" ht="15.75" customHeight="1">
      <c r="A49" s="3" t="s">
        <v>68</v>
      </c>
      <c r="B49" s="3">
        <v>25.0</v>
      </c>
      <c r="C49" s="3">
        <f t="shared" si="4"/>
        <v>12</v>
      </c>
      <c r="D49" s="33">
        <v>13.0</v>
      </c>
      <c r="E49" s="32">
        <v>45297.0</v>
      </c>
      <c r="F49" s="2" t="s">
        <v>82</v>
      </c>
      <c r="G49" s="2"/>
      <c r="H49" s="2"/>
    </row>
    <row r="50" ht="15.75" customHeight="1">
      <c r="A50" s="3" t="s">
        <v>69</v>
      </c>
      <c r="B50" s="3">
        <v>25.0</v>
      </c>
      <c r="C50" s="3">
        <f t="shared" si="4"/>
        <v>4</v>
      </c>
      <c r="D50" s="33">
        <v>21.0</v>
      </c>
      <c r="E50" s="32">
        <v>45297.0</v>
      </c>
      <c r="F50" s="2"/>
      <c r="G50" s="2"/>
      <c r="H50" s="2"/>
    </row>
    <row r="51" ht="15.75" customHeight="1">
      <c r="A51" s="3" t="s">
        <v>70</v>
      </c>
      <c r="B51" s="3">
        <v>21.0</v>
      </c>
      <c r="C51" s="3">
        <f t="shared" si="4"/>
        <v>21</v>
      </c>
      <c r="D51" s="3"/>
      <c r="E51" s="3" t="s">
        <v>83</v>
      </c>
      <c r="F51" s="9"/>
      <c r="G51" s="9"/>
      <c r="H51" s="9"/>
      <c r="I51" s="9"/>
      <c r="J51" s="9"/>
      <c r="K51" s="9"/>
    </row>
    <row r="52" ht="15.75" customHeight="1">
      <c r="A52" s="3" t="s">
        <v>39</v>
      </c>
      <c r="B52" s="3">
        <v>21.0</v>
      </c>
      <c r="C52" s="3">
        <f t="shared" si="4"/>
        <v>21</v>
      </c>
      <c r="D52" s="6"/>
      <c r="E52" s="3" t="s">
        <v>84</v>
      </c>
      <c r="F52" s="9"/>
      <c r="G52" s="9"/>
      <c r="H52" s="9"/>
      <c r="I52" s="9"/>
      <c r="J52" s="9"/>
      <c r="K52" s="9"/>
    </row>
    <row r="53" ht="15.75" customHeight="1">
      <c r="A53" s="3" t="s">
        <v>71</v>
      </c>
      <c r="B53" s="3">
        <v>25.0</v>
      </c>
      <c r="C53" s="3">
        <f t="shared" si="4"/>
        <v>25</v>
      </c>
      <c r="D53" s="6"/>
      <c r="E53" s="32">
        <v>45297.0</v>
      </c>
      <c r="F53" s="9"/>
      <c r="G53" s="9"/>
      <c r="H53" s="9"/>
      <c r="I53" s="9"/>
      <c r="J53" s="9"/>
      <c r="K53" s="9"/>
    </row>
    <row r="54" ht="15.75" customHeight="1">
      <c r="A54" s="3" t="s">
        <v>41</v>
      </c>
      <c r="B54" s="3">
        <v>25.0</v>
      </c>
      <c r="C54" s="3">
        <v>25.0</v>
      </c>
      <c r="D54" s="6"/>
      <c r="E54" s="3" t="s">
        <v>85</v>
      </c>
      <c r="F54" s="9"/>
      <c r="G54" s="9"/>
      <c r="H54" s="9"/>
      <c r="I54" s="9"/>
      <c r="J54" s="9"/>
      <c r="K54" s="9"/>
    </row>
    <row r="55" ht="15.75" customHeight="1">
      <c r="A55" s="3" t="s">
        <v>86</v>
      </c>
      <c r="B55" s="3">
        <v>21.0</v>
      </c>
      <c r="C55" s="3">
        <f t="shared" ref="C55:C61" si="5">B55-D55</f>
        <v>14</v>
      </c>
      <c r="D55" s="33">
        <v>7.0</v>
      </c>
      <c r="E55" s="34">
        <v>45327.0</v>
      </c>
      <c r="F55" s="2" t="s">
        <v>87</v>
      </c>
      <c r="G55" s="2"/>
      <c r="H55" s="2"/>
    </row>
    <row r="56" ht="15.75" customHeight="1">
      <c r="A56" s="3" t="s">
        <v>88</v>
      </c>
      <c r="B56" s="3">
        <v>25.0</v>
      </c>
      <c r="C56" s="3">
        <f t="shared" si="5"/>
        <v>24</v>
      </c>
      <c r="D56" s="33">
        <v>1.0</v>
      </c>
      <c r="E56" s="32">
        <v>45297.0</v>
      </c>
    </row>
    <row r="57" ht="15.75" customHeight="1">
      <c r="A57" s="3" t="s">
        <v>52</v>
      </c>
      <c r="B57" s="3">
        <v>21.0</v>
      </c>
      <c r="C57" s="3">
        <f t="shared" si="5"/>
        <v>17</v>
      </c>
      <c r="D57" s="33">
        <v>4.0</v>
      </c>
      <c r="E57" s="32">
        <v>45327.0</v>
      </c>
    </row>
    <row r="58" ht="15.75" customHeight="1">
      <c r="A58" s="3" t="s">
        <v>53</v>
      </c>
      <c r="B58" s="3">
        <v>21.0</v>
      </c>
      <c r="C58" s="3">
        <f t="shared" si="5"/>
        <v>21</v>
      </c>
      <c r="D58" s="33"/>
      <c r="E58" s="32">
        <v>45327.0</v>
      </c>
    </row>
    <row r="59" ht="15.75" customHeight="1">
      <c r="A59" s="3" t="s">
        <v>74</v>
      </c>
      <c r="B59" s="3">
        <v>21.0</v>
      </c>
      <c r="C59" s="3">
        <f t="shared" si="5"/>
        <v>18</v>
      </c>
      <c r="D59" s="33">
        <v>3.0</v>
      </c>
      <c r="E59" s="32">
        <v>45327.0</v>
      </c>
    </row>
    <row r="60" ht="15.75" customHeight="1">
      <c r="A60" s="3" t="s">
        <v>75</v>
      </c>
      <c r="B60" s="3">
        <v>8.0</v>
      </c>
      <c r="C60" s="3">
        <f t="shared" si="5"/>
        <v>3</v>
      </c>
      <c r="D60" s="33">
        <v>5.0</v>
      </c>
      <c r="E60" s="3" t="s">
        <v>89</v>
      </c>
    </row>
    <row r="61" ht="15.75" customHeight="1">
      <c r="A61" s="2" t="s">
        <v>76</v>
      </c>
      <c r="B61" s="3">
        <v>21.0</v>
      </c>
      <c r="C61" s="3">
        <f t="shared" si="5"/>
        <v>21</v>
      </c>
      <c r="D61" s="6"/>
      <c r="E61" s="3" t="s">
        <v>84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62</v>
      </c>
      <c r="H1" s="20" t="s">
        <v>63</v>
      </c>
      <c r="I1" s="20" t="s">
        <v>48</v>
      </c>
      <c r="J1" s="20" t="s">
        <v>64</v>
      </c>
      <c r="K1" s="20" t="s">
        <v>65</v>
      </c>
      <c r="L1" s="20" t="s">
        <v>66</v>
      </c>
    </row>
    <row r="2" ht="15.75" customHeight="1">
      <c r="A2" s="3" t="s">
        <v>11</v>
      </c>
      <c r="B2" s="4">
        <v>1250000.0</v>
      </c>
      <c r="C2" s="4">
        <v>700000.0</v>
      </c>
      <c r="D2" s="4">
        <v>150000.0</v>
      </c>
      <c r="E2" s="3">
        <v>200000.0</v>
      </c>
      <c r="F2" s="3">
        <v>200000.0</v>
      </c>
      <c r="G2" s="6"/>
      <c r="H2" s="6"/>
      <c r="I2" s="6">
        <f t="shared" ref="I2:I5" si="1">L2*D40</f>
        <v>0</v>
      </c>
      <c r="J2" s="6"/>
      <c r="K2" s="5">
        <f t="shared" ref="K2:K3" si="2">B2-C2-D2-E2-F2-I2+J2-G2</f>
        <v>0</v>
      </c>
      <c r="L2" s="3">
        <f t="shared" ref="L2:L5" si="3">B2/B40</f>
        <v>48076.92308</v>
      </c>
    </row>
    <row r="3" ht="15.75" customHeight="1">
      <c r="A3" s="3" t="s">
        <v>12</v>
      </c>
      <c r="B3" s="4">
        <v>1250000.0</v>
      </c>
      <c r="C3" s="4">
        <v>700000.0</v>
      </c>
      <c r="D3" s="3">
        <v>140000.0</v>
      </c>
      <c r="E3" s="3">
        <v>100000.0</v>
      </c>
      <c r="F3" s="3">
        <v>150000.0</v>
      </c>
      <c r="G3" s="3">
        <v>10000.0</v>
      </c>
      <c r="H3" s="6"/>
      <c r="I3" s="6">
        <f t="shared" si="1"/>
        <v>0</v>
      </c>
      <c r="J3" s="6"/>
      <c r="K3" s="7">
        <f t="shared" si="2"/>
        <v>150000</v>
      </c>
      <c r="L3" s="3">
        <f t="shared" si="3"/>
        <v>48076.92308</v>
      </c>
    </row>
    <row r="4" ht="15.75" customHeight="1">
      <c r="A4" s="3" t="s">
        <v>13</v>
      </c>
      <c r="B4" s="35">
        <v>908695.0</v>
      </c>
      <c r="C4" s="4">
        <v>350000.0</v>
      </c>
      <c r="D4" s="6"/>
      <c r="E4" s="6"/>
      <c r="F4" s="6"/>
      <c r="G4" s="3">
        <v>3000.0</v>
      </c>
      <c r="H4" s="6"/>
      <c r="I4" s="6">
        <f t="shared" si="1"/>
        <v>0</v>
      </c>
      <c r="J4" s="6"/>
      <c r="K4" s="7">
        <f>B4-C4-D4-E4-F4-I4+J4-G4+22227</f>
        <v>577922</v>
      </c>
      <c r="L4" s="3">
        <f t="shared" si="3"/>
        <v>39508.47826</v>
      </c>
    </row>
    <row r="5" ht="15.75" customHeight="1">
      <c r="A5" s="3" t="s">
        <v>14</v>
      </c>
      <c r="B5" s="35">
        <v>908695.0</v>
      </c>
      <c r="C5" s="4"/>
      <c r="D5" s="6"/>
      <c r="E5" s="6"/>
      <c r="F5" s="6"/>
      <c r="G5" s="6"/>
      <c r="H5" s="6"/>
      <c r="I5" s="6">
        <f t="shared" si="1"/>
        <v>0</v>
      </c>
      <c r="J5" s="6"/>
      <c r="K5" s="7">
        <f t="shared" ref="K5:K7" si="4">B5-C5-D5-E5-F5-I5+J5-G5</f>
        <v>908695</v>
      </c>
      <c r="L5" s="3">
        <f t="shared" si="3"/>
        <v>302898.3333</v>
      </c>
    </row>
    <row r="6" ht="15.75" customHeight="1">
      <c r="A6" s="3" t="s">
        <v>49</v>
      </c>
      <c r="B6" s="4">
        <v>700000.0</v>
      </c>
      <c r="C6" s="4">
        <v>300000.0</v>
      </c>
      <c r="D6" s="3">
        <v>400000.0</v>
      </c>
      <c r="E6" s="6"/>
      <c r="F6" s="6"/>
      <c r="G6" s="6"/>
      <c r="H6" s="6"/>
      <c r="I6" s="6"/>
      <c r="J6" s="6"/>
      <c r="K6" s="7">
        <f t="shared" si="4"/>
        <v>0</v>
      </c>
      <c r="L6" s="3">
        <v>23809.5</v>
      </c>
    </row>
    <row r="7" ht="15.75" customHeight="1">
      <c r="A7" s="3" t="s">
        <v>15</v>
      </c>
      <c r="B7" s="35">
        <v>150000.0</v>
      </c>
      <c r="C7" s="4"/>
      <c r="D7" s="6"/>
      <c r="E7" s="6"/>
      <c r="F7" s="6"/>
      <c r="G7" s="6"/>
      <c r="H7" s="6"/>
      <c r="I7" s="6">
        <f t="shared" ref="I7:I12" si="5">L7*D45</f>
        <v>0</v>
      </c>
      <c r="J7" s="36">
        <v>30000.0</v>
      </c>
      <c r="K7" s="7">
        <f t="shared" si="4"/>
        <v>180000</v>
      </c>
      <c r="L7" s="3">
        <f t="shared" ref="L7:L11" si="6">B7/B45</f>
        <v>5769.230769</v>
      </c>
    </row>
    <row r="8" ht="18.0" customHeight="1">
      <c r="A8" s="3" t="s">
        <v>67</v>
      </c>
      <c r="B8" s="4">
        <v>300000.0</v>
      </c>
      <c r="C8" s="4"/>
      <c r="D8" s="6"/>
      <c r="E8" s="6"/>
      <c r="F8" s="6"/>
      <c r="G8" s="6"/>
      <c r="H8" s="6"/>
      <c r="I8" s="6">
        <f t="shared" si="5"/>
        <v>0</v>
      </c>
      <c r="J8" s="6"/>
      <c r="K8" s="7">
        <f>B8-C8-D8-E8-F8-I8+J8-G8*4%</f>
        <v>300000</v>
      </c>
      <c r="L8" s="3">
        <f t="shared" si="6"/>
        <v>11538.46154</v>
      </c>
    </row>
    <row r="9" ht="15.0" customHeight="1">
      <c r="A9" s="3" t="s">
        <v>18</v>
      </c>
      <c r="B9" s="4">
        <v>250000.0</v>
      </c>
      <c r="C9" s="4">
        <v>20000.0</v>
      </c>
      <c r="D9" s="6"/>
      <c r="E9" s="6"/>
      <c r="F9" s="6"/>
      <c r="G9" s="6"/>
      <c r="H9" s="6"/>
      <c r="I9" s="6">
        <f t="shared" si="5"/>
        <v>0</v>
      </c>
      <c r="J9" s="37">
        <f>IFERROR(__xludf.DUMMYFUNCTION("IMPORTRANGE(""https://docs.google.com/spreadsheets/d/1JJd44_6b1hsmD6e8liei_zzkkh-GYab6gE4K23IJPVI/edit?gid=0#gid=0&amp;range=J95"",""'Лист1'!J128"")"),302419.6150000021)</f>
        <v>302419.615</v>
      </c>
      <c r="K9" s="7">
        <f t="shared" ref="K9:K31" si="7">B9-C9-D9-E9-F9-I9+J9-G9</f>
        <v>532419.615</v>
      </c>
      <c r="L9" s="3">
        <f t="shared" si="6"/>
        <v>9615.384615</v>
      </c>
    </row>
    <row r="10" ht="15.75" customHeight="1">
      <c r="A10" s="3" t="s">
        <v>37</v>
      </c>
      <c r="B10" s="4">
        <v>200000.0</v>
      </c>
      <c r="C10" s="4">
        <v>100000.0</v>
      </c>
      <c r="D10" s="6"/>
      <c r="E10" s="6"/>
      <c r="F10" s="6"/>
      <c r="G10" s="6"/>
      <c r="H10" s="6"/>
      <c r="I10" s="6">
        <f t="shared" si="5"/>
        <v>0</v>
      </c>
      <c r="J10" s="6"/>
      <c r="K10" s="7">
        <f t="shared" si="7"/>
        <v>100000</v>
      </c>
      <c r="L10" s="3">
        <f t="shared" si="6"/>
        <v>7692.307692</v>
      </c>
    </row>
    <row r="11" ht="15.75" customHeight="1">
      <c r="A11" s="3" t="s">
        <v>54</v>
      </c>
      <c r="B11" s="4">
        <v>250000.0</v>
      </c>
      <c r="C11" s="4">
        <v>310000.0</v>
      </c>
      <c r="D11" s="3">
        <v>100000.0</v>
      </c>
      <c r="E11" s="3"/>
      <c r="F11" s="6"/>
      <c r="G11" s="3">
        <v>3000.0</v>
      </c>
      <c r="H11" s="6"/>
      <c r="I11" s="6">
        <f t="shared" si="5"/>
        <v>9615.384615</v>
      </c>
      <c r="J11" s="37">
        <f>IFERROR(__xludf.DUMMYFUNCTION("IMPORTRANGE(""https://docs.google.com/spreadsheets/d/1JJd44_6b1hsmD6e8liei_zzkkh-GYab6gE4K23IJPVI/edit?gid=0#gid=0&amp;range=J95"",""'Лист1'!J120"")"),453629.4224999994)</f>
        <v>453629.4225</v>
      </c>
      <c r="K11" s="7">
        <f t="shared" si="7"/>
        <v>281014.0379</v>
      </c>
      <c r="L11" s="3">
        <f t="shared" si="6"/>
        <v>9615.384615</v>
      </c>
    </row>
    <row r="12" ht="15.75" customHeight="1">
      <c r="A12" s="3" t="s">
        <v>90</v>
      </c>
      <c r="B12" s="35">
        <v>31350.0</v>
      </c>
      <c r="C12" s="4"/>
      <c r="D12" s="6"/>
      <c r="E12" s="3"/>
      <c r="F12" s="6"/>
      <c r="G12" s="6"/>
      <c r="H12" s="6"/>
      <c r="I12" s="6">
        <f t="shared" si="5"/>
        <v>0</v>
      </c>
      <c r="J12" s="38">
        <v>10350.0</v>
      </c>
      <c r="K12" s="7">
        <f t="shared" si="7"/>
        <v>41700</v>
      </c>
      <c r="L12" s="3">
        <v>4000.0</v>
      </c>
    </row>
    <row r="13" ht="15.75" customHeight="1">
      <c r="A13" s="3" t="s">
        <v>19</v>
      </c>
      <c r="B13" s="4">
        <v>81600.0</v>
      </c>
      <c r="C13" s="4">
        <v>280000.0</v>
      </c>
      <c r="D13" s="6"/>
      <c r="E13" s="6"/>
      <c r="F13" s="6"/>
      <c r="G13" s="3">
        <v>3000.0</v>
      </c>
      <c r="H13" s="3">
        <v>6000.0</v>
      </c>
      <c r="I13" s="6">
        <f>L13*D50</f>
        <v>0</v>
      </c>
      <c r="J13" s="14">
        <f>IFERROR(__xludf.DUMMYFUNCTION("IMPORTRANGE(""https://docs.google.com/spreadsheets/d/1JJd44_6b1hsmD6e8liei_zzkkh-GYab6gE4K23IJPVI/edit?gid=0#gid=0&amp;range=L58"",""'Лист1'!L114"")"),855647.1)</f>
        <v>855647.1</v>
      </c>
      <c r="K13" s="7">
        <f t="shared" si="7"/>
        <v>654247.1</v>
      </c>
      <c r="L13" s="3">
        <f t="shared" ref="L13:L28" si="8">B13/B50</f>
        <v>3138.461538</v>
      </c>
    </row>
    <row r="14" ht="15.75" customHeight="1">
      <c r="A14" s="3" t="s">
        <v>21</v>
      </c>
      <c r="B14" s="4">
        <v>81600.0</v>
      </c>
      <c r="C14" s="4">
        <v>81600.0</v>
      </c>
      <c r="D14" s="5"/>
      <c r="E14" s="5"/>
      <c r="F14" s="5"/>
      <c r="G14" s="5"/>
      <c r="H14" s="3"/>
      <c r="I14" s="6"/>
      <c r="J14" s="39"/>
      <c r="K14" s="7">
        <f t="shared" si="7"/>
        <v>0</v>
      </c>
      <c r="L14" s="3">
        <f t="shared" si="8"/>
        <v>3138.461538</v>
      </c>
    </row>
    <row r="15" ht="15.75" customHeight="1">
      <c r="A15" s="3" t="s">
        <v>22</v>
      </c>
      <c r="B15" s="4">
        <v>81600.0</v>
      </c>
      <c r="C15" s="4">
        <v>310000.0</v>
      </c>
      <c r="D15" s="3">
        <v>81600.0</v>
      </c>
      <c r="E15" s="36">
        <v>10000.0</v>
      </c>
      <c r="F15" s="6"/>
      <c r="G15" s="3">
        <v>3000.0</v>
      </c>
      <c r="H15" s="3">
        <v>35000.0</v>
      </c>
      <c r="I15" s="6">
        <f t="shared" ref="I15:I28" si="9">L15*D52</f>
        <v>0</v>
      </c>
      <c r="J15" s="39">
        <f>IFERROR(__xludf.DUMMYFUNCTION("IMPORTRANGE(""https://docs.google.com/spreadsheets/d/1JJd44_6b1hsmD6e8liei_zzkkh-GYab6gE4K23IJPVI/edit?gid=0#gid=0&amp;range=L58"",""'Лист1'!AI114"") "),511784.2125)</f>
        <v>511784.2125</v>
      </c>
      <c r="K15" s="7">
        <f t="shared" si="7"/>
        <v>188784.2125</v>
      </c>
      <c r="L15" s="3">
        <f t="shared" si="8"/>
        <v>3138.461538</v>
      </c>
    </row>
    <row r="16" ht="15.75" customHeight="1">
      <c r="A16" s="3" t="s">
        <v>91</v>
      </c>
      <c r="B16" s="4">
        <v>100000.0</v>
      </c>
      <c r="C16" s="4"/>
      <c r="D16" s="6"/>
      <c r="E16" s="6"/>
      <c r="F16" s="6"/>
      <c r="G16" s="36">
        <v>2000.0</v>
      </c>
      <c r="H16" s="6"/>
      <c r="I16" s="6">
        <f t="shared" si="9"/>
        <v>0</v>
      </c>
      <c r="J16" s="39">
        <f>IFERROR(__xludf.DUMMYFUNCTION("IMPORTRANGE(""https://docs.google.com/spreadsheets/d/1JJd44_6b1hsmD6e8liei_zzkkh-GYab6gE4K23IJPVI/edit?gid=0#gid=0&amp;range=L58"",""'Лист1'!BG114"")+21600"),117858.375)</f>
        <v>117858.375</v>
      </c>
      <c r="K16" s="7">
        <f t="shared" si="7"/>
        <v>215858.375</v>
      </c>
      <c r="L16" s="3">
        <f t="shared" si="8"/>
        <v>3846.153846</v>
      </c>
    </row>
    <row r="17" ht="15.75" customHeight="1">
      <c r="A17" s="3" t="s">
        <v>92</v>
      </c>
      <c r="B17" s="4">
        <v>200000.0</v>
      </c>
      <c r="C17" s="4"/>
      <c r="D17" s="6"/>
      <c r="E17" s="6"/>
      <c r="F17" s="6"/>
      <c r="G17" s="6"/>
      <c r="H17" s="6"/>
      <c r="I17" s="6">
        <f t="shared" si="9"/>
        <v>0</v>
      </c>
      <c r="J17" s="26"/>
      <c r="K17" s="7">
        <f t="shared" si="7"/>
        <v>200000</v>
      </c>
      <c r="L17" s="3">
        <f t="shared" si="8"/>
        <v>7692.307692</v>
      </c>
    </row>
    <row r="18" ht="15.75" customHeight="1">
      <c r="A18" s="3" t="s">
        <v>93</v>
      </c>
      <c r="B18" s="4">
        <v>100000.0</v>
      </c>
      <c r="C18" s="4">
        <v>100000.0</v>
      </c>
      <c r="D18" s="6"/>
      <c r="E18" s="6"/>
      <c r="F18" s="6"/>
      <c r="G18" s="6"/>
      <c r="H18" s="6"/>
      <c r="I18" s="6">
        <f t="shared" si="9"/>
        <v>0</v>
      </c>
      <c r="J18" s="26"/>
      <c r="K18" s="7">
        <f t="shared" si="7"/>
        <v>0</v>
      </c>
      <c r="L18" s="3">
        <f t="shared" si="8"/>
        <v>3846.153846</v>
      </c>
    </row>
    <row r="19" ht="16.5" customHeight="1">
      <c r="A19" s="3" t="s">
        <v>39</v>
      </c>
      <c r="B19" s="35">
        <v>250000.0</v>
      </c>
      <c r="C19" s="4"/>
      <c r="D19" s="6"/>
      <c r="E19" s="6"/>
      <c r="F19" s="6"/>
      <c r="G19" s="6"/>
      <c r="H19" s="6"/>
      <c r="I19" s="6">
        <f t="shared" si="9"/>
        <v>0</v>
      </c>
      <c r="J19" s="27"/>
      <c r="K19" s="7">
        <f t="shared" si="7"/>
        <v>250000</v>
      </c>
      <c r="L19" s="3">
        <f t="shared" si="8"/>
        <v>10869.56522</v>
      </c>
    </row>
    <row r="20">
      <c r="A20" s="3" t="s">
        <v>71</v>
      </c>
      <c r="B20" s="4">
        <v>150000.0</v>
      </c>
      <c r="C20" s="4">
        <v>150000.0</v>
      </c>
      <c r="D20" s="6"/>
      <c r="E20" s="6"/>
      <c r="F20" s="3"/>
      <c r="G20" s="3"/>
      <c r="H20" s="3"/>
      <c r="I20" s="6">
        <f t="shared" si="9"/>
        <v>0</v>
      </c>
      <c r="J20" s="27"/>
      <c r="K20" s="7">
        <f t="shared" si="7"/>
        <v>0</v>
      </c>
      <c r="L20" s="3">
        <f t="shared" si="8"/>
        <v>5769.230769</v>
      </c>
    </row>
    <row r="21" ht="15.75" customHeight="1">
      <c r="A21" s="3" t="s">
        <v>41</v>
      </c>
      <c r="B21" s="4">
        <v>200000.0</v>
      </c>
      <c r="C21" s="4"/>
      <c r="D21" s="6"/>
      <c r="E21" s="6"/>
      <c r="F21" s="6"/>
      <c r="G21" s="6"/>
      <c r="H21" s="6"/>
      <c r="I21" s="6">
        <f t="shared" si="9"/>
        <v>0</v>
      </c>
      <c r="J21" s="27"/>
      <c r="K21" s="7">
        <f t="shared" si="7"/>
        <v>200000</v>
      </c>
      <c r="L21" s="3">
        <f t="shared" si="8"/>
        <v>7692.307692</v>
      </c>
    </row>
    <row r="22" ht="15.75" customHeight="1">
      <c r="A22" s="3" t="s">
        <v>72</v>
      </c>
      <c r="B22" s="4">
        <v>250000.0</v>
      </c>
      <c r="C22" s="4">
        <v>125000.0</v>
      </c>
      <c r="D22" s="3"/>
      <c r="E22" s="6"/>
      <c r="F22" s="6"/>
      <c r="G22" s="3">
        <v>2000.0</v>
      </c>
      <c r="H22" s="6"/>
      <c r="I22" s="6">
        <f t="shared" si="9"/>
        <v>0</v>
      </c>
      <c r="J22" s="26"/>
      <c r="K22" s="7">
        <f t="shared" si="7"/>
        <v>123000</v>
      </c>
      <c r="L22" s="3">
        <f t="shared" si="8"/>
        <v>11363.63636</v>
      </c>
    </row>
    <row r="23" ht="15.75" customHeight="1">
      <c r="A23" s="3" t="s">
        <v>73</v>
      </c>
      <c r="B23" s="4">
        <v>250000.0</v>
      </c>
      <c r="C23" s="4">
        <v>20000.0</v>
      </c>
      <c r="D23" s="6"/>
      <c r="E23" s="6"/>
      <c r="F23" s="6"/>
      <c r="G23" s="3">
        <v>3000.0</v>
      </c>
      <c r="H23" s="6"/>
      <c r="I23" s="6">
        <f t="shared" si="9"/>
        <v>4807.692308</v>
      </c>
      <c r="J23" s="27"/>
      <c r="K23" s="7">
        <f t="shared" si="7"/>
        <v>222192.3077</v>
      </c>
      <c r="L23" s="3">
        <f t="shared" si="8"/>
        <v>9615.384615</v>
      </c>
    </row>
    <row r="24" ht="15.75" customHeight="1">
      <c r="A24" s="3" t="s">
        <v>52</v>
      </c>
      <c r="B24" s="4">
        <v>250000.0</v>
      </c>
      <c r="C24" s="4"/>
      <c r="D24" s="6"/>
      <c r="E24" s="6"/>
      <c r="F24" s="6"/>
      <c r="G24" s="6"/>
      <c r="H24" s="6"/>
      <c r="I24" s="6">
        <f t="shared" si="9"/>
        <v>0</v>
      </c>
      <c r="J24" s="27"/>
      <c r="K24" s="7">
        <f t="shared" si="7"/>
        <v>250000</v>
      </c>
      <c r="L24" s="3">
        <f t="shared" si="8"/>
        <v>11363.63636</v>
      </c>
    </row>
    <row r="25" ht="15.75" customHeight="1">
      <c r="A25" s="3" t="s">
        <v>53</v>
      </c>
      <c r="B25" s="4">
        <v>200000.0</v>
      </c>
      <c r="C25" s="4"/>
      <c r="D25" s="6"/>
      <c r="E25" s="6"/>
      <c r="F25" s="6"/>
      <c r="G25" s="36">
        <v>3000.0</v>
      </c>
      <c r="H25" s="6"/>
      <c r="I25" s="6">
        <f t="shared" si="9"/>
        <v>0</v>
      </c>
      <c r="J25" s="26"/>
      <c r="K25" s="7">
        <f t="shared" si="7"/>
        <v>197000</v>
      </c>
      <c r="L25" s="3">
        <f t="shared" si="8"/>
        <v>9090.909091</v>
      </c>
    </row>
    <row r="26" ht="15.75" customHeight="1">
      <c r="A26" s="40" t="s">
        <v>74</v>
      </c>
      <c r="B26" s="4">
        <v>250000.0</v>
      </c>
      <c r="C26" s="4">
        <v>150000.0</v>
      </c>
      <c r="D26" s="6"/>
      <c r="E26" s="6"/>
      <c r="F26" s="6"/>
      <c r="G26" s="3">
        <v>2000.0</v>
      </c>
      <c r="H26" s="6"/>
      <c r="I26" s="6">
        <f t="shared" si="9"/>
        <v>11363.63636</v>
      </c>
      <c r="J26" s="36">
        <v>13364.0</v>
      </c>
      <c r="K26" s="7">
        <f t="shared" si="7"/>
        <v>100000.3636</v>
      </c>
      <c r="L26" s="3">
        <f t="shared" si="8"/>
        <v>11363.63636</v>
      </c>
    </row>
    <row r="27" ht="15.75" customHeight="1">
      <c r="A27" s="3" t="s">
        <v>75</v>
      </c>
      <c r="B27" s="4">
        <v>150000.0</v>
      </c>
      <c r="C27" s="4"/>
      <c r="D27" s="6"/>
      <c r="E27" s="6"/>
      <c r="F27" s="6"/>
      <c r="G27" s="6"/>
      <c r="H27" s="6"/>
      <c r="I27" s="6">
        <f t="shared" si="9"/>
        <v>0</v>
      </c>
      <c r="J27" s="6"/>
      <c r="K27" s="7">
        <f t="shared" si="7"/>
        <v>150000</v>
      </c>
      <c r="L27" s="3">
        <f t="shared" si="8"/>
        <v>18750</v>
      </c>
    </row>
    <row r="28" ht="15.75" customHeight="1">
      <c r="A28" s="3" t="s">
        <v>94</v>
      </c>
      <c r="B28" s="4"/>
      <c r="C28" s="4"/>
      <c r="D28" s="6"/>
      <c r="E28" s="6"/>
      <c r="F28" s="6"/>
      <c r="G28" s="6"/>
      <c r="H28" s="6"/>
      <c r="I28" s="6">
        <f t="shared" si="9"/>
        <v>0</v>
      </c>
      <c r="J28" s="6"/>
      <c r="K28" s="7">
        <f t="shared" si="7"/>
        <v>0</v>
      </c>
      <c r="L28" s="3">
        <f t="shared" si="8"/>
        <v>0</v>
      </c>
    </row>
    <row r="29" ht="15.75" customHeight="1">
      <c r="A29" s="3" t="s">
        <v>70</v>
      </c>
      <c r="B29" s="4">
        <v>70000.0</v>
      </c>
      <c r="C29" s="4">
        <v>40000.0</v>
      </c>
      <c r="D29" s="6"/>
      <c r="E29" s="6"/>
      <c r="F29" s="6"/>
      <c r="G29" s="6"/>
      <c r="H29" s="6"/>
      <c r="I29" s="6">
        <f>L29*D67</f>
        <v>0</v>
      </c>
      <c r="J29" s="6"/>
      <c r="K29" s="7">
        <f t="shared" si="7"/>
        <v>30000</v>
      </c>
      <c r="L29" s="3">
        <f>B29/B67</f>
        <v>3181.818182</v>
      </c>
    </row>
    <row r="30" ht="15.75" customHeight="1">
      <c r="A30" s="3" t="s">
        <v>76</v>
      </c>
      <c r="B30" s="4">
        <v>170000.0</v>
      </c>
      <c r="C30" s="4"/>
      <c r="D30" s="6"/>
      <c r="E30" s="6"/>
      <c r="F30" s="6"/>
      <c r="G30" s="6"/>
      <c r="H30" s="6"/>
      <c r="I30" s="6"/>
      <c r="J30" s="6"/>
      <c r="K30" s="7">
        <f t="shared" si="7"/>
        <v>170000</v>
      </c>
      <c r="L30" s="3">
        <f>B30/B66</f>
        <v>6538.461538</v>
      </c>
    </row>
    <row r="31" ht="15.75" customHeight="1">
      <c r="A31" s="3" t="s">
        <v>95</v>
      </c>
      <c r="B31" s="4">
        <v>250000.0</v>
      </c>
      <c r="C31" s="4"/>
      <c r="D31" s="6"/>
      <c r="E31" s="6"/>
      <c r="F31" s="6"/>
      <c r="G31" s="6"/>
      <c r="H31" s="6"/>
      <c r="I31" s="6">
        <f>L31*D68</f>
        <v>90909.09091</v>
      </c>
      <c r="J31" s="6"/>
      <c r="K31" s="7">
        <f t="shared" si="7"/>
        <v>159090.9091</v>
      </c>
      <c r="L31" s="3">
        <f>B31/B68</f>
        <v>11363.63636</v>
      </c>
    </row>
    <row r="32" ht="15.75" customHeight="1">
      <c r="A32" s="3"/>
      <c r="B32" s="4"/>
      <c r="C32" s="4"/>
      <c r="D32" s="6"/>
      <c r="E32" s="6"/>
      <c r="F32" s="6"/>
      <c r="G32" s="6"/>
      <c r="H32" s="6"/>
      <c r="I32" s="6"/>
      <c r="J32" s="6"/>
      <c r="K32" s="5"/>
      <c r="L32" s="6"/>
    </row>
    <row r="33" ht="15.75" customHeight="1">
      <c r="A33" s="3" t="s">
        <v>26</v>
      </c>
      <c r="B33" s="6"/>
      <c r="C33" s="6"/>
      <c r="D33" s="6"/>
      <c r="E33" s="6"/>
      <c r="F33" s="6"/>
      <c r="G33" s="6"/>
      <c r="H33" s="6"/>
      <c r="I33" s="6"/>
      <c r="J33" s="6"/>
      <c r="K33" s="22">
        <f>SUM(K2:K31)</f>
        <v>6181923.921</v>
      </c>
      <c r="L33" s="28">
        <f>SUM(L2:L28)</f>
        <v>631279.2335</v>
      </c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ht="15.75" customHeight="1">
      <c r="A39" s="3" t="s">
        <v>79</v>
      </c>
      <c r="B39" s="29" t="s">
        <v>28</v>
      </c>
      <c r="C39" s="30" t="s">
        <v>29</v>
      </c>
      <c r="D39" s="31" t="s">
        <v>80</v>
      </c>
      <c r="E39" s="3" t="s">
        <v>81</v>
      </c>
      <c r="F39" s="9"/>
      <c r="G39" s="9"/>
      <c r="H39" s="9"/>
      <c r="I39" s="9"/>
      <c r="J39" s="9"/>
      <c r="K39" s="9"/>
    </row>
    <row r="40" ht="15.75" customHeight="1">
      <c r="A40" s="3" t="s">
        <v>11</v>
      </c>
      <c r="B40" s="3">
        <v>26.0</v>
      </c>
      <c r="C40" s="3">
        <f t="shared" ref="C40:C57" si="10">B40-D40</f>
        <v>26</v>
      </c>
      <c r="D40" s="6"/>
      <c r="E40" s="32">
        <v>45297.0</v>
      </c>
      <c r="F40" s="9"/>
      <c r="G40" s="9"/>
      <c r="H40" s="9"/>
      <c r="I40" s="9"/>
      <c r="J40" s="9"/>
      <c r="K40" s="9"/>
    </row>
    <row r="41" ht="15.75" customHeight="1">
      <c r="A41" s="3" t="s">
        <v>12</v>
      </c>
      <c r="B41" s="3">
        <v>26.0</v>
      </c>
      <c r="C41" s="3">
        <f t="shared" si="10"/>
        <v>26</v>
      </c>
      <c r="D41" s="6"/>
      <c r="E41" s="32">
        <v>45297.0</v>
      </c>
      <c r="F41" s="9"/>
      <c r="G41" s="9"/>
      <c r="H41" s="9"/>
      <c r="I41" s="9"/>
      <c r="J41" s="9"/>
      <c r="K41" s="9"/>
    </row>
    <row r="42" ht="15.75" customHeight="1">
      <c r="A42" s="3" t="s">
        <v>13</v>
      </c>
      <c r="B42" s="36">
        <v>23.0</v>
      </c>
      <c r="C42" s="3">
        <f t="shared" si="10"/>
        <v>23</v>
      </c>
      <c r="D42" s="6"/>
      <c r="E42" s="32">
        <v>45327.0</v>
      </c>
      <c r="F42" s="9"/>
      <c r="G42" s="9"/>
      <c r="H42" s="9"/>
      <c r="I42" s="9"/>
      <c r="J42" s="9"/>
      <c r="K42" s="9"/>
    </row>
    <row r="43" ht="15.75" customHeight="1">
      <c r="A43" s="3" t="s">
        <v>14</v>
      </c>
      <c r="B43" s="36">
        <v>3.0</v>
      </c>
      <c r="C43" s="3">
        <f t="shared" si="10"/>
        <v>3</v>
      </c>
      <c r="D43" s="3"/>
      <c r="E43" s="32">
        <v>45327.0</v>
      </c>
      <c r="F43" s="9"/>
      <c r="G43" s="9"/>
      <c r="H43" s="9"/>
      <c r="I43" s="9"/>
      <c r="J43" s="9"/>
      <c r="K43" s="9"/>
    </row>
    <row r="44" ht="15.75" customHeight="1">
      <c r="A44" s="3" t="s">
        <v>49</v>
      </c>
      <c r="B44" s="3">
        <v>22.0</v>
      </c>
      <c r="C44" s="3">
        <f t="shared" si="10"/>
        <v>21</v>
      </c>
      <c r="D44" s="3">
        <v>1.0</v>
      </c>
      <c r="E44" s="32">
        <v>45327.0</v>
      </c>
    </row>
    <row r="45" ht="15.75" customHeight="1">
      <c r="A45" s="3" t="s">
        <v>15</v>
      </c>
      <c r="B45" s="3">
        <v>26.0</v>
      </c>
      <c r="C45" s="3">
        <f t="shared" si="10"/>
        <v>26</v>
      </c>
      <c r="D45" s="6"/>
      <c r="E45" s="32">
        <v>45297.0</v>
      </c>
      <c r="F45" s="9"/>
      <c r="G45" s="9"/>
      <c r="H45" s="9"/>
      <c r="I45" s="9"/>
      <c r="J45" s="9"/>
      <c r="K45" s="9"/>
    </row>
    <row r="46" ht="15.75" customHeight="1">
      <c r="A46" s="3" t="s">
        <v>67</v>
      </c>
      <c r="B46" s="3">
        <v>26.0</v>
      </c>
      <c r="C46" s="3">
        <f t="shared" si="10"/>
        <v>26</v>
      </c>
      <c r="D46" s="3"/>
      <c r="E46" s="32">
        <v>45297.0</v>
      </c>
      <c r="F46" s="9"/>
      <c r="G46" s="9"/>
      <c r="H46" s="9"/>
      <c r="I46" s="9"/>
      <c r="J46" s="9"/>
      <c r="K46" s="9"/>
    </row>
    <row r="47" ht="15.75" customHeight="1">
      <c r="A47" s="3" t="s">
        <v>18</v>
      </c>
      <c r="B47" s="3">
        <v>26.0</v>
      </c>
      <c r="C47" s="3">
        <f t="shared" si="10"/>
        <v>26</v>
      </c>
      <c r="D47" s="6"/>
      <c r="E47" s="32">
        <v>45297.0</v>
      </c>
      <c r="F47" s="9"/>
      <c r="G47" s="9"/>
      <c r="H47" s="9"/>
      <c r="I47" s="9"/>
      <c r="J47" s="9"/>
      <c r="K47" s="9"/>
    </row>
    <row r="48" ht="15.75" customHeight="1">
      <c r="A48" s="3" t="s">
        <v>37</v>
      </c>
      <c r="B48" s="3">
        <v>26.0</v>
      </c>
      <c r="C48" s="3">
        <f t="shared" si="10"/>
        <v>26</v>
      </c>
      <c r="D48" s="6"/>
      <c r="E48" s="32">
        <v>45297.0</v>
      </c>
      <c r="F48" s="9"/>
      <c r="G48" s="9"/>
      <c r="H48" s="9"/>
      <c r="I48" s="9"/>
      <c r="J48" s="9"/>
      <c r="K48" s="9"/>
    </row>
    <row r="49" ht="15.75" customHeight="1">
      <c r="A49" s="3" t="s">
        <v>54</v>
      </c>
      <c r="B49" s="3">
        <v>26.0</v>
      </c>
      <c r="C49" s="3">
        <f t="shared" si="10"/>
        <v>25</v>
      </c>
      <c r="D49" s="33">
        <v>1.0</v>
      </c>
      <c r="E49" s="32">
        <v>45297.0</v>
      </c>
    </row>
    <row r="50" ht="15.75" customHeight="1">
      <c r="A50" s="3" t="s">
        <v>19</v>
      </c>
      <c r="B50" s="3">
        <v>26.0</v>
      </c>
      <c r="C50" s="3">
        <f t="shared" si="10"/>
        <v>26</v>
      </c>
      <c r="D50" s="6"/>
      <c r="E50" s="32">
        <v>45297.0</v>
      </c>
      <c r="F50" s="9"/>
      <c r="G50" s="9"/>
      <c r="H50" s="9"/>
      <c r="I50" s="9"/>
      <c r="J50" s="9"/>
      <c r="K50" s="9"/>
    </row>
    <row r="51" ht="15.75" customHeight="1">
      <c r="A51" s="3" t="s">
        <v>21</v>
      </c>
      <c r="B51" s="3">
        <v>26.0</v>
      </c>
      <c r="C51" s="3">
        <f t="shared" si="10"/>
        <v>8</v>
      </c>
      <c r="D51" s="3">
        <v>18.0</v>
      </c>
      <c r="E51" s="32">
        <v>45297.0</v>
      </c>
      <c r="F51" s="9"/>
      <c r="G51" s="9"/>
      <c r="H51" s="9"/>
      <c r="I51" s="9"/>
      <c r="J51" s="9"/>
      <c r="K51" s="9"/>
    </row>
    <row r="52" ht="15.75" customHeight="1">
      <c r="A52" s="3" t="s">
        <v>22</v>
      </c>
      <c r="B52" s="3">
        <v>26.0</v>
      </c>
      <c r="C52" s="3">
        <f t="shared" si="10"/>
        <v>26</v>
      </c>
      <c r="D52" s="3"/>
      <c r="E52" s="32">
        <v>45297.0</v>
      </c>
      <c r="F52" s="9"/>
      <c r="G52" s="9"/>
      <c r="H52" s="9"/>
      <c r="I52" s="9"/>
      <c r="J52" s="9"/>
      <c r="K52" s="9"/>
    </row>
    <row r="53" ht="15.75" customHeight="1">
      <c r="A53" s="36" t="s">
        <v>91</v>
      </c>
      <c r="B53" s="3">
        <v>26.0</v>
      </c>
      <c r="C53" s="3">
        <f t="shared" si="10"/>
        <v>26</v>
      </c>
      <c r="D53" s="33"/>
      <c r="E53" s="32">
        <v>45297.0</v>
      </c>
      <c r="F53" s="2" t="s">
        <v>82</v>
      </c>
      <c r="G53" s="2"/>
      <c r="H53" s="2"/>
    </row>
    <row r="54" ht="15.75" customHeight="1">
      <c r="A54" s="3" t="s">
        <v>96</v>
      </c>
      <c r="B54" s="3">
        <v>26.0</v>
      </c>
      <c r="C54" s="3">
        <f t="shared" si="10"/>
        <v>26</v>
      </c>
      <c r="D54" s="3"/>
      <c r="E54" s="32">
        <v>45297.0</v>
      </c>
      <c r="F54" s="9"/>
      <c r="G54" s="9"/>
      <c r="H54" s="9"/>
      <c r="I54" s="9"/>
      <c r="J54" s="9"/>
      <c r="K54" s="9"/>
    </row>
    <row r="55" ht="15.75" customHeight="1">
      <c r="A55" s="3" t="s">
        <v>97</v>
      </c>
      <c r="B55" s="3">
        <v>26.0</v>
      </c>
      <c r="C55" s="3">
        <f t="shared" si="10"/>
        <v>26</v>
      </c>
      <c r="D55" s="3"/>
      <c r="E55" s="32">
        <v>45297.0</v>
      </c>
      <c r="F55" s="9"/>
      <c r="G55" s="9"/>
      <c r="H55" s="9"/>
      <c r="I55" s="9"/>
      <c r="J55" s="9"/>
      <c r="K55" s="9"/>
    </row>
    <row r="56" ht="15.75" customHeight="1">
      <c r="A56" s="3" t="s">
        <v>39</v>
      </c>
      <c r="B56" s="3">
        <v>23.0</v>
      </c>
      <c r="C56" s="3">
        <f t="shared" si="10"/>
        <v>23</v>
      </c>
      <c r="D56" s="6"/>
      <c r="E56" s="3" t="s">
        <v>84</v>
      </c>
      <c r="F56" s="9"/>
      <c r="G56" s="9"/>
      <c r="H56" s="9"/>
      <c r="I56" s="9"/>
      <c r="J56" s="9"/>
      <c r="K56" s="9"/>
    </row>
    <row r="57" ht="15.75" customHeight="1">
      <c r="A57" s="3" t="s">
        <v>71</v>
      </c>
      <c r="B57" s="3">
        <v>26.0</v>
      </c>
      <c r="C57" s="3">
        <f t="shared" si="10"/>
        <v>26</v>
      </c>
      <c r="D57" s="6"/>
      <c r="E57" s="32">
        <v>45297.0</v>
      </c>
      <c r="F57" s="9"/>
      <c r="G57" s="9"/>
      <c r="H57" s="9"/>
      <c r="I57" s="9"/>
      <c r="J57" s="9"/>
      <c r="K57" s="9"/>
    </row>
    <row r="58" ht="15.75" customHeight="1">
      <c r="A58" s="3" t="s">
        <v>41</v>
      </c>
      <c r="B58" s="3">
        <v>26.0</v>
      </c>
      <c r="C58" s="3">
        <v>25.0</v>
      </c>
      <c r="D58" s="6"/>
      <c r="E58" s="3" t="s">
        <v>85</v>
      </c>
      <c r="F58" s="9"/>
      <c r="G58" s="9"/>
      <c r="H58" s="9"/>
      <c r="I58" s="9"/>
      <c r="J58" s="9"/>
      <c r="K58" s="9"/>
    </row>
    <row r="59" ht="15.75" customHeight="1">
      <c r="A59" s="3" t="s">
        <v>86</v>
      </c>
      <c r="B59" s="3">
        <v>22.0</v>
      </c>
      <c r="C59" s="3">
        <f t="shared" ref="C59:C68" si="11">B59-D59</f>
        <v>22</v>
      </c>
      <c r="D59" s="33"/>
      <c r="E59" s="34">
        <v>45327.0</v>
      </c>
      <c r="F59" s="2" t="s">
        <v>87</v>
      </c>
      <c r="G59" s="2"/>
      <c r="H59" s="2"/>
    </row>
    <row r="60" ht="15.75" customHeight="1">
      <c r="A60" s="3" t="s">
        <v>88</v>
      </c>
      <c r="B60" s="3">
        <v>26.0</v>
      </c>
      <c r="C60" s="3">
        <f t="shared" si="11"/>
        <v>25.5</v>
      </c>
      <c r="D60" s="33">
        <v>0.5</v>
      </c>
      <c r="E60" s="32">
        <v>45297.0</v>
      </c>
    </row>
    <row r="61" ht="15.75" customHeight="1">
      <c r="A61" s="3" t="s">
        <v>52</v>
      </c>
      <c r="B61" s="3">
        <v>22.0</v>
      </c>
      <c r="C61" s="3">
        <f t="shared" si="11"/>
        <v>22</v>
      </c>
      <c r="D61" s="33"/>
      <c r="E61" s="32">
        <v>45327.0</v>
      </c>
    </row>
    <row r="62" ht="15.75" customHeight="1">
      <c r="A62" s="3" t="s">
        <v>53</v>
      </c>
      <c r="B62" s="3">
        <v>22.0</v>
      </c>
      <c r="C62" s="3">
        <f t="shared" si="11"/>
        <v>22</v>
      </c>
      <c r="D62" s="33"/>
      <c r="E62" s="32">
        <v>45327.0</v>
      </c>
    </row>
    <row r="63" ht="15.75" customHeight="1">
      <c r="A63" s="3" t="s">
        <v>74</v>
      </c>
      <c r="B63" s="3">
        <v>22.0</v>
      </c>
      <c r="C63" s="3">
        <f t="shared" si="11"/>
        <v>21</v>
      </c>
      <c r="D63" s="33">
        <v>1.0</v>
      </c>
      <c r="E63" s="32">
        <v>45327.0</v>
      </c>
    </row>
    <row r="64" ht="15.75" customHeight="1">
      <c r="A64" s="3" t="s">
        <v>75</v>
      </c>
      <c r="B64" s="3">
        <v>8.0</v>
      </c>
      <c r="C64" s="3">
        <f t="shared" si="11"/>
        <v>8</v>
      </c>
      <c r="D64" s="33"/>
      <c r="E64" s="3" t="s">
        <v>89</v>
      </c>
    </row>
    <row r="65" ht="15.75" customHeight="1">
      <c r="A65" s="3" t="s">
        <v>94</v>
      </c>
      <c r="B65" s="3">
        <v>26.0</v>
      </c>
      <c r="C65" s="3">
        <f t="shared" si="11"/>
        <v>8</v>
      </c>
      <c r="D65" s="33">
        <v>18.0</v>
      </c>
      <c r="E65" s="32">
        <v>45297.0</v>
      </c>
    </row>
    <row r="66" ht="15.75" customHeight="1">
      <c r="A66" s="36" t="s">
        <v>76</v>
      </c>
      <c r="B66" s="3">
        <v>26.0</v>
      </c>
      <c r="C66" s="3">
        <f t="shared" si="11"/>
        <v>26</v>
      </c>
      <c r="D66" s="33"/>
      <c r="E66" s="32">
        <v>45297.0</v>
      </c>
    </row>
    <row r="67" ht="15.75" customHeight="1">
      <c r="A67" s="3" t="s">
        <v>98</v>
      </c>
      <c r="B67" s="3">
        <v>22.0</v>
      </c>
      <c r="C67" s="3">
        <f t="shared" si="11"/>
        <v>22</v>
      </c>
      <c r="D67" s="33"/>
      <c r="E67" s="32">
        <v>45327.0</v>
      </c>
    </row>
    <row r="68" ht="15.75" customHeight="1">
      <c r="A68" s="3" t="s">
        <v>95</v>
      </c>
      <c r="B68" s="3">
        <v>22.0</v>
      </c>
      <c r="C68" s="3">
        <f t="shared" si="11"/>
        <v>14</v>
      </c>
      <c r="D68" s="41">
        <v>8.0</v>
      </c>
      <c r="E68" s="32">
        <v>45327.0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62</v>
      </c>
      <c r="H1" s="20" t="s">
        <v>63</v>
      </c>
      <c r="I1" s="20" t="s">
        <v>48</v>
      </c>
      <c r="J1" s="20" t="s">
        <v>64</v>
      </c>
      <c r="K1" s="20" t="s">
        <v>65</v>
      </c>
      <c r="L1" s="20" t="s">
        <v>66</v>
      </c>
    </row>
    <row r="2" ht="15.75" customHeight="1">
      <c r="A2" s="3" t="s">
        <v>11</v>
      </c>
      <c r="B2" s="4">
        <v>1250000.0</v>
      </c>
      <c r="C2" s="35">
        <v>300000.0</v>
      </c>
      <c r="D2" s="36">
        <v>100000.0</v>
      </c>
      <c r="E2" s="36">
        <v>150000.0</v>
      </c>
      <c r="F2" s="36">
        <v>300000.0</v>
      </c>
      <c r="G2" s="6"/>
      <c r="H2" s="6"/>
      <c r="I2" s="6">
        <f t="shared" ref="I2:I11" si="1">L2*D39</f>
        <v>0</v>
      </c>
      <c r="J2" s="6"/>
      <c r="K2" s="7">
        <f t="shared" ref="K2:K16" si="2">B2-C2-D2-E2-F2-I2+J2-G2</f>
        <v>400000</v>
      </c>
      <c r="L2" s="3">
        <f t="shared" ref="L2:L31" si="3">B2/B39</f>
        <v>48076.92308</v>
      </c>
    </row>
    <row r="3" ht="15.75" customHeight="1">
      <c r="A3" s="3" t="s">
        <v>12</v>
      </c>
      <c r="B3" s="4">
        <v>1250000.0</v>
      </c>
      <c r="C3" s="35">
        <v>50000.0</v>
      </c>
      <c r="D3" s="36">
        <v>150000.0</v>
      </c>
      <c r="E3" s="36">
        <v>200000.0</v>
      </c>
      <c r="F3" s="36">
        <v>450000.0</v>
      </c>
      <c r="G3" s="36"/>
      <c r="H3" s="6"/>
      <c r="I3" s="6">
        <f t="shared" si="1"/>
        <v>0</v>
      </c>
      <c r="J3" s="6"/>
      <c r="K3" s="7">
        <f t="shared" si="2"/>
        <v>400000</v>
      </c>
      <c r="L3" s="3">
        <f t="shared" si="3"/>
        <v>48076.92308</v>
      </c>
    </row>
    <row r="4" ht="15.75" customHeight="1">
      <c r="A4" s="3" t="s">
        <v>13</v>
      </c>
      <c r="B4" s="4">
        <v>1000000.0</v>
      </c>
      <c r="C4" s="4"/>
      <c r="D4" s="6"/>
      <c r="E4" s="6"/>
      <c r="F4" s="6"/>
      <c r="G4" s="36">
        <v>10000.0</v>
      </c>
      <c r="H4" s="6"/>
      <c r="I4" s="6">
        <f t="shared" si="1"/>
        <v>0</v>
      </c>
      <c r="J4" s="6"/>
      <c r="K4" s="7">
        <f t="shared" si="2"/>
        <v>990000</v>
      </c>
      <c r="L4" s="3">
        <f t="shared" si="3"/>
        <v>47619.04762</v>
      </c>
    </row>
    <row r="5" ht="15.75" customHeight="1">
      <c r="A5" s="3" t="s">
        <v>14</v>
      </c>
      <c r="B5" s="4">
        <v>1000000.0</v>
      </c>
      <c r="C5" s="4"/>
      <c r="D5" s="6"/>
      <c r="E5" s="6"/>
      <c r="F5" s="6"/>
      <c r="G5" s="36">
        <v>10000.0</v>
      </c>
      <c r="H5" s="6"/>
      <c r="I5" s="6">
        <f t="shared" si="1"/>
        <v>0</v>
      </c>
      <c r="J5" s="6"/>
      <c r="K5" s="7">
        <f t="shared" si="2"/>
        <v>990000</v>
      </c>
      <c r="L5" s="3">
        <f t="shared" si="3"/>
        <v>47619.04762</v>
      </c>
    </row>
    <row r="6" ht="15.75" customHeight="1" outlineLevel="1">
      <c r="A6" s="42" t="s">
        <v>53</v>
      </c>
      <c r="B6" s="4">
        <v>200000.0</v>
      </c>
      <c r="C6" s="4"/>
      <c r="D6" s="6"/>
      <c r="E6" s="6"/>
      <c r="F6" s="6"/>
      <c r="G6" s="36">
        <v>3000.0</v>
      </c>
      <c r="H6" s="6"/>
      <c r="I6" s="6">
        <f t="shared" si="1"/>
        <v>9523.809524</v>
      </c>
      <c r="J6" s="26"/>
      <c r="K6" s="7">
        <f t="shared" si="2"/>
        <v>187476.1905</v>
      </c>
      <c r="L6" s="3">
        <f t="shared" si="3"/>
        <v>9523.809524</v>
      </c>
    </row>
    <row r="7" ht="15.75" customHeight="1" outlineLevel="1">
      <c r="A7" s="3" t="s">
        <v>72</v>
      </c>
      <c r="B7" s="4">
        <v>250000.0</v>
      </c>
      <c r="C7" s="4"/>
      <c r="D7" s="3"/>
      <c r="E7" s="6"/>
      <c r="F7" s="6"/>
      <c r="G7" s="36">
        <v>3000.0</v>
      </c>
      <c r="H7" s="6"/>
      <c r="I7" s="6">
        <f t="shared" si="1"/>
        <v>0</v>
      </c>
      <c r="J7" s="43">
        <v>85000.0</v>
      </c>
      <c r="K7" s="7">
        <f t="shared" si="2"/>
        <v>332000</v>
      </c>
      <c r="L7" s="3">
        <f t="shared" si="3"/>
        <v>11904.7619</v>
      </c>
    </row>
    <row r="8" ht="18.0" customHeight="1" outlineLevel="1">
      <c r="A8" s="3" t="s">
        <v>52</v>
      </c>
      <c r="B8" s="4">
        <v>250000.0</v>
      </c>
      <c r="C8" s="4"/>
      <c r="D8" s="6"/>
      <c r="E8" s="6"/>
      <c r="F8" s="6"/>
      <c r="G8" s="6"/>
      <c r="H8" s="6"/>
      <c r="I8" s="6">
        <f t="shared" si="1"/>
        <v>0</v>
      </c>
      <c r="J8" s="27"/>
      <c r="K8" s="7">
        <f t="shared" si="2"/>
        <v>250000</v>
      </c>
      <c r="L8" s="3">
        <f t="shared" si="3"/>
        <v>11904.7619</v>
      </c>
    </row>
    <row r="9" ht="15.75" customHeight="1" outlineLevel="1">
      <c r="A9" s="3" t="s">
        <v>95</v>
      </c>
      <c r="B9" s="35">
        <v>215000.0</v>
      </c>
      <c r="C9" s="4"/>
      <c r="D9" s="6"/>
      <c r="E9" s="6"/>
      <c r="F9" s="6"/>
      <c r="G9" s="36">
        <v>3000.0</v>
      </c>
      <c r="H9" s="6"/>
      <c r="I9" s="6">
        <f t="shared" si="1"/>
        <v>0</v>
      </c>
      <c r="J9" s="6"/>
      <c r="K9" s="7">
        <f t="shared" si="2"/>
        <v>212000</v>
      </c>
      <c r="L9" s="3">
        <f t="shared" si="3"/>
        <v>10238.09524</v>
      </c>
      <c r="N9" s="44">
        <f>K4+K5+K21+K26</f>
        <v>2599159.85</v>
      </c>
    </row>
    <row r="10" ht="16.5" customHeight="1" outlineLevel="1">
      <c r="A10" s="3" t="s">
        <v>75</v>
      </c>
      <c r="B10" s="4">
        <v>150000.0</v>
      </c>
      <c r="C10" s="4"/>
      <c r="D10" s="6"/>
      <c r="E10" s="6"/>
      <c r="F10" s="6"/>
      <c r="G10" s="6"/>
      <c r="H10" s="6"/>
      <c r="I10" s="6">
        <f t="shared" si="1"/>
        <v>0</v>
      </c>
      <c r="J10" s="6"/>
      <c r="K10" s="7">
        <f t="shared" si="2"/>
        <v>150000</v>
      </c>
      <c r="L10" s="3">
        <f t="shared" si="3"/>
        <v>18750</v>
      </c>
    </row>
    <row r="11" ht="15.75" customHeight="1" outlineLevel="1">
      <c r="A11" s="45" t="s">
        <v>99</v>
      </c>
      <c r="B11" s="4">
        <v>250000.0</v>
      </c>
      <c r="C11" s="35">
        <v>150000.0</v>
      </c>
      <c r="D11" s="36">
        <v>88095.0</v>
      </c>
      <c r="E11" s="6"/>
      <c r="F11" s="6"/>
      <c r="G11" s="3"/>
      <c r="H11" s="6"/>
      <c r="I11" s="6">
        <f t="shared" si="1"/>
        <v>11904.7619</v>
      </c>
      <c r="J11" s="6"/>
      <c r="K11" s="7">
        <f t="shared" si="2"/>
        <v>0.2380952381</v>
      </c>
      <c r="L11" s="3">
        <f t="shared" si="3"/>
        <v>11904.7619</v>
      </c>
    </row>
    <row r="12" ht="15.75" customHeight="1" outlineLevel="1">
      <c r="A12" s="46" t="s">
        <v>100</v>
      </c>
      <c r="B12" s="35">
        <v>150000.0</v>
      </c>
      <c r="C12" s="4"/>
      <c r="D12" s="6"/>
      <c r="E12" s="6"/>
      <c r="F12" s="6"/>
      <c r="G12" s="3"/>
      <c r="H12" s="6"/>
      <c r="I12" s="36">
        <v>0.0</v>
      </c>
      <c r="J12" s="6"/>
      <c r="K12" s="7">
        <f t="shared" si="2"/>
        <v>150000</v>
      </c>
      <c r="L12" s="3">
        <f t="shared" si="3"/>
        <v>7142.857143</v>
      </c>
    </row>
    <row r="13" ht="16.5" customHeight="1" outlineLevel="1">
      <c r="A13" s="3" t="s">
        <v>37</v>
      </c>
      <c r="B13" s="4">
        <v>200000.0</v>
      </c>
      <c r="C13" s="35">
        <v>100000.0</v>
      </c>
      <c r="D13" s="36"/>
      <c r="E13" s="6"/>
      <c r="F13" s="6"/>
      <c r="G13" s="6"/>
      <c r="H13" s="6"/>
      <c r="I13" s="6">
        <f t="shared" ref="I13:I19" si="4">L13*D50</f>
        <v>0</v>
      </c>
      <c r="J13" s="6"/>
      <c r="K13" s="7">
        <f t="shared" si="2"/>
        <v>100000</v>
      </c>
      <c r="L13" s="3">
        <f t="shared" si="3"/>
        <v>9523.809524</v>
      </c>
      <c r="Z13" s="47" t="s">
        <v>101</v>
      </c>
    </row>
    <row r="14" ht="15.75" customHeight="1">
      <c r="A14" s="36" t="s">
        <v>102</v>
      </c>
      <c r="B14" s="35">
        <v>590000.0</v>
      </c>
      <c r="C14" s="35">
        <v>250000.0</v>
      </c>
      <c r="D14" s="36">
        <v>120000.0</v>
      </c>
      <c r="E14" s="36">
        <v>100000.0</v>
      </c>
      <c r="F14" s="36">
        <v>60000.0</v>
      </c>
      <c r="G14" s="36">
        <v>5000.0</v>
      </c>
      <c r="H14" s="6"/>
      <c r="I14" s="6">
        <f t="shared" si="4"/>
        <v>0</v>
      </c>
      <c r="J14" s="48">
        <v>15000.0</v>
      </c>
      <c r="K14" s="7">
        <f t="shared" si="2"/>
        <v>70000</v>
      </c>
      <c r="L14" s="3">
        <f t="shared" si="3"/>
        <v>22692.30769</v>
      </c>
      <c r="P14" s="49">
        <f>284659-187476</f>
        <v>97183</v>
      </c>
    </row>
    <row r="15" ht="15.75" customHeight="1">
      <c r="A15" s="36" t="s">
        <v>103</v>
      </c>
      <c r="B15" s="35">
        <v>200000.0</v>
      </c>
      <c r="C15" s="35"/>
      <c r="D15" s="3"/>
      <c r="E15" s="3"/>
      <c r="F15" s="6"/>
      <c r="G15" s="36"/>
      <c r="H15" s="6"/>
      <c r="I15" s="6">
        <f t="shared" si="4"/>
        <v>100000</v>
      </c>
      <c r="J15" s="22">
        <f>IFERROR(__xludf.DUMMYFUNCTION("IMPORTRANGE(""https://docs.google.com/spreadsheets/d/1JJd44_6b1hsmD6e8liei_zzkkh-GYab6gE4K23IJPVI/edit?gid=0#gid=0&amp;range=J95"",""'Лист1'!K149"")+39015"),147934.75499999934)</f>
        <v>147934.755</v>
      </c>
      <c r="K15" s="5">
        <f t="shared" si="2"/>
        <v>247934.755</v>
      </c>
      <c r="L15" s="3">
        <f t="shared" si="3"/>
        <v>7692.307692</v>
      </c>
      <c r="N15" s="47"/>
    </row>
    <row r="16" ht="15.75" customHeight="1" outlineLevel="1">
      <c r="A16" s="3" t="s">
        <v>19</v>
      </c>
      <c r="B16" s="4">
        <v>81600.0</v>
      </c>
      <c r="C16" s="4"/>
      <c r="D16" s="6"/>
      <c r="E16" s="6"/>
      <c r="F16" s="6"/>
      <c r="G16" s="36">
        <v>3000.0</v>
      </c>
      <c r="H16" s="3"/>
      <c r="I16" s="6">
        <f t="shared" si="4"/>
        <v>18830.76923</v>
      </c>
      <c r="J16" s="22">
        <f>IFERROR(__xludf.DUMMYFUNCTION("IMPORTRANGE(""https://docs.google.com/spreadsheets/d/1JJd44_6b1hsmD6e8liei_zzkkh-GYab6gE4K23IJPVI/edit?gid=0#gid=0&amp;range=J95"",""'Лист1'!K141"")"),307962.9)</f>
        <v>307962.9</v>
      </c>
      <c r="K16" s="7">
        <f t="shared" si="2"/>
        <v>367732.1308</v>
      </c>
      <c r="L16" s="3">
        <f t="shared" si="3"/>
        <v>3138.461538</v>
      </c>
      <c r="N16" s="47"/>
    </row>
    <row r="17" ht="15.75" customHeight="1" outlineLevel="1">
      <c r="A17" s="45" t="s">
        <v>104</v>
      </c>
      <c r="B17" s="4"/>
      <c r="C17" s="4"/>
      <c r="D17" s="5"/>
      <c r="E17" s="5"/>
      <c r="F17" s="5"/>
      <c r="G17" s="5"/>
      <c r="H17" s="3"/>
      <c r="I17" s="6">
        <f t="shared" si="4"/>
        <v>0</v>
      </c>
      <c r="J17" s="22">
        <f>IFERROR(__xludf.DUMMYFUNCTION("IMPORTRANGE(""https://docs.google.com/spreadsheets/d/1JJd44_6b1hsmD6e8liei_zzkkh-GYab6gE4K23IJPVI/edit?gid=0#gid=0&amp;range=J95"",""'Лист1'!W141"")"),65025.0)</f>
        <v>65025</v>
      </c>
      <c r="K17" s="50">
        <v>0.0</v>
      </c>
      <c r="L17" s="3">
        <f t="shared" si="3"/>
        <v>0</v>
      </c>
      <c r="N17" s="47"/>
    </row>
    <row r="18" ht="15.75" customHeight="1" outlineLevel="1">
      <c r="A18" s="42" t="s">
        <v>22</v>
      </c>
      <c r="B18" s="4">
        <v>81600.0</v>
      </c>
      <c r="C18" s="35">
        <v>310000.0</v>
      </c>
      <c r="D18" s="3"/>
      <c r="E18" s="6"/>
      <c r="F18" s="6"/>
      <c r="G18" s="36">
        <v>3500.0</v>
      </c>
      <c r="H18" s="3"/>
      <c r="I18" s="6">
        <f t="shared" si="4"/>
        <v>0</v>
      </c>
      <c r="J18" s="22">
        <f>IFERROR(__xludf.DUMMYFUNCTION("IMPORTRANGE(""https://docs.google.com/spreadsheets/d/1JJd44_6b1hsmD6e8liei_zzkkh-GYab6gE4K23IJPVI/edit?gid=0#gid=0&amp;range=J95"",""'Лист1'!AI141"")"),227892.375)</f>
        <v>227892.375</v>
      </c>
      <c r="K18" s="51">
        <f t="shared" ref="K18:K31" si="5">B18-C18-D18-E18-F18-I18+J18-G18</f>
        <v>-4007.625</v>
      </c>
      <c r="L18" s="3">
        <f t="shared" si="3"/>
        <v>3138.461538</v>
      </c>
    </row>
    <row r="19" ht="15.75" customHeight="1" outlineLevel="1">
      <c r="A19" s="3" t="s">
        <v>91</v>
      </c>
      <c r="B19" s="4">
        <v>100000.0</v>
      </c>
      <c r="C19" s="4"/>
      <c r="D19" s="6"/>
      <c r="E19" s="6"/>
      <c r="F19" s="6"/>
      <c r="G19" s="36">
        <v>3000.0</v>
      </c>
      <c r="H19" s="6"/>
      <c r="I19" s="6">
        <f t="shared" si="4"/>
        <v>0</v>
      </c>
      <c r="J19" s="22">
        <f>IFERROR(__xludf.DUMMYFUNCTION("IMPORTRANGE(""https://docs.google.com/spreadsheets/d/1JJd44_6b1hsmD6e8liei_zzkkh-GYab6gE4K23IJPVI/edit?gid=0#gid=0&amp;range=J95"",""'Лист1'!BG141"")"),139071.24000000008)</f>
        <v>139071.24</v>
      </c>
      <c r="K19" s="7">
        <f t="shared" si="5"/>
        <v>236071.24</v>
      </c>
      <c r="L19" s="3">
        <f t="shared" si="3"/>
        <v>3846.153846</v>
      </c>
    </row>
    <row r="20" ht="15.75" customHeight="1" outlineLevel="1">
      <c r="A20" s="45" t="s">
        <v>105</v>
      </c>
      <c r="B20" s="52">
        <v>43076.0</v>
      </c>
      <c r="C20" s="52">
        <v>43076.0</v>
      </c>
      <c r="D20" s="6"/>
      <c r="E20" s="6"/>
      <c r="F20" s="6"/>
      <c r="G20" s="6"/>
      <c r="H20" s="6"/>
      <c r="I20" s="6"/>
      <c r="J20" s="22">
        <f>IFERROR(__xludf.DUMMYFUNCTION("IMPORTRANGE(""https://docs.google.com/spreadsheets/d/1JJd44_6b1hsmD6e8liei_zzkkh-GYab6gE4K23IJPVI/edit?gid=0#gid=0&amp;range=J95"",""'Лист1'!BS141"")"),0.0)</f>
        <v>0</v>
      </c>
      <c r="K20" s="7">
        <f t="shared" si="5"/>
        <v>0</v>
      </c>
      <c r="L20" s="3">
        <f t="shared" si="3"/>
        <v>1656.769231</v>
      </c>
    </row>
    <row r="21" ht="15.0" customHeight="1">
      <c r="A21" s="3" t="s">
        <v>18</v>
      </c>
      <c r="B21" s="4">
        <v>250000.0</v>
      </c>
      <c r="C21" s="4"/>
      <c r="D21" s="6"/>
      <c r="E21" s="6"/>
      <c r="F21" s="6"/>
      <c r="G21" s="36">
        <v>3000.0</v>
      </c>
      <c r="H21" s="6"/>
      <c r="I21" s="6">
        <f t="shared" ref="I21:I31" si="6">L21*D58</f>
        <v>0</v>
      </c>
      <c r="J21" s="5">
        <f>IFERROR(__xludf.DUMMYFUNCTION("IMPORTRANGE(""https://docs.google.com/spreadsheets/d/1JJd44_6b1hsmD6e8liei_zzkkh-GYab6gE4K23IJPVI/edit?gid=0#gid=0&amp;range=J95"",""'Лист1'!I147"")"),172159.8500000015)</f>
        <v>172159.85</v>
      </c>
      <c r="K21" s="7">
        <f t="shared" si="5"/>
        <v>419159.85</v>
      </c>
      <c r="L21" s="3">
        <f t="shared" si="3"/>
        <v>9615.384615</v>
      </c>
    </row>
    <row r="22" ht="15.75" customHeight="1" outlineLevel="1">
      <c r="A22" s="3" t="s">
        <v>92</v>
      </c>
      <c r="B22" s="4">
        <v>200000.0</v>
      </c>
      <c r="C22" s="4"/>
      <c r="D22" s="6"/>
      <c r="E22" s="6"/>
      <c r="F22" s="6"/>
      <c r="G22" s="36">
        <v>3000.0</v>
      </c>
      <c r="H22" s="6"/>
      <c r="I22" s="6">
        <f t="shared" si="6"/>
        <v>0</v>
      </c>
      <c r="J22" s="26"/>
      <c r="K22" s="7">
        <f t="shared" si="5"/>
        <v>197000</v>
      </c>
      <c r="L22" s="3">
        <f t="shared" si="3"/>
        <v>7692.307692</v>
      </c>
      <c r="Q22" s="44">
        <f>K14+K15+K23+K24+K25+K30+K28+15000+K9</f>
        <v>1504934.755</v>
      </c>
    </row>
    <row r="23" ht="15.75" customHeight="1" outlineLevel="1">
      <c r="A23" s="36" t="s">
        <v>39</v>
      </c>
      <c r="B23" s="35">
        <v>250000.0</v>
      </c>
      <c r="C23" s="4"/>
      <c r="D23" s="6"/>
      <c r="E23" s="6"/>
      <c r="F23" s="6"/>
      <c r="G23" s="6"/>
      <c r="H23" s="6"/>
      <c r="I23" s="6">
        <f t="shared" si="6"/>
        <v>0</v>
      </c>
      <c r="J23" s="26"/>
      <c r="K23" s="7">
        <f t="shared" si="5"/>
        <v>250000</v>
      </c>
      <c r="L23" s="3">
        <f t="shared" si="3"/>
        <v>10000</v>
      </c>
    </row>
    <row r="24" ht="18.0" customHeight="1" outlineLevel="1">
      <c r="A24" s="3" t="s">
        <v>67</v>
      </c>
      <c r="B24" s="35">
        <v>300000.0</v>
      </c>
      <c r="C24" s="4"/>
      <c r="D24" s="6"/>
      <c r="E24" s="6"/>
      <c r="F24" s="6"/>
      <c r="G24" s="6"/>
      <c r="H24" s="6"/>
      <c r="I24" s="6">
        <f t="shared" si="6"/>
        <v>0</v>
      </c>
      <c r="J24" s="6"/>
      <c r="K24" s="7">
        <f t="shared" si="5"/>
        <v>300000</v>
      </c>
      <c r="L24" s="3">
        <f t="shared" si="3"/>
        <v>11538.46154</v>
      </c>
    </row>
    <row r="25" ht="15.75" customHeight="1" outlineLevel="1">
      <c r="A25" s="42" t="s">
        <v>76</v>
      </c>
      <c r="B25" s="4">
        <v>170000.0</v>
      </c>
      <c r="C25" s="4"/>
      <c r="D25" s="6"/>
      <c r="E25" s="6"/>
      <c r="F25" s="6"/>
      <c r="G25" s="6"/>
      <c r="H25" s="6"/>
      <c r="I25" s="6">
        <f t="shared" si="6"/>
        <v>0</v>
      </c>
      <c r="J25" s="6"/>
      <c r="K25" s="7">
        <f t="shared" si="5"/>
        <v>170000</v>
      </c>
      <c r="L25" s="3">
        <f t="shared" si="3"/>
        <v>11333.33333</v>
      </c>
    </row>
    <row r="26" ht="15.75" customHeight="1" outlineLevel="1">
      <c r="A26" s="3" t="s">
        <v>41</v>
      </c>
      <c r="B26" s="4">
        <v>200000.0</v>
      </c>
      <c r="C26" s="4"/>
      <c r="D26" s="6"/>
      <c r="E26" s="6"/>
      <c r="F26" s="6"/>
      <c r="G26" s="6"/>
      <c r="H26" s="6"/>
      <c r="I26" s="6">
        <f t="shared" si="6"/>
        <v>0</v>
      </c>
      <c r="J26" s="27"/>
      <c r="K26" s="7">
        <f t="shared" si="5"/>
        <v>200000</v>
      </c>
      <c r="L26" s="3">
        <f t="shared" si="3"/>
        <v>7692.307692</v>
      </c>
    </row>
    <row r="27" ht="15.75" customHeight="1">
      <c r="A27" s="3" t="s">
        <v>73</v>
      </c>
      <c r="B27" s="35">
        <v>300000.0</v>
      </c>
      <c r="C27" s="4"/>
      <c r="D27" s="6"/>
      <c r="E27" s="6"/>
      <c r="F27" s="6"/>
      <c r="G27" s="36">
        <v>3000.0</v>
      </c>
      <c r="H27" s="6"/>
      <c r="I27" s="6">
        <f t="shared" si="6"/>
        <v>11538.46154</v>
      </c>
      <c r="J27" s="27"/>
      <c r="K27" s="7">
        <f t="shared" si="5"/>
        <v>285461.5385</v>
      </c>
      <c r="L27" s="3">
        <f t="shared" si="3"/>
        <v>11538.46154</v>
      </c>
    </row>
    <row r="28" outlineLevel="1">
      <c r="A28" s="3" t="s">
        <v>71</v>
      </c>
      <c r="B28" s="4">
        <v>150000.0</v>
      </c>
      <c r="C28" s="35">
        <v>150000.0</v>
      </c>
      <c r="D28" s="6"/>
      <c r="E28" s="6"/>
      <c r="F28" s="3"/>
      <c r="G28" s="3"/>
      <c r="H28" s="3"/>
      <c r="I28" s="6">
        <f t="shared" si="6"/>
        <v>0</v>
      </c>
      <c r="J28" s="27"/>
      <c r="K28" s="7">
        <f t="shared" si="5"/>
        <v>0</v>
      </c>
      <c r="L28" s="3">
        <f t="shared" si="3"/>
        <v>7142.857143</v>
      </c>
    </row>
    <row r="29" ht="15.75" customHeight="1" outlineLevel="1">
      <c r="A29" s="3" t="s">
        <v>70</v>
      </c>
      <c r="B29" s="4">
        <v>70000.0</v>
      </c>
      <c r="C29" s="4"/>
      <c r="D29" s="6"/>
      <c r="E29" s="6"/>
      <c r="F29" s="6"/>
      <c r="G29" s="6"/>
      <c r="H29" s="6"/>
      <c r="I29" s="6">
        <f t="shared" si="6"/>
        <v>0</v>
      </c>
      <c r="J29" s="6"/>
      <c r="K29" s="7">
        <f t="shared" si="5"/>
        <v>70000</v>
      </c>
      <c r="L29" s="3">
        <f t="shared" si="3"/>
        <v>3333.333333</v>
      </c>
    </row>
    <row r="30" ht="15.75" customHeight="1" outlineLevel="1">
      <c r="A30" s="42" t="s">
        <v>15</v>
      </c>
      <c r="B30" s="35">
        <v>240000.0</v>
      </c>
      <c r="C30" s="4"/>
      <c r="D30" s="6"/>
      <c r="E30" s="6"/>
      <c r="F30" s="6"/>
      <c r="G30" s="6"/>
      <c r="H30" s="6"/>
      <c r="I30" s="6">
        <f t="shared" si="6"/>
        <v>0</v>
      </c>
      <c r="J30" s="6"/>
      <c r="K30" s="7">
        <f t="shared" si="5"/>
        <v>240000</v>
      </c>
      <c r="L30" s="3">
        <f t="shared" si="3"/>
        <v>11428.57143</v>
      </c>
    </row>
    <row r="31" ht="15.75" customHeight="1">
      <c r="A31" s="36" t="s">
        <v>106</v>
      </c>
      <c r="B31" s="35">
        <v>150000.0</v>
      </c>
      <c r="C31" s="4"/>
      <c r="D31" s="6"/>
      <c r="E31" s="6"/>
      <c r="F31" s="6"/>
      <c r="G31" s="6"/>
      <c r="H31" s="6"/>
      <c r="I31" s="6">
        <f t="shared" si="6"/>
        <v>121428.5714</v>
      </c>
      <c r="J31" s="36">
        <v>1429.0</v>
      </c>
      <c r="K31" s="7">
        <f t="shared" si="5"/>
        <v>30000.42857</v>
      </c>
      <c r="L31" s="3">
        <f t="shared" si="3"/>
        <v>7142.857143</v>
      </c>
    </row>
    <row r="32" ht="15.75" customHeight="1">
      <c r="A32" s="3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22">
        <f>SUM(K2:K31)</f>
        <v>7240828.746</v>
      </c>
      <c r="L32" s="3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ht="15.75" customHeight="1">
      <c r="A38" s="3" t="s">
        <v>79</v>
      </c>
      <c r="B38" s="29" t="s">
        <v>28</v>
      </c>
      <c r="C38" s="30" t="s">
        <v>29</v>
      </c>
      <c r="D38" s="31" t="s">
        <v>80</v>
      </c>
      <c r="E38" s="3" t="s">
        <v>81</v>
      </c>
      <c r="F38" s="9"/>
      <c r="G38" s="9"/>
      <c r="H38" s="9"/>
      <c r="I38" s="9"/>
      <c r="J38" s="9"/>
      <c r="K38" s="9"/>
    </row>
    <row r="39" ht="15.75" customHeight="1">
      <c r="A39" s="3" t="s">
        <v>11</v>
      </c>
      <c r="B39" s="3">
        <v>26.0</v>
      </c>
      <c r="C39" s="3">
        <f t="shared" ref="C39:C53" si="7">B39-D39</f>
        <v>26</v>
      </c>
      <c r="D39" s="36">
        <v>0.0</v>
      </c>
      <c r="E39" s="32">
        <v>45297.0</v>
      </c>
      <c r="F39" s="9"/>
      <c r="G39" s="9"/>
      <c r="H39" s="9"/>
      <c r="I39" s="9"/>
      <c r="J39" s="9"/>
      <c r="K39" s="53"/>
    </row>
    <row r="40" ht="15.75" customHeight="1">
      <c r="A40" s="3" t="s">
        <v>12</v>
      </c>
      <c r="B40" s="3">
        <v>26.0</v>
      </c>
      <c r="C40" s="3">
        <f t="shared" si="7"/>
        <v>26</v>
      </c>
      <c r="D40" s="36">
        <v>0.0</v>
      </c>
      <c r="E40" s="32">
        <v>45297.0</v>
      </c>
      <c r="F40" s="9"/>
      <c r="G40" s="9"/>
      <c r="H40" s="9"/>
      <c r="I40" s="9"/>
      <c r="J40" s="9"/>
      <c r="K40" s="53"/>
      <c r="L40" s="47"/>
    </row>
    <row r="41" ht="15.75" customHeight="1">
      <c r="A41" s="3" t="s">
        <v>13</v>
      </c>
      <c r="B41" s="36">
        <v>21.0</v>
      </c>
      <c r="C41" s="3">
        <f t="shared" si="7"/>
        <v>21</v>
      </c>
      <c r="D41" s="36">
        <v>0.0</v>
      </c>
      <c r="E41" s="32">
        <v>45327.0</v>
      </c>
      <c r="F41" s="9"/>
      <c r="G41" s="9"/>
      <c r="H41" s="9"/>
      <c r="I41" s="9"/>
      <c r="J41" s="9"/>
      <c r="K41" s="53"/>
      <c r="L41" s="47"/>
    </row>
    <row r="42" ht="15.75" customHeight="1">
      <c r="A42" s="3" t="s">
        <v>14</v>
      </c>
      <c r="B42" s="36">
        <v>21.0</v>
      </c>
      <c r="C42" s="3">
        <f t="shared" si="7"/>
        <v>21</v>
      </c>
      <c r="D42" s="36">
        <v>0.0</v>
      </c>
      <c r="E42" s="32">
        <v>45327.0</v>
      </c>
      <c r="F42" s="9"/>
      <c r="G42" s="9"/>
      <c r="H42" s="9"/>
      <c r="I42" s="9"/>
      <c r="J42" s="9"/>
      <c r="K42" s="53"/>
    </row>
    <row r="43" ht="15.75" customHeight="1">
      <c r="A43" s="3" t="s">
        <v>53</v>
      </c>
      <c r="B43" s="36">
        <v>21.0</v>
      </c>
      <c r="C43" s="3">
        <f t="shared" si="7"/>
        <v>20</v>
      </c>
      <c r="D43" s="36">
        <v>1.0</v>
      </c>
      <c r="E43" s="32">
        <v>45327.0</v>
      </c>
      <c r="H43" s="47">
        <v>260.0</v>
      </c>
      <c r="K43" s="47"/>
    </row>
    <row r="44" ht="15.75" customHeight="1">
      <c r="A44" s="3" t="s">
        <v>72</v>
      </c>
      <c r="B44" s="36">
        <v>21.0</v>
      </c>
      <c r="C44" s="3">
        <f t="shared" si="7"/>
        <v>21</v>
      </c>
      <c r="D44" s="36">
        <v>0.0</v>
      </c>
      <c r="E44" s="32">
        <v>45327.0</v>
      </c>
      <c r="F44" s="9"/>
      <c r="G44" s="9"/>
      <c r="H44" s="9"/>
      <c r="I44" s="9"/>
      <c r="J44" s="9"/>
      <c r="K44" s="9"/>
    </row>
    <row r="45" ht="15.75" customHeight="1">
      <c r="A45" s="3" t="s">
        <v>52</v>
      </c>
      <c r="B45" s="36">
        <v>21.0</v>
      </c>
      <c r="C45" s="3">
        <f t="shared" si="7"/>
        <v>21</v>
      </c>
      <c r="D45" s="36">
        <v>0.0</v>
      </c>
      <c r="E45" s="32">
        <v>45327.0</v>
      </c>
      <c r="F45" s="9"/>
      <c r="G45" s="9"/>
      <c r="H45" s="9"/>
      <c r="I45" s="9"/>
      <c r="J45" s="9"/>
      <c r="K45" s="53"/>
    </row>
    <row r="46" ht="15.75" customHeight="1">
      <c r="A46" s="3" t="s">
        <v>95</v>
      </c>
      <c r="B46" s="36">
        <v>21.0</v>
      </c>
      <c r="C46" s="3">
        <f t="shared" si="7"/>
        <v>21</v>
      </c>
      <c r="D46" s="36">
        <v>0.0</v>
      </c>
      <c r="E46" s="32">
        <v>45327.0</v>
      </c>
      <c r="F46" s="53" t="s">
        <v>107</v>
      </c>
      <c r="G46" s="53">
        <v>35700.0</v>
      </c>
      <c r="H46" s="53">
        <v>178500.0</v>
      </c>
      <c r="I46" s="53" t="s">
        <v>108</v>
      </c>
      <c r="J46" s="9"/>
      <c r="K46" s="9"/>
    </row>
    <row r="47" ht="15.75" customHeight="1">
      <c r="A47" s="3" t="s">
        <v>75</v>
      </c>
      <c r="B47" s="36">
        <v>8.0</v>
      </c>
      <c r="C47" s="3">
        <f t="shared" si="7"/>
        <v>8</v>
      </c>
      <c r="D47" s="36">
        <v>0.0</v>
      </c>
      <c r="E47" s="32">
        <v>45297.0</v>
      </c>
      <c r="F47" s="9"/>
      <c r="G47" s="53"/>
      <c r="H47" s="9"/>
      <c r="I47" s="9"/>
      <c r="J47" s="9"/>
      <c r="K47" s="9"/>
    </row>
    <row r="48" ht="15.75" customHeight="1">
      <c r="A48" s="46" t="s">
        <v>99</v>
      </c>
      <c r="B48" s="36">
        <v>21.0</v>
      </c>
      <c r="C48" s="3">
        <f t="shared" si="7"/>
        <v>20</v>
      </c>
      <c r="D48" s="41">
        <v>1.0</v>
      </c>
      <c r="E48" s="32">
        <v>45327.0</v>
      </c>
    </row>
    <row r="49" ht="15.75" customHeight="1">
      <c r="A49" s="46" t="s">
        <v>109</v>
      </c>
      <c r="B49" s="36">
        <v>21.0</v>
      </c>
      <c r="C49" s="3">
        <f t="shared" si="7"/>
        <v>21</v>
      </c>
      <c r="D49" s="41">
        <v>0.0</v>
      </c>
      <c r="E49" s="32">
        <v>45327.0</v>
      </c>
    </row>
    <row r="50" ht="15.75" customHeight="1">
      <c r="A50" s="3" t="s">
        <v>37</v>
      </c>
      <c r="B50" s="36">
        <v>21.0</v>
      </c>
      <c r="C50" s="3">
        <f t="shared" si="7"/>
        <v>21</v>
      </c>
      <c r="D50" s="36">
        <v>0.0</v>
      </c>
      <c r="E50" s="32">
        <v>45327.0</v>
      </c>
      <c r="F50" s="9"/>
      <c r="G50" s="9"/>
      <c r="H50" s="9"/>
      <c r="I50" s="9"/>
      <c r="J50" s="53" t="s">
        <v>110</v>
      </c>
      <c r="K50" s="9"/>
    </row>
    <row r="51" ht="15.75" customHeight="1">
      <c r="A51" s="3" t="s">
        <v>54</v>
      </c>
      <c r="B51" s="3">
        <v>26.0</v>
      </c>
      <c r="C51" s="3">
        <f t="shared" si="7"/>
        <v>26</v>
      </c>
      <c r="D51" s="36">
        <v>0.0</v>
      </c>
      <c r="E51" s="32">
        <v>45297.0</v>
      </c>
      <c r="F51" s="9"/>
      <c r="G51" s="9"/>
      <c r="H51" s="9"/>
      <c r="I51" s="9"/>
      <c r="J51" s="9"/>
      <c r="K51" s="9"/>
    </row>
    <row r="52" ht="15.75" customHeight="1">
      <c r="A52" s="36" t="s">
        <v>103</v>
      </c>
      <c r="B52" s="36">
        <v>26.0</v>
      </c>
      <c r="C52" s="3">
        <f t="shared" si="7"/>
        <v>13</v>
      </c>
      <c r="D52" s="36">
        <v>13.0</v>
      </c>
      <c r="E52" s="32">
        <v>45297.0</v>
      </c>
      <c r="F52" s="53" t="s">
        <v>111</v>
      </c>
      <c r="G52" s="53"/>
      <c r="H52" s="53"/>
      <c r="I52" s="9"/>
      <c r="J52" s="9"/>
      <c r="K52" s="9"/>
    </row>
    <row r="53" ht="15.75" customHeight="1">
      <c r="A53" s="3" t="s">
        <v>19</v>
      </c>
      <c r="B53" s="3">
        <v>26.0</v>
      </c>
      <c r="C53" s="3">
        <f t="shared" si="7"/>
        <v>20</v>
      </c>
      <c r="D53" s="41">
        <v>6.0</v>
      </c>
      <c r="E53" s="32">
        <v>45297.0</v>
      </c>
      <c r="F53" s="2"/>
      <c r="G53" s="2"/>
      <c r="H53" s="47">
        <v>590.0</v>
      </c>
    </row>
    <row r="54" ht="15.75" customHeight="1">
      <c r="A54" s="36" t="s">
        <v>104</v>
      </c>
      <c r="B54" s="3">
        <v>26.0</v>
      </c>
      <c r="C54" s="36">
        <v>9.0</v>
      </c>
      <c r="D54" s="36">
        <v>0.0</v>
      </c>
      <c r="E54" s="32">
        <v>45297.0</v>
      </c>
      <c r="F54" s="9"/>
      <c r="G54" s="9"/>
      <c r="H54" s="9"/>
      <c r="I54" s="9"/>
      <c r="J54" s="9"/>
      <c r="K54" s="9"/>
    </row>
    <row r="55" ht="15.75" customHeight="1">
      <c r="A55" s="3" t="s">
        <v>22</v>
      </c>
      <c r="B55" s="3">
        <v>26.0</v>
      </c>
      <c r="C55" s="3">
        <f t="shared" ref="C55:C68" si="8">B55-D55</f>
        <v>26</v>
      </c>
      <c r="D55" s="36">
        <v>0.0</v>
      </c>
      <c r="E55" s="32">
        <v>45297.0</v>
      </c>
      <c r="F55" s="53" t="s">
        <v>112</v>
      </c>
      <c r="G55" s="9"/>
      <c r="H55" s="9"/>
      <c r="I55" s="9"/>
      <c r="J55" s="9"/>
      <c r="K55" s="9"/>
    </row>
    <row r="56" ht="15.75" customHeight="1">
      <c r="A56" s="3" t="s">
        <v>91</v>
      </c>
      <c r="B56" s="36">
        <v>26.0</v>
      </c>
      <c r="C56" s="3">
        <f t="shared" si="8"/>
        <v>26</v>
      </c>
      <c r="D56" s="36">
        <v>0.0</v>
      </c>
      <c r="E56" s="32">
        <v>45297.0</v>
      </c>
      <c r="F56" s="9"/>
      <c r="G56" s="9"/>
      <c r="H56" s="9"/>
      <c r="I56" s="9"/>
      <c r="J56" s="9"/>
      <c r="K56" s="9"/>
    </row>
    <row r="57" ht="15.75" customHeight="1">
      <c r="A57" s="36" t="s">
        <v>105</v>
      </c>
      <c r="B57" s="3">
        <v>26.0</v>
      </c>
      <c r="C57" s="3">
        <f t="shared" si="8"/>
        <v>14</v>
      </c>
      <c r="D57" s="36">
        <v>12.0</v>
      </c>
      <c r="E57" s="32">
        <v>45297.0</v>
      </c>
      <c r="F57" s="9"/>
      <c r="G57" s="9"/>
      <c r="H57" s="9"/>
      <c r="I57" s="9"/>
      <c r="J57" s="9"/>
      <c r="K57" s="9"/>
    </row>
    <row r="58" ht="15.75" customHeight="1">
      <c r="A58" s="3" t="s">
        <v>18</v>
      </c>
      <c r="B58" s="36">
        <v>26.0</v>
      </c>
      <c r="C58" s="3">
        <f t="shared" si="8"/>
        <v>26</v>
      </c>
      <c r="D58" s="41">
        <v>0.0</v>
      </c>
      <c r="E58" s="32">
        <v>45297.0</v>
      </c>
      <c r="F58" s="2"/>
      <c r="G58" s="2"/>
      <c r="H58" s="2"/>
    </row>
    <row r="59" ht="15.75" customHeight="1">
      <c r="A59" s="3" t="s">
        <v>92</v>
      </c>
      <c r="B59" s="3">
        <v>26.0</v>
      </c>
      <c r="C59" s="3">
        <f t="shared" si="8"/>
        <v>26</v>
      </c>
      <c r="D59" s="41">
        <v>0.0</v>
      </c>
      <c r="E59" s="32">
        <v>45297.0</v>
      </c>
    </row>
    <row r="60" ht="15.75" customHeight="1">
      <c r="A60" s="36" t="s">
        <v>39</v>
      </c>
      <c r="B60" s="36">
        <v>25.0</v>
      </c>
      <c r="C60" s="3">
        <f t="shared" si="8"/>
        <v>25</v>
      </c>
      <c r="D60" s="41">
        <v>0.0</v>
      </c>
      <c r="E60" s="32">
        <v>45297.0</v>
      </c>
    </row>
    <row r="61" ht="15.75" customHeight="1">
      <c r="A61" s="3" t="s">
        <v>67</v>
      </c>
      <c r="B61" s="36">
        <v>26.0</v>
      </c>
      <c r="C61" s="3">
        <f t="shared" si="8"/>
        <v>26</v>
      </c>
      <c r="D61" s="41">
        <v>0.0</v>
      </c>
      <c r="E61" s="32">
        <v>45297.0</v>
      </c>
    </row>
    <row r="62" ht="15.75" customHeight="1">
      <c r="A62" s="3" t="s">
        <v>76</v>
      </c>
      <c r="B62" s="36">
        <v>15.0</v>
      </c>
      <c r="C62" s="3">
        <f t="shared" si="8"/>
        <v>15</v>
      </c>
      <c r="D62" s="41">
        <v>0.0</v>
      </c>
      <c r="E62" s="32">
        <v>45327.0</v>
      </c>
    </row>
    <row r="63" ht="15.75" customHeight="1">
      <c r="A63" s="3" t="s">
        <v>41</v>
      </c>
      <c r="B63" s="36">
        <v>26.0</v>
      </c>
      <c r="C63" s="3">
        <f t="shared" si="8"/>
        <v>26</v>
      </c>
      <c r="D63" s="41">
        <v>0.0</v>
      </c>
      <c r="E63" s="32">
        <v>45297.0</v>
      </c>
    </row>
    <row r="64" ht="15.75" customHeight="1">
      <c r="A64" s="3" t="s">
        <v>73</v>
      </c>
      <c r="B64" s="3">
        <v>26.0</v>
      </c>
      <c r="C64" s="3">
        <f t="shared" si="8"/>
        <v>25</v>
      </c>
      <c r="D64" s="41">
        <v>1.0</v>
      </c>
      <c r="E64" s="32">
        <v>45297.0</v>
      </c>
    </row>
    <row r="65" ht="15.75" customHeight="1">
      <c r="A65" s="3" t="s">
        <v>71</v>
      </c>
      <c r="B65" s="36">
        <v>21.0</v>
      </c>
      <c r="C65" s="3">
        <f t="shared" si="8"/>
        <v>21</v>
      </c>
      <c r="D65" s="41">
        <v>0.0</v>
      </c>
      <c r="E65" s="32">
        <v>45327.0</v>
      </c>
    </row>
    <row r="66" ht="15.75" customHeight="1">
      <c r="A66" s="3" t="s">
        <v>70</v>
      </c>
      <c r="B66" s="36">
        <v>21.0</v>
      </c>
      <c r="C66" s="3">
        <f t="shared" si="8"/>
        <v>21</v>
      </c>
      <c r="D66" s="41">
        <v>0.0</v>
      </c>
      <c r="E66" s="32">
        <v>45327.0</v>
      </c>
    </row>
    <row r="67" ht="15.75" customHeight="1">
      <c r="A67" s="3" t="s">
        <v>15</v>
      </c>
      <c r="B67" s="41">
        <v>21.0</v>
      </c>
      <c r="C67" s="3">
        <f t="shared" si="8"/>
        <v>21</v>
      </c>
      <c r="D67" s="41">
        <v>0.0</v>
      </c>
      <c r="E67" s="32">
        <v>45327.0</v>
      </c>
    </row>
    <row r="68" ht="15.75" customHeight="1">
      <c r="A68" s="47" t="s">
        <v>106</v>
      </c>
      <c r="B68" s="47">
        <v>21.0</v>
      </c>
      <c r="C68" s="3">
        <f t="shared" si="8"/>
        <v>4</v>
      </c>
      <c r="D68" s="47">
        <v>17.0</v>
      </c>
      <c r="E68" s="32">
        <v>45327.0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62</v>
      </c>
      <c r="H1" s="20" t="s">
        <v>63</v>
      </c>
      <c r="I1" s="20" t="s">
        <v>48</v>
      </c>
      <c r="J1" s="20" t="s">
        <v>64</v>
      </c>
      <c r="K1" s="20" t="s">
        <v>65</v>
      </c>
      <c r="L1" s="20" t="s">
        <v>66</v>
      </c>
    </row>
    <row r="2" ht="15.75" customHeight="1">
      <c r="A2" s="3" t="s">
        <v>11</v>
      </c>
      <c r="B2" s="35">
        <v>550000.0</v>
      </c>
      <c r="C2" s="35"/>
      <c r="D2" s="36">
        <v>200000.0</v>
      </c>
      <c r="E2" s="36">
        <v>170000.0</v>
      </c>
      <c r="F2" s="36">
        <v>100000.0</v>
      </c>
      <c r="G2" s="36"/>
      <c r="H2" s="6"/>
      <c r="I2" s="6">
        <f t="shared" ref="I2:I28" si="1">L2*D37</f>
        <v>0</v>
      </c>
      <c r="J2" s="6"/>
      <c r="K2" s="7">
        <f t="shared" ref="K2:K21" si="2">B2-C2-D2-E2-F2-I2+J2-G2</f>
        <v>80000</v>
      </c>
      <c r="L2" s="3">
        <f t="shared" ref="L2:L28" si="3">B2/B37</f>
        <v>27500</v>
      </c>
    </row>
    <row r="3" ht="15.75" customHeight="1">
      <c r="A3" s="3" t="s">
        <v>12</v>
      </c>
      <c r="B3" s="35">
        <v>550000.0</v>
      </c>
      <c r="C3" s="35">
        <v>24770.0</v>
      </c>
      <c r="D3" s="36">
        <v>200000.0</v>
      </c>
      <c r="E3" s="36">
        <v>150000.0</v>
      </c>
      <c r="F3" s="36">
        <v>150000.0</v>
      </c>
      <c r="G3" s="36"/>
      <c r="H3" s="6"/>
      <c r="I3" s="6">
        <f t="shared" si="1"/>
        <v>0</v>
      </c>
      <c r="J3" s="6"/>
      <c r="K3" s="7">
        <f t="shared" si="2"/>
        <v>25230</v>
      </c>
      <c r="L3" s="3">
        <f t="shared" si="3"/>
        <v>27500</v>
      </c>
    </row>
    <row r="4" ht="15.75" customHeight="1">
      <c r="A4" s="3" t="s">
        <v>13</v>
      </c>
      <c r="B4" s="4">
        <v>1000000.0</v>
      </c>
      <c r="C4" s="35">
        <v>24770.0</v>
      </c>
      <c r="D4" s="36">
        <v>200000.0</v>
      </c>
      <c r="E4" s="6"/>
      <c r="F4" s="6"/>
      <c r="G4" s="36"/>
      <c r="H4" s="6"/>
      <c r="I4" s="6">
        <f t="shared" si="1"/>
        <v>95238.09524</v>
      </c>
      <c r="J4" s="6"/>
      <c r="K4" s="7">
        <f t="shared" si="2"/>
        <v>679991.9048</v>
      </c>
      <c r="L4" s="3">
        <f t="shared" si="3"/>
        <v>47619.04762</v>
      </c>
      <c r="O4" s="44">
        <f>K4+K5+K6+K15+16500</f>
        <v>1372491.905</v>
      </c>
    </row>
    <row r="5" ht="15.75" customHeight="1">
      <c r="A5" s="3" t="s">
        <v>14</v>
      </c>
      <c r="B5" s="35">
        <v>450000.0</v>
      </c>
      <c r="C5" s="35"/>
      <c r="D5" s="6"/>
      <c r="E5" s="6"/>
      <c r="F5" s="6"/>
      <c r="G5" s="36"/>
      <c r="H5" s="6"/>
      <c r="I5" s="6">
        <f t="shared" si="1"/>
        <v>0</v>
      </c>
      <c r="J5" s="6"/>
      <c r="K5" s="54">
        <f t="shared" si="2"/>
        <v>450000</v>
      </c>
      <c r="L5" s="3">
        <f t="shared" si="3"/>
        <v>21428.57143</v>
      </c>
    </row>
    <row r="6" ht="15.75" customHeight="1" outlineLevel="1">
      <c r="A6" s="3" t="s">
        <v>72</v>
      </c>
      <c r="B6" s="35">
        <v>85000.0</v>
      </c>
      <c r="C6" s="35"/>
      <c r="D6" s="3"/>
      <c r="E6" s="6"/>
      <c r="F6" s="6"/>
      <c r="G6" s="36"/>
      <c r="H6" s="6"/>
      <c r="I6" s="6">
        <f t="shared" si="1"/>
        <v>0</v>
      </c>
      <c r="J6" s="26"/>
      <c r="K6" s="54">
        <f t="shared" si="2"/>
        <v>85000</v>
      </c>
      <c r="L6" s="3">
        <f t="shared" si="3"/>
        <v>4047.619048</v>
      </c>
    </row>
    <row r="7" ht="15.75" customHeight="1" outlineLevel="1">
      <c r="A7" s="3" t="s">
        <v>52</v>
      </c>
      <c r="B7" s="4">
        <v>250000.0</v>
      </c>
      <c r="C7" s="35">
        <v>24770.0</v>
      </c>
      <c r="D7" s="6"/>
      <c r="E7" s="6"/>
      <c r="F7" s="36"/>
      <c r="G7" s="36"/>
      <c r="H7" s="6"/>
      <c r="I7" s="6">
        <f t="shared" si="1"/>
        <v>59523.80952</v>
      </c>
      <c r="J7" s="27"/>
      <c r="K7" s="7">
        <f t="shared" si="2"/>
        <v>165706.1905</v>
      </c>
      <c r="L7" s="3">
        <f t="shared" si="3"/>
        <v>11904.7619</v>
      </c>
    </row>
    <row r="8" ht="16.5" customHeight="1" outlineLevel="1">
      <c r="A8" s="3" t="s">
        <v>75</v>
      </c>
      <c r="B8" s="4">
        <v>150000.0</v>
      </c>
      <c r="C8" s="35"/>
      <c r="D8" s="6"/>
      <c r="E8" s="6"/>
      <c r="F8" s="6"/>
      <c r="G8" s="6"/>
      <c r="H8" s="6"/>
      <c r="I8" s="6">
        <f t="shared" si="1"/>
        <v>0</v>
      </c>
      <c r="J8" s="6"/>
      <c r="K8" s="7">
        <f t="shared" si="2"/>
        <v>150000</v>
      </c>
      <c r="L8" s="3">
        <f t="shared" si="3"/>
        <v>18750</v>
      </c>
    </row>
    <row r="9" ht="15.75" customHeight="1" outlineLevel="1">
      <c r="A9" s="36" t="s">
        <v>113</v>
      </c>
      <c r="B9" s="35">
        <v>150000.0</v>
      </c>
      <c r="C9" s="35">
        <v>24770.0</v>
      </c>
      <c r="D9" s="6"/>
      <c r="E9" s="6"/>
      <c r="F9" s="6"/>
      <c r="G9" s="36"/>
      <c r="H9" s="6"/>
      <c r="I9" s="6">
        <f t="shared" si="1"/>
        <v>28571.42857</v>
      </c>
      <c r="J9" s="36">
        <v>25000.0</v>
      </c>
      <c r="K9" s="7">
        <f t="shared" si="2"/>
        <v>121658.5714</v>
      </c>
      <c r="L9" s="3">
        <f t="shared" si="3"/>
        <v>7142.857143</v>
      </c>
    </row>
    <row r="10" ht="15.75" customHeight="1" outlineLevel="1">
      <c r="A10" s="36" t="s">
        <v>100</v>
      </c>
      <c r="B10" s="35">
        <v>230000.0</v>
      </c>
      <c r="C10" s="35">
        <v>24770.0</v>
      </c>
      <c r="D10" s="6"/>
      <c r="E10" s="6"/>
      <c r="F10" s="6"/>
      <c r="G10" s="36"/>
      <c r="H10" s="6"/>
      <c r="I10" s="6">
        <f t="shared" si="1"/>
        <v>32857.14286</v>
      </c>
      <c r="J10" s="36">
        <v>90000.0</v>
      </c>
      <c r="K10" s="7">
        <f t="shared" si="2"/>
        <v>262372.8571</v>
      </c>
      <c r="L10" s="3">
        <f t="shared" si="3"/>
        <v>10952.38095</v>
      </c>
      <c r="P10" s="47">
        <v>1000000.0</v>
      </c>
    </row>
    <row r="11" ht="15.75" customHeight="1" outlineLevel="1">
      <c r="A11" s="36" t="s">
        <v>47</v>
      </c>
      <c r="B11" s="35">
        <v>168000.0</v>
      </c>
      <c r="C11" s="35">
        <f>24770-16000</f>
        <v>8770</v>
      </c>
      <c r="D11" s="36"/>
      <c r="E11" s="6"/>
      <c r="F11" s="6"/>
      <c r="G11" s="36"/>
      <c r="H11" s="6"/>
      <c r="I11" s="6">
        <f t="shared" si="1"/>
        <v>0</v>
      </c>
      <c r="J11" s="36"/>
      <c r="K11" s="7">
        <f t="shared" si="2"/>
        <v>159230</v>
      </c>
      <c r="L11" s="3">
        <f t="shared" si="3"/>
        <v>8000</v>
      </c>
      <c r="P11" s="44">
        <f>K10+K11+K14+K27+K28+K9+Q11</f>
        <v>912461.4286</v>
      </c>
      <c r="Q11" s="47">
        <v>79200.0</v>
      </c>
    </row>
    <row r="12" ht="15.75" customHeight="1" outlineLevel="1">
      <c r="A12" s="36" t="s">
        <v>114</v>
      </c>
      <c r="B12" s="35">
        <v>350000.0</v>
      </c>
      <c r="C12" s="35"/>
      <c r="D12" s="6"/>
      <c r="E12" s="6"/>
      <c r="F12" s="6"/>
      <c r="G12" s="36"/>
      <c r="H12" s="6"/>
      <c r="I12" s="6">
        <f t="shared" si="1"/>
        <v>0</v>
      </c>
      <c r="J12" s="36">
        <v>50000.0</v>
      </c>
      <c r="K12" s="7">
        <f t="shared" si="2"/>
        <v>400000</v>
      </c>
      <c r="L12" s="3">
        <f t="shared" si="3"/>
        <v>16666.66667</v>
      </c>
      <c r="M12" s="49">
        <f>L12*3</f>
        <v>50000</v>
      </c>
      <c r="P12" s="44">
        <f>P10-P11</f>
        <v>87538.57143</v>
      </c>
    </row>
    <row r="13" ht="15.75" customHeight="1" outlineLevel="1">
      <c r="A13" s="36" t="s">
        <v>34</v>
      </c>
      <c r="B13" s="35">
        <v>76500.0</v>
      </c>
      <c r="C13" s="35">
        <v>76500.0</v>
      </c>
      <c r="D13" s="6"/>
      <c r="E13" s="6"/>
      <c r="F13" s="6"/>
      <c r="G13" s="36"/>
      <c r="H13" s="6"/>
      <c r="I13" s="6">
        <f t="shared" si="1"/>
        <v>0</v>
      </c>
      <c r="J13" s="47"/>
      <c r="K13" s="7">
        <f t="shared" si="2"/>
        <v>0</v>
      </c>
      <c r="L13" s="3">
        <f t="shared" si="3"/>
        <v>3642.857143</v>
      </c>
    </row>
    <row r="14" ht="16.5" customHeight="1" outlineLevel="1">
      <c r="A14" s="3" t="s">
        <v>37</v>
      </c>
      <c r="B14" s="4">
        <v>200000.0</v>
      </c>
      <c r="C14" s="35">
        <v>100000.0</v>
      </c>
      <c r="D14" s="6"/>
      <c r="E14" s="6"/>
      <c r="F14" s="6"/>
      <c r="G14" s="6"/>
      <c r="H14" s="6"/>
      <c r="I14" s="6">
        <f t="shared" si="1"/>
        <v>0</v>
      </c>
      <c r="J14" s="6"/>
      <c r="K14" s="7">
        <f t="shared" si="2"/>
        <v>100000</v>
      </c>
      <c r="L14" s="3">
        <f t="shared" si="3"/>
        <v>9523.809524</v>
      </c>
    </row>
    <row r="15" ht="15.75" customHeight="1">
      <c r="A15" s="36" t="s">
        <v>102</v>
      </c>
      <c r="B15" s="35">
        <v>641000.0</v>
      </c>
      <c r="C15" s="35">
        <v>100000.0</v>
      </c>
      <c r="D15" s="36">
        <v>150000.0</v>
      </c>
      <c r="E15" s="36">
        <v>150000.0</v>
      </c>
      <c r="F15" s="36">
        <v>100000.0</v>
      </c>
      <c r="G15" s="36"/>
      <c r="H15" s="6"/>
      <c r="I15" s="6">
        <f t="shared" si="1"/>
        <v>0</v>
      </c>
      <c r="J15" s="22"/>
      <c r="K15" s="5">
        <f t="shared" si="2"/>
        <v>141000</v>
      </c>
      <c r="L15" s="3">
        <f t="shared" si="3"/>
        <v>30523.80952</v>
      </c>
    </row>
    <row r="16" ht="15.75" customHeight="1" outlineLevel="1">
      <c r="A16" s="36" t="s">
        <v>115</v>
      </c>
      <c r="B16" s="35">
        <v>200000.0</v>
      </c>
      <c r="C16" s="35">
        <v>49540.0</v>
      </c>
      <c r="D16" s="6"/>
      <c r="E16" s="6"/>
      <c r="F16" s="6"/>
      <c r="G16" s="36"/>
      <c r="H16" s="3"/>
      <c r="I16" s="6">
        <f t="shared" si="1"/>
        <v>0</v>
      </c>
      <c r="J16" s="22">
        <f>IFERROR(__xludf.DUMMYFUNCTION("IMPORTRANGE(""https://docs.google.com/spreadsheets/d/1JJd44_6b1hsmD6e8liei_zzkkh-GYab6gE4K23IJPVI/edit?gid=0#gid=0&amp;range=J95"",""'Лист1'!K178"")"),183950.4824999998)</f>
        <v>183950.4825</v>
      </c>
      <c r="K16" s="7">
        <f t="shared" si="2"/>
        <v>334410.4825</v>
      </c>
      <c r="L16" s="3">
        <f t="shared" si="3"/>
        <v>8000</v>
      </c>
    </row>
    <row r="17" ht="15.75" customHeight="1" outlineLevel="1">
      <c r="A17" s="36" t="s">
        <v>116</v>
      </c>
      <c r="B17" s="35">
        <v>200000.0</v>
      </c>
      <c r="C17" s="14">
        <v>40000.0</v>
      </c>
      <c r="D17" s="55">
        <v>30000.0</v>
      </c>
      <c r="E17" s="36">
        <v>50000.0</v>
      </c>
      <c r="F17" s="6"/>
      <c r="G17" s="36"/>
      <c r="H17" s="3"/>
      <c r="I17" s="6">
        <f t="shared" si="1"/>
        <v>24000</v>
      </c>
      <c r="J17" s="22"/>
      <c r="K17" s="7">
        <f t="shared" si="2"/>
        <v>56000</v>
      </c>
      <c r="L17" s="3">
        <f t="shared" si="3"/>
        <v>8000</v>
      </c>
      <c r="N17" s="44">
        <f>K16+K18+K19+K22+K23</f>
        <v>839735.41</v>
      </c>
    </row>
    <row r="18" ht="15.75" customHeight="1" outlineLevel="1">
      <c r="A18" s="36" t="s">
        <v>117</v>
      </c>
      <c r="B18" s="35">
        <v>200000.0</v>
      </c>
      <c r="C18" s="35"/>
      <c r="D18" s="6"/>
      <c r="E18" s="6"/>
      <c r="F18" s="6"/>
      <c r="G18" s="36"/>
      <c r="H18" s="3"/>
      <c r="I18" s="6">
        <f t="shared" si="1"/>
        <v>96000</v>
      </c>
      <c r="J18" s="22"/>
      <c r="K18" s="7">
        <f t="shared" si="2"/>
        <v>104000</v>
      </c>
      <c r="L18" s="3">
        <f t="shared" si="3"/>
        <v>8000</v>
      </c>
    </row>
    <row r="19" ht="15.75" customHeight="1" outlineLevel="1">
      <c r="A19" s="3" t="s">
        <v>91</v>
      </c>
      <c r="B19" s="4">
        <v>100000.0</v>
      </c>
      <c r="C19" s="35">
        <v>24770.0</v>
      </c>
      <c r="D19" s="36">
        <v>100000.0</v>
      </c>
      <c r="E19" s="6"/>
      <c r="F19" s="6"/>
      <c r="G19" s="36"/>
      <c r="H19" s="6"/>
      <c r="I19" s="6">
        <f t="shared" si="1"/>
        <v>0</v>
      </c>
      <c r="J19" s="22">
        <f>IFERROR(__xludf.DUMMYFUNCTION("IMPORTRANGE(""https://docs.google.com/spreadsheets/d/1JJd44_6b1hsmD6e8liei_zzkkh-GYab6gE4K23IJPVI/edit?gid=0#gid=0&amp;range=J95"",""'Лист1'!V168"")"),126094.9275000005)</f>
        <v>126094.9275</v>
      </c>
      <c r="K19" s="7">
        <f t="shared" si="2"/>
        <v>101324.9275</v>
      </c>
      <c r="L19" s="3">
        <f t="shared" si="3"/>
        <v>4000</v>
      </c>
    </row>
    <row r="20" ht="15.75" customHeight="1">
      <c r="A20" s="3" t="s">
        <v>18</v>
      </c>
      <c r="B20" s="4">
        <v>250000.0</v>
      </c>
      <c r="C20" s="35"/>
      <c r="D20" s="6"/>
      <c r="E20" s="6"/>
      <c r="F20" s="6"/>
      <c r="G20" s="36"/>
      <c r="H20" s="6"/>
      <c r="I20" s="6">
        <f t="shared" si="1"/>
        <v>0</v>
      </c>
      <c r="J20" s="5">
        <f>IFERROR(__xludf.DUMMYFUNCTION("IMPORTRANGE(""https://docs.google.com/spreadsheets/d/1JJd44_6b1hsmD6e8liei_zzkkh-GYab6gE4K23IJPVI/edit?gid=0#gid=0&amp;range=J95"",""'Лист1'!I174"")"),86123.72499999963)</f>
        <v>86123.725</v>
      </c>
      <c r="K20" s="7">
        <f t="shared" si="2"/>
        <v>336123.725</v>
      </c>
      <c r="L20" s="3">
        <f t="shared" si="3"/>
        <v>12500</v>
      </c>
      <c r="N20" s="44">
        <f>K16+K18+K19+K22+K23+K2+200000</f>
        <v>1119735.41</v>
      </c>
    </row>
    <row r="21" ht="15.75" customHeight="1" outlineLevel="1">
      <c r="A21" s="36" t="s">
        <v>118</v>
      </c>
      <c r="B21" s="35">
        <v>200000.0</v>
      </c>
      <c r="C21" s="4"/>
      <c r="D21" s="6"/>
      <c r="E21" s="6"/>
      <c r="F21" s="6"/>
      <c r="G21" s="36"/>
      <c r="H21" s="6"/>
      <c r="I21" s="6">
        <f t="shared" si="1"/>
        <v>90000</v>
      </c>
      <c r="J21" s="26"/>
      <c r="K21" s="7">
        <f t="shared" si="2"/>
        <v>110000</v>
      </c>
      <c r="L21" s="3">
        <f t="shared" si="3"/>
        <v>10000</v>
      </c>
    </row>
    <row r="22" ht="15.75" customHeight="1" outlineLevel="1">
      <c r="A22" s="36" t="s">
        <v>39</v>
      </c>
      <c r="B22" s="35">
        <v>250000.0</v>
      </c>
      <c r="C22" s="4"/>
      <c r="D22" s="6"/>
      <c r="E22" s="36" t="s">
        <v>110</v>
      </c>
      <c r="F22" s="6"/>
      <c r="G22" s="6"/>
      <c r="H22" s="6"/>
      <c r="I22" s="6">
        <f t="shared" si="1"/>
        <v>0</v>
      </c>
      <c r="J22" s="26"/>
      <c r="K22" s="50">
        <v>250000.0</v>
      </c>
      <c r="L22" s="3">
        <f t="shared" si="3"/>
        <v>12500</v>
      </c>
    </row>
    <row r="23" ht="18.0" customHeight="1" outlineLevel="1">
      <c r="A23" s="3" t="s">
        <v>67</v>
      </c>
      <c r="B23" s="35">
        <v>350000.0</v>
      </c>
      <c r="C23" s="4"/>
      <c r="D23" s="6"/>
      <c r="E23" s="6"/>
      <c r="F23" s="36">
        <v>300000.0</v>
      </c>
      <c r="G23" s="6"/>
      <c r="H23" s="6"/>
      <c r="I23" s="6">
        <f t="shared" si="1"/>
        <v>0</v>
      </c>
      <c r="J23" s="6"/>
      <c r="K23" s="7">
        <f>B23-D23-E23-F23-I23+J23-G23</f>
        <v>50000</v>
      </c>
      <c r="L23" s="3">
        <f t="shared" si="3"/>
        <v>17500</v>
      </c>
    </row>
    <row r="24" ht="15.75" customHeight="1" outlineLevel="1">
      <c r="A24" s="3" t="s">
        <v>41</v>
      </c>
      <c r="B24" s="4">
        <v>200000.0</v>
      </c>
      <c r="D24" s="6"/>
      <c r="E24" s="6"/>
      <c r="F24" s="6"/>
      <c r="G24" s="6"/>
      <c r="H24" s="6"/>
      <c r="I24" s="6">
        <f t="shared" si="1"/>
        <v>0</v>
      </c>
      <c r="J24" s="27"/>
      <c r="K24" s="7">
        <f>B24-C23-D24-E24-F24-I24+J24-G24</f>
        <v>200000</v>
      </c>
      <c r="L24" s="3">
        <f t="shared" si="3"/>
        <v>10000</v>
      </c>
    </row>
    <row r="25" ht="15.75" customHeight="1">
      <c r="A25" s="31" t="s">
        <v>73</v>
      </c>
      <c r="B25" s="35">
        <f>300000-36364</f>
        <v>263636</v>
      </c>
      <c r="C25" s="35"/>
      <c r="D25" s="36">
        <v>100000.0</v>
      </c>
      <c r="E25" s="6"/>
      <c r="F25" s="6"/>
      <c r="G25" s="36"/>
      <c r="H25" s="6"/>
      <c r="I25" s="6">
        <f t="shared" si="1"/>
        <v>158181.6</v>
      </c>
      <c r="J25" s="27"/>
      <c r="K25" s="50">
        <v>0.0</v>
      </c>
      <c r="L25" s="3">
        <f t="shared" si="3"/>
        <v>13181.8</v>
      </c>
    </row>
    <row r="26" outlineLevel="1">
      <c r="A26" s="3" t="s">
        <v>71</v>
      </c>
      <c r="B26" s="4">
        <v>150000.0</v>
      </c>
      <c r="C26" s="35"/>
      <c r="D26" s="6"/>
      <c r="E26" s="6"/>
      <c r="F26" s="36">
        <v>150000.0</v>
      </c>
      <c r="G26" s="3"/>
      <c r="H26" s="3"/>
      <c r="I26" s="6">
        <f t="shared" si="1"/>
        <v>0</v>
      </c>
      <c r="J26" s="27"/>
      <c r="K26" s="7">
        <f t="shared" ref="K26:K28" si="4">B26-C26-D26-E26-F26-I26+J26-G26</f>
        <v>0</v>
      </c>
      <c r="L26" s="3">
        <f t="shared" si="3"/>
        <v>7142.857143</v>
      </c>
    </row>
    <row r="27" ht="15.75" customHeight="1" outlineLevel="1">
      <c r="A27" s="3" t="s">
        <v>70</v>
      </c>
      <c r="B27" s="4">
        <v>70000.0</v>
      </c>
      <c r="C27" s="4"/>
      <c r="D27" s="6"/>
      <c r="E27" s="6"/>
      <c r="F27" s="6"/>
      <c r="G27" s="6"/>
      <c r="H27" s="6"/>
      <c r="I27" s="6">
        <f t="shared" si="1"/>
        <v>0</v>
      </c>
      <c r="J27" s="6"/>
      <c r="K27" s="7">
        <f t="shared" si="4"/>
        <v>70000</v>
      </c>
      <c r="L27" s="3">
        <f t="shared" si="3"/>
        <v>3333.333333</v>
      </c>
    </row>
    <row r="28" ht="15.75" customHeight="1" outlineLevel="1">
      <c r="A28" s="3" t="s">
        <v>15</v>
      </c>
      <c r="B28" s="35">
        <v>120000.0</v>
      </c>
      <c r="C28" s="4"/>
      <c r="D28" s="6"/>
      <c r="E28" s="6"/>
      <c r="F28" s="6"/>
      <c r="G28" s="6"/>
      <c r="H28" s="6"/>
      <c r="I28" s="6">
        <f t="shared" si="1"/>
        <v>0</v>
      </c>
      <c r="J28" s="6"/>
      <c r="K28" s="7">
        <f t="shared" si="4"/>
        <v>120000</v>
      </c>
      <c r="L28" s="3">
        <f t="shared" si="3"/>
        <v>5714.285714</v>
      </c>
      <c r="N28" s="47">
        <v>157506.0</v>
      </c>
    </row>
    <row r="29" ht="15.75" customHeight="1">
      <c r="A29" s="3"/>
      <c r="B29" s="4"/>
      <c r="C29" s="4"/>
      <c r="D29" s="6"/>
      <c r="E29" s="6"/>
      <c r="F29" s="6"/>
      <c r="G29" s="6"/>
      <c r="H29" s="6"/>
      <c r="I29" s="6"/>
      <c r="J29" s="6"/>
      <c r="K29" s="5"/>
      <c r="L29" s="3"/>
    </row>
    <row r="30" ht="15.75" customHeight="1">
      <c r="A30" s="3" t="s">
        <v>26</v>
      </c>
      <c r="B30" s="6"/>
      <c r="C30" s="6"/>
      <c r="D30" s="6"/>
      <c r="E30" s="6"/>
      <c r="F30" s="6"/>
      <c r="G30" s="6"/>
      <c r="H30" s="6"/>
      <c r="I30" s="6"/>
      <c r="J30" s="6"/>
      <c r="K30" s="22">
        <f>SUM(K2:K28)</f>
        <v>4552048.659</v>
      </c>
      <c r="L30" s="3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ht="15.75" customHeight="1">
      <c r="A33" s="9"/>
      <c r="B33" s="9"/>
      <c r="C33" s="9"/>
      <c r="D33" s="53" t="s">
        <v>110</v>
      </c>
      <c r="E33" s="9"/>
      <c r="F33" s="9"/>
      <c r="G33" s="9"/>
      <c r="H33" s="9"/>
      <c r="I33" s="9"/>
      <c r="J33" s="9"/>
      <c r="K33" s="9"/>
    </row>
    <row r="34" ht="15.75" customHeight="1">
      <c r="A34" s="9"/>
      <c r="B34" s="9"/>
      <c r="C34" s="9"/>
      <c r="D34" s="9"/>
      <c r="E34" s="9"/>
      <c r="F34" s="53"/>
      <c r="G34" s="9"/>
      <c r="H34" s="9"/>
      <c r="I34" s="9"/>
      <c r="J34" s="9"/>
      <c r="K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ht="15.75" customHeight="1">
      <c r="A36" s="3" t="s">
        <v>79</v>
      </c>
      <c r="B36" s="29" t="s">
        <v>28</v>
      </c>
      <c r="C36" s="30" t="s">
        <v>29</v>
      </c>
      <c r="D36" s="31" t="s">
        <v>80</v>
      </c>
      <c r="E36" s="3" t="s">
        <v>81</v>
      </c>
      <c r="F36" s="9"/>
      <c r="G36" s="9"/>
      <c r="H36" s="9"/>
      <c r="I36" s="9"/>
      <c r="J36" s="9"/>
      <c r="K36" s="9"/>
    </row>
    <row r="37" ht="15.75" customHeight="1">
      <c r="A37" s="3" t="s">
        <v>11</v>
      </c>
      <c r="B37" s="36">
        <v>20.0</v>
      </c>
      <c r="C37" s="3">
        <f t="shared" ref="C37:C63" si="5">B37-D37</f>
        <v>20</v>
      </c>
      <c r="D37" s="36">
        <v>0.0</v>
      </c>
      <c r="E37" s="32">
        <v>45297.0</v>
      </c>
      <c r="F37" s="9"/>
      <c r="G37" s="9"/>
      <c r="H37" s="9"/>
      <c r="I37" s="9"/>
      <c r="J37" s="9"/>
      <c r="K37" s="9"/>
    </row>
    <row r="38" ht="15.75" customHeight="1">
      <c r="A38" s="3" t="s">
        <v>12</v>
      </c>
      <c r="B38" s="36">
        <v>20.0</v>
      </c>
      <c r="C38" s="3">
        <f t="shared" si="5"/>
        <v>20</v>
      </c>
      <c r="D38" s="36">
        <v>0.0</v>
      </c>
      <c r="E38" s="32">
        <v>45297.0</v>
      </c>
      <c r="F38" s="9"/>
      <c r="G38" s="9"/>
      <c r="H38" s="9"/>
      <c r="I38" s="9"/>
      <c r="J38" s="9"/>
      <c r="K38" s="9"/>
    </row>
    <row r="39" ht="15.75" customHeight="1">
      <c r="A39" s="3" t="s">
        <v>13</v>
      </c>
      <c r="B39" s="36">
        <v>21.0</v>
      </c>
      <c r="C39" s="3">
        <f t="shared" si="5"/>
        <v>19</v>
      </c>
      <c r="D39" s="36">
        <v>2.0</v>
      </c>
      <c r="E39" s="32">
        <v>45327.0</v>
      </c>
      <c r="F39" s="53"/>
      <c r="G39" s="9"/>
      <c r="H39" s="9"/>
      <c r="I39" s="17">
        <f>K7+K8+K9+K10+K11+K12+K14+K28</f>
        <v>1478967.619</v>
      </c>
      <c r="J39" s="53">
        <v>2356000.0</v>
      </c>
      <c r="K39" s="17">
        <f>I39+J39+J40</f>
        <v>4834967.619</v>
      </c>
      <c r="P39" s="44">
        <f>K23+K22+K21</f>
        <v>410000</v>
      </c>
    </row>
    <row r="40" ht="15.75" customHeight="1">
      <c r="A40" s="3" t="s">
        <v>14</v>
      </c>
      <c r="B40" s="36">
        <v>21.0</v>
      </c>
      <c r="C40" s="3">
        <f t="shared" si="5"/>
        <v>21</v>
      </c>
      <c r="D40" s="36">
        <v>0.0</v>
      </c>
      <c r="E40" s="32">
        <v>45327.0</v>
      </c>
      <c r="F40" s="53"/>
      <c r="G40" s="9"/>
      <c r="H40" s="53"/>
      <c r="I40" s="53">
        <v>243600.0</v>
      </c>
      <c r="J40" s="53">
        <v>1000000.0</v>
      </c>
      <c r="K40" s="9"/>
    </row>
    <row r="41" ht="15.75" customHeight="1">
      <c r="A41" s="3" t="s">
        <v>72</v>
      </c>
      <c r="B41" s="36">
        <v>21.0</v>
      </c>
      <c r="C41" s="3">
        <f t="shared" si="5"/>
        <v>21</v>
      </c>
      <c r="D41" s="36">
        <v>0.0</v>
      </c>
      <c r="E41" s="32">
        <v>45327.0</v>
      </c>
      <c r="F41" s="53"/>
      <c r="G41" s="9"/>
      <c r="H41" s="9"/>
      <c r="I41" s="9"/>
      <c r="J41" s="9"/>
      <c r="K41" s="9"/>
    </row>
    <row r="42" ht="15.75" customHeight="1">
      <c r="A42" s="3" t="s">
        <v>52</v>
      </c>
      <c r="B42" s="36">
        <v>21.0</v>
      </c>
      <c r="C42" s="3">
        <f t="shared" si="5"/>
        <v>16</v>
      </c>
      <c r="D42" s="36">
        <v>5.0</v>
      </c>
      <c r="E42" s="32">
        <v>45327.0</v>
      </c>
      <c r="F42" s="53"/>
      <c r="G42" s="9"/>
      <c r="H42" s="9"/>
      <c r="I42" s="9"/>
      <c r="J42" s="9"/>
      <c r="K42" s="9"/>
    </row>
    <row r="43" ht="15.75" customHeight="1">
      <c r="A43" s="3" t="s">
        <v>75</v>
      </c>
      <c r="B43" s="36">
        <v>8.0</v>
      </c>
      <c r="C43" s="3">
        <f t="shared" si="5"/>
        <v>8</v>
      </c>
      <c r="D43" s="36">
        <v>0.0</v>
      </c>
      <c r="E43" s="32">
        <v>45297.0</v>
      </c>
      <c r="F43" s="53"/>
      <c r="G43" s="53"/>
      <c r="H43" s="9"/>
      <c r="I43" s="9"/>
      <c r="J43" s="9"/>
      <c r="K43" s="9"/>
    </row>
    <row r="44" ht="15.75" customHeight="1">
      <c r="A44" s="46" t="s">
        <v>106</v>
      </c>
      <c r="B44" s="36">
        <v>21.0</v>
      </c>
      <c r="C44" s="3">
        <f t="shared" si="5"/>
        <v>17</v>
      </c>
      <c r="D44" s="41">
        <v>4.0</v>
      </c>
      <c r="E44" s="32">
        <v>45327.0</v>
      </c>
      <c r="F44" s="47"/>
    </row>
    <row r="45" ht="15.75" customHeight="1">
      <c r="A45" s="46" t="s">
        <v>109</v>
      </c>
      <c r="B45" s="36">
        <v>21.0</v>
      </c>
      <c r="C45" s="3">
        <f t="shared" si="5"/>
        <v>18</v>
      </c>
      <c r="D45" s="41">
        <v>3.0</v>
      </c>
      <c r="E45" s="32">
        <v>45327.0</v>
      </c>
      <c r="F45" s="47"/>
    </row>
    <row r="46" ht="15.75" customHeight="1">
      <c r="A46" s="36" t="s">
        <v>47</v>
      </c>
      <c r="B46" s="36">
        <v>21.0</v>
      </c>
      <c r="C46" s="3">
        <f t="shared" si="5"/>
        <v>21</v>
      </c>
      <c r="D46" s="41">
        <v>0.0</v>
      </c>
      <c r="E46" s="32">
        <v>45327.0</v>
      </c>
    </row>
    <row r="47" ht="15.75" customHeight="1">
      <c r="A47" s="36" t="s">
        <v>114</v>
      </c>
      <c r="B47" s="36">
        <v>21.0</v>
      </c>
      <c r="C47" s="3">
        <f t="shared" si="5"/>
        <v>21</v>
      </c>
      <c r="D47" s="41">
        <v>0.0</v>
      </c>
      <c r="E47" s="32">
        <v>45327.0</v>
      </c>
    </row>
    <row r="48" ht="15.75" customHeight="1">
      <c r="A48" s="36" t="s">
        <v>34</v>
      </c>
      <c r="B48" s="36">
        <v>21.0</v>
      </c>
      <c r="C48" s="3">
        <f t="shared" si="5"/>
        <v>21</v>
      </c>
      <c r="D48" s="41">
        <v>0.0</v>
      </c>
      <c r="E48" s="32">
        <v>45327.0</v>
      </c>
    </row>
    <row r="49" ht="15.75" customHeight="1">
      <c r="A49" s="3" t="s">
        <v>37</v>
      </c>
      <c r="B49" s="36">
        <v>21.0</v>
      </c>
      <c r="C49" s="3">
        <f t="shared" si="5"/>
        <v>21</v>
      </c>
      <c r="D49" s="36">
        <v>0.0</v>
      </c>
      <c r="E49" s="32">
        <v>45327.0</v>
      </c>
      <c r="F49" s="9"/>
      <c r="G49" s="9"/>
      <c r="H49" s="9"/>
      <c r="I49" s="9"/>
      <c r="J49" s="9"/>
      <c r="K49" s="9"/>
    </row>
    <row r="50" ht="15.75" customHeight="1">
      <c r="A50" s="3" t="s">
        <v>54</v>
      </c>
      <c r="B50" s="36">
        <v>21.0</v>
      </c>
      <c r="C50" s="3">
        <f t="shared" si="5"/>
        <v>21</v>
      </c>
      <c r="D50" s="36">
        <v>0.0</v>
      </c>
      <c r="E50" s="32">
        <v>45297.0</v>
      </c>
      <c r="F50" s="9"/>
      <c r="G50" s="9"/>
      <c r="H50" s="9"/>
      <c r="I50" s="9"/>
      <c r="J50" s="9"/>
      <c r="K50" s="9"/>
    </row>
    <row r="51" ht="15.75" customHeight="1">
      <c r="A51" s="36" t="s">
        <v>115</v>
      </c>
      <c r="B51" s="36">
        <v>25.0</v>
      </c>
      <c r="C51" s="3">
        <f t="shared" si="5"/>
        <v>25</v>
      </c>
      <c r="D51" s="41">
        <v>0.0</v>
      </c>
      <c r="E51" s="32">
        <v>45297.0</v>
      </c>
      <c r="F51" s="47"/>
      <c r="G51" s="2"/>
      <c r="H51" s="2"/>
      <c r="I51" s="47" t="s">
        <v>119</v>
      </c>
    </row>
    <row r="52" ht="15.75" customHeight="1">
      <c r="A52" s="36" t="s">
        <v>116</v>
      </c>
      <c r="B52" s="36">
        <v>25.0</v>
      </c>
      <c r="C52" s="3">
        <f t="shared" si="5"/>
        <v>22</v>
      </c>
      <c r="D52" s="41">
        <v>3.0</v>
      </c>
      <c r="E52" s="32">
        <v>45297.0</v>
      </c>
      <c r="F52" s="47"/>
      <c r="G52" s="2"/>
      <c r="H52" s="2"/>
      <c r="I52" s="47" t="s">
        <v>120</v>
      </c>
    </row>
    <row r="53" ht="15.75" customHeight="1">
      <c r="A53" s="36" t="s">
        <v>117</v>
      </c>
      <c r="B53" s="36">
        <v>25.0</v>
      </c>
      <c r="C53" s="3">
        <f t="shared" si="5"/>
        <v>13</v>
      </c>
      <c r="D53" s="41">
        <v>12.0</v>
      </c>
      <c r="E53" s="32">
        <v>45297.0</v>
      </c>
      <c r="F53" s="47"/>
      <c r="G53" s="2"/>
      <c r="H53" s="2"/>
    </row>
    <row r="54" ht="15.75" customHeight="1">
      <c r="A54" s="3" t="s">
        <v>91</v>
      </c>
      <c r="B54" s="36">
        <v>25.0</v>
      </c>
      <c r="C54" s="3">
        <f t="shared" si="5"/>
        <v>25</v>
      </c>
      <c r="D54" s="36">
        <v>0.0</v>
      </c>
      <c r="E54" s="32">
        <v>45297.0</v>
      </c>
      <c r="F54" s="53"/>
      <c r="G54" s="9"/>
      <c r="H54" s="9"/>
      <c r="I54" s="9"/>
      <c r="J54" s="9"/>
      <c r="K54" s="9"/>
    </row>
    <row r="55" ht="15.75" customHeight="1">
      <c r="A55" s="3" t="s">
        <v>18</v>
      </c>
      <c r="B55" s="36">
        <v>20.0</v>
      </c>
      <c r="C55" s="3">
        <f t="shared" si="5"/>
        <v>20</v>
      </c>
      <c r="D55" s="41">
        <v>0.0</v>
      </c>
      <c r="E55" s="32">
        <v>45297.0</v>
      </c>
      <c r="F55" s="47"/>
      <c r="G55" s="2"/>
      <c r="H55" s="2"/>
      <c r="I55" s="47">
        <v>21.0</v>
      </c>
    </row>
    <row r="56" ht="15.75" customHeight="1">
      <c r="A56" s="36" t="s">
        <v>118</v>
      </c>
      <c r="B56" s="36">
        <v>20.0</v>
      </c>
      <c r="C56" s="3">
        <f t="shared" si="5"/>
        <v>11</v>
      </c>
      <c r="D56" s="41">
        <v>9.0</v>
      </c>
      <c r="E56" s="32">
        <v>45297.0</v>
      </c>
    </row>
    <row r="57" ht="15.75" customHeight="1">
      <c r="A57" s="36" t="s">
        <v>39</v>
      </c>
      <c r="B57" s="36">
        <v>20.0</v>
      </c>
      <c r="C57" s="3">
        <f t="shared" si="5"/>
        <v>20</v>
      </c>
      <c r="D57" s="41">
        <v>0.0</v>
      </c>
      <c r="E57" s="32">
        <v>45297.0</v>
      </c>
      <c r="I57" s="47" t="s">
        <v>121</v>
      </c>
    </row>
    <row r="58" ht="15.75" customHeight="1">
      <c r="A58" s="3" t="s">
        <v>67</v>
      </c>
      <c r="B58" s="36">
        <v>20.0</v>
      </c>
      <c r="C58" s="3">
        <f t="shared" si="5"/>
        <v>20</v>
      </c>
      <c r="D58" s="41">
        <v>0.0</v>
      </c>
      <c r="E58" s="32">
        <v>45297.0</v>
      </c>
    </row>
    <row r="59" ht="15.75" customHeight="1">
      <c r="A59" s="3" t="s">
        <v>41</v>
      </c>
      <c r="B59" s="36">
        <v>20.0</v>
      </c>
      <c r="C59" s="3">
        <f t="shared" si="5"/>
        <v>20</v>
      </c>
      <c r="D59" s="41">
        <v>0.0</v>
      </c>
      <c r="E59" s="32">
        <v>45297.0</v>
      </c>
    </row>
    <row r="60" ht="15.75" customHeight="1">
      <c r="A60" s="3" t="s">
        <v>73</v>
      </c>
      <c r="B60" s="36">
        <v>20.0</v>
      </c>
      <c r="C60" s="3">
        <f t="shared" si="5"/>
        <v>8</v>
      </c>
      <c r="D60" s="41">
        <v>12.0</v>
      </c>
      <c r="E60" s="32">
        <v>45297.0</v>
      </c>
      <c r="F60" s="47"/>
      <c r="I60" s="47" t="s">
        <v>122</v>
      </c>
    </row>
    <row r="61" ht="15.75" customHeight="1">
      <c r="A61" s="3" t="s">
        <v>71</v>
      </c>
      <c r="B61" s="36">
        <v>21.0</v>
      </c>
      <c r="C61" s="3">
        <f t="shared" si="5"/>
        <v>21</v>
      </c>
      <c r="D61" s="41">
        <v>0.0</v>
      </c>
      <c r="E61" s="32">
        <v>45327.0</v>
      </c>
      <c r="I61" s="47" t="s">
        <v>123</v>
      </c>
    </row>
    <row r="62" ht="15.75" customHeight="1">
      <c r="A62" s="3" t="s">
        <v>70</v>
      </c>
      <c r="B62" s="36">
        <v>21.0</v>
      </c>
      <c r="C62" s="3">
        <f t="shared" si="5"/>
        <v>21</v>
      </c>
      <c r="D62" s="41">
        <v>0.0</v>
      </c>
      <c r="E62" s="32">
        <v>45327.0</v>
      </c>
      <c r="I62" s="47" t="s">
        <v>124</v>
      </c>
    </row>
    <row r="63" ht="15.75" customHeight="1">
      <c r="A63" s="3" t="s">
        <v>15</v>
      </c>
      <c r="B63" s="36">
        <v>21.0</v>
      </c>
      <c r="C63" s="3">
        <f t="shared" si="5"/>
        <v>21</v>
      </c>
      <c r="D63" s="41">
        <v>0.0</v>
      </c>
      <c r="E63" s="32">
        <v>45327.0</v>
      </c>
      <c r="F63" s="47"/>
      <c r="I63" s="47" t="s">
        <v>125</v>
      </c>
    </row>
    <row r="64" ht="15.75" customHeight="1">
      <c r="A64" s="47"/>
      <c r="B64" s="47"/>
      <c r="F64" s="47"/>
      <c r="I64" s="47" t="s">
        <v>126</v>
      </c>
    </row>
    <row r="65" ht="15.75" customHeight="1">
      <c r="A65" s="47"/>
      <c r="B65" s="47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56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8" t="s">
        <v>62</v>
      </c>
      <c r="H1" s="58" t="s">
        <v>63</v>
      </c>
      <c r="I1" s="58" t="s">
        <v>48</v>
      </c>
      <c r="J1" s="58" t="s">
        <v>64</v>
      </c>
      <c r="K1" s="58" t="s">
        <v>65</v>
      </c>
      <c r="L1" s="58" t="s">
        <v>66</v>
      </c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15.75" customHeight="1">
      <c r="A2" s="60" t="s">
        <v>127</v>
      </c>
      <c r="B2" s="61">
        <v>200000.0</v>
      </c>
      <c r="C2" s="62"/>
      <c r="D2" s="63"/>
      <c r="E2" s="63"/>
      <c r="F2" s="63"/>
      <c r="G2" s="63"/>
      <c r="H2" s="64"/>
      <c r="I2" s="65">
        <f t="shared" ref="I2:I8" si="1">L2*D38</f>
        <v>0</v>
      </c>
      <c r="J2" s="64"/>
      <c r="K2" s="66">
        <f t="shared" ref="K2:K4" si="2">B2-C2-D2-E2-F2-I2+J2-G2</f>
        <v>200000</v>
      </c>
      <c r="L2" s="55">
        <f t="shared" ref="L2:L13" si="3">B2/B38</f>
        <v>10000</v>
      </c>
      <c r="M2" s="67"/>
      <c r="N2" s="59"/>
      <c r="O2" s="59"/>
      <c r="P2" s="59"/>
      <c r="Q2" s="68"/>
      <c r="R2" s="59"/>
      <c r="S2" s="59"/>
      <c r="T2" s="59"/>
      <c r="U2" s="59"/>
      <c r="V2" s="59"/>
      <c r="W2" s="59"/>
      <c r="X2" s="59"/>
      <c r="Y2" s="59"/>
      <c r="Z2" s="59"/>
    </row>
    <row r="3" ht="15.75" customHeight="1">
      <c r="A3" s="60" t="s">
        <v>128</v>
      </c>
      <c r="B3" s="61">
        <v>200000.0</v>
      </c>
      <c r="C3" s="69">
        <v>27353.0</v>
      </c>
      <c r="D3" s="63"/>
      <c r="E3" s="63"/>
      <c r="F3" s="63"/>
      <c r="G3" s="63"/>
      <c r="H3" s="64"/>
      <c r="I3" s="65">
        <f t="shared" si="1"/>
        <v>0</v>
      </c>
      <c r="J3" s="64"/>
      <c r="K3" s="66">
        <f t="shared" si="2"/>
        <v>172647</v>
      </c>
      <c r="L3" s="55">
        <f t="shared" si="3"/>
        <v>10000</v>
      </c>
      <c r="M3" s="67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15.75" customHeight="1">
      <c r="A4" s="60" t="s">
        <v>129</v>
      </c>
      <c r="B4" s="61">
        <v>1000000.0</v>
      </c>
      <c r="C4" s="62"/>
      <c r="D4" s="63"/>
      <c r="E4" s="63"/>
      <c r="F4" s="63"/>
      <c r="G4" s="63"/>
      <c r="H4" s="64"/>
      <c r="I4" s="65">
        <f t="shared" si="1"/>
        <v>150000</v>
      </c>
      <c r="J4" s="70">
        <v>49000.0</v>
      </c>
      <c r="K4" s="66">
        <f t="shared" si="2"/>
        <v>899000</v>
      </c>
      <c r="L4" s="55">
        <f t="shared" si="3"/>
        <v>50000</v>
      </c>
      <c r="M4" s="67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5.75" customHeight="1">
      <c r="A5" s="71" t="s">
        <v>130</v>
      </c>
      <c r="B5" s="61">
        <v>200000.0</v>
      </c>
      <c r="C5" s="62"/>
      <c r="D5" s="63"/>
      <c r="E5" s="63"/>
      <c r="F5" s="63"/>
      <c r="G5" s="63"/>
      <c r="H5" s="61">
        <v>200000.0</v>
      </c>
      <c r="I5" s="65">
        <f t="shared" si="1"/>
        <v>0</v>
      </c>
      <c r="J5" s="64"/>
      <c r="K5" s="72">
        <v>0.0</v>
      </c>
      <c r="L5" s="55">
        <f t="shared" si="3"/>
        <v>10000</v>
      </c>
      <c r="M5" s="67" t="s">
        <v>131</v>
      </c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5.75" customHeight="1">
      <c r="A6" s="71" t="s">
        <v>132</v>
      </c>
      <c r="B6" s="61">
        <v>45000.0</v>
      </c>
      <c r="C6" s="62"/>
      <c r="D6" s="63"/>
      <c r="E6" s="63"/>
      <c r="F6" s="63"/>
      <c r="G6" s="63"/>
      <c r="H6" s="70"/>
      <c r="I6" s="65">
        <f t="shared" si="1"/>
        <v>0</v>
      </c>
      <c r="J6" s="64"/>
      <c r="K6" s="66">
        <f t="shared" ref="K6:K7" si="4">B6-C6-D6-E6-F6-I6+J6-G6</f>
        <v>45000</v>
      </c>
      <c r="L6" s="55">
        <f t="shared" si="3"/>
        <v>2250</v>
      </c>
      <c r="M6" s="67" t="s">
        <v>131</v>
      </c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5.75" customHeight="1">
      <c r="A7" s="71" t="s">
        <v>75</v>
      </c>
      <c r="B7" s="14">
        <v>150000.0</v>
      </c>
      <c r="C7" s="62"/>
      <c r="D7" s="64"/>
      <c r="E7" s="64"/>
      <c r="F7" s="64"/>
      <c r="G7" s="63"/>
      <c r="H7" s="64"/>
      <c r="I7" s="65">
        <f t="shared" si="1"/>
        <v>0</v>
      </c>
      <c r="J7" s="64"/>
      <c r="K7" s="66">
        <f t="shared" si="4"/>
        <v>150000</v>
      </c>
      <c r="L7" s="55">
        <f t="shared" si="3"/>
        <v>18750</v>
      </c>
      <c r="M7" s="67" t="s">
        <v>131</v>
      </c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5.75" customHeight="1" outlineLevel="1">
      <c r="A8" s="73" t="s">
        <v>100</v>
      </c>
      <c r="B8" s="14">
        <v>230000.0</v>
      </c>
      <c r="C8" s="62"/>
      <c r="D8" s="64"/>
      <c r="E8" s="64"/>
      <c r="F8" s="70">
        <v>227500.0</v>
      </c>
      <c r="G8" s="63"/>
      <c r="H8" s="70"/>
      <c r="I8" s="65">
        <f t="shared" si="1"/>
        <v>34500</v>
      </c>
      <c r="J8" s="70">
        <v>32000.0</v>
      </c>
      <c r="K8" s="66">
        <f t="shared" ref="K8:K10" si="5">B8-C8-D8-E8-F8-I8+J8-G8-H8</f>
        <v>0</v>
      </c>
      <c r="L8" s="55">
        <f t="shared" si="3"/>
        <v>11500</v>
      </c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6.5" customHeight="1" outlineLevel="1">
      <c r="A9" s="71" t="s">
        <v>47</v>
      </c>
      <c r="B9" s="61">
        <v>224000.0</v>
      </c>
      <c r="C9" s="62"/>
      <c r="D9" s="64"/>
      <c r="E9" s="64"/>
      <c r="F9" s="64"/>
      <c r="G9" s="70">
        <v>1000.0</v>
      </c>
      <c r="H9" s="64"/>
      <c r="I9" s="65">
        <f>L9*D52</f>
        <v>0</v>
      </c>
      <c r="J9" s="64"/>
      <c r="K9" s="66">
        <f t="shared" si="5"/>
        <v>223000</v>
      </c>
      <c r="L9" s="55">
        <f t="shared" si="3"/>
        <v>11200</v>
      </c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5.0" customHeight="1" outlineLevel="1">
      <c r="A10" s="73" t="s">
        <v>133</v>
      </c>
      <c r="B10" s="14">
        <v>350000.0</v>
      </c>
      <c r="C10" s="62"/>
      <c r="D10" s="64"/>
      <c r="E10" s="64"/>
      <c r="F10" s="64"/>
      <c r="G10" s="63"/>
      <c r="H10" s="70"/>
      <c r="I10" s="65">
        <f>L10*D52</f>
        <v>0</v>
      </c>
      <c r="J10" s="64"/>
      <c r="K10" s="66">
        <f t="shared" si="5"/>
        <v>350000</v>
      </c>
      <c r="L10" s="55">
        <f t="shared" si="3"/>
        <v>17500</v>
      </c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5.75" customHeight="1" outlineLevel="1">
      <c r="A11" s="73" t="s">
        <v>34</v>
      </c>
      <c r="B11" s="61">
        <v>63000.0</v>
      </c>
      <c r="C11" s="62"/>
      <c r="D11" s="64"/>
      <c r="E11" s="64"/>
      <c r="F11" s="64"/>
      <c r="G11" s="63"/>
      <c r="H11" s="70">
        <v>63000.0</v>
      </c>
      <c r="I11" s="65"/>
      <c r="J11" s="63"/>
      <c r="K11" s="74">
        <v>0.0</v>
      </c>
      <c r="L11" s="55">
        <f t="shared" si="3"/>
        <v>3150</v>
      </c>
      <c r="M11" s="67" t="s">
        <v>134</v>
      </c>
      <c r="N11" s="67" t="s">
        <v>135</v>
      </c>
      <c r="O11" s="67" t="s">
        <v>136</v>
      </c>
      <c r="P11" s="67" t="s">
        <v>137</v>
      </c>
      <c r="Q11" s="67" t="s">
        <v>138</v>
      </c>
      <c r="R11" s="67" t="s">
        <v>139</v>
      </c>
      <c r="S11" s="67" t="s">
        <v>140</v>
      </c>
      <c r="T11" s="59"/>
      <c r="U11" s="59"/>
      <c r="V11" s="59"/>
      <c r="W11" s="59"/>
      <c r="X11" s="59"/>
      <c r="Y11" s="59"/>
      <c r="Z11" s="59"/>
    </row>
    <row r="12" ht="15.75" customHeight="1" outlineLevel="1">
      <c r="A12" s="73" t="s">
        <v>141</v>
      </c>
      <c r="B12" s="61">
        <v>264000.0</v>
      </c>
      <c r="C12" s="62"/>
      <c r="D12" s="64"/>
      <c r="E12" s="64"/>
      <c r="F12" s="64"/>
      <c r="G12" s="63"/>
      <c r="H12" s="70">
        <v>264000.0</v>
      </c>
      <c r="I12" s="65"/>
      <c r="J12" s="64"/>
      <c r="K12" s="74">
        <v>0.0</v>
      </c>
      <c r="L12" s="55">
        <f t="shared" si="3"/>
        <v>14666.66667</v>
      </c>
      <c r="M12" s="67" t="s">
        <v>140</v>
      </c>
      <c r="N12" s="67" t="s">
        <v>142</v>
      </c>
      <c r="O12" s="67" t="s">
        <v>143</v>
      </c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15.75" customHeight="1" outlineLevel="1">
      <c r="A13" s="73" t="s">
        <v>144</v>
      </c>
      <c r="B13" s="14">
        <v>300000.0</v>
      </c>
      <c r="C13" s="62"/>
      <c r="D13" s="64"/>
      <c r="E13" s="64"/>
      <c r="F13" s="64"/>
      <c r="G13" s="63"/>
      <c r="H13" s="64"/>
      <c r="I13" s="65">
        <f>L13*D49</f>
        <v>115384.6154</v>
      </c>
      <c r="J13" s="64"/>
      <c r="K13" s="66">
        <f t="shared" ref="K13:K15" si="6">B13-C13-D13-E13-F13-I13+J13-G13-H13</f>
        <v>184615.3846</v>
      </c>
      <c r="L13" s="55">
        <f t="shared" si="3"/>
        <v>23076.92308</v>
      </c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5.75" customHeight="1" outlineLevel="1">
      <c r="A14" s="60" t="s">
        <v>145</v>
      </c>
      <c r="B14" s="61">
        <v>56000.0</v>
      </c>
      <c r="C14" s="62"/>
      <c r="D14" s="64"/>
      <c r="E14" s="64"/>
      <c r="F14" s="64"/>
      <c r="G14" s="70">
        <v>5000.0</v>
      </c>
      <c r="H14" s="64"/>
      <c r="I14" s="65"/>
      <c r="J14" s="64"/>
      <c r="K14" s="66">
        <f t="shared" si="6"/>
        <v>51000</v>
      </c>
      <c r="L14" s="75">
        <v>0.0</v>
      </c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6.5" customHeight="1" outlineLevel="1">
      <c r="A15" s="71" t="s">
        <v>37</v>
      </c>
      <c r="B15" s="14">
        <v>200000.0</v>
      </c>
      <c r="C15" s="62"/>
      <c r="D15" s="64"/>
      <c r="E15" s="64"/>
      <c r="F15" s="70">
        <v>150000.0</v>
      </c>
      <c r="G15" s="64"/>
      <c r="H15" s="64"/>
      <c r="I15" s="65">
        <f t="shared" ref="I15:I17" si="7">L15*D52</f>
        <v>0</v>
      </c>
      <c r="J15" s="64"/>
      <c r="K15" s="66">
        <f t="shared" si="6"/>
        <v>50000</v>
      </c>
      <c r="L15" s="55">
        <f t="shared" ref="L15:L19" si="8">B15/B52</f>
        <v>10000</v>
      </c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15.75" customHeight="1">
      <c r="A16" s="76" t="s">
        <v>102</v>
      </c>
      <c r="B16" s="77">
        <v>400000.0</v>
      </c>
      <c r="C16" s="78"/>
      <c r="D16" s="79"/>
      <c r="E16" s="79"/>
      <c r="F16" s="79"/>
      <c r="G16" s="79"/>
      <c r="H16" s="80"/>
      <c r="I16" s="81">
        <f t="shared" si="7"/>
        <v>116666.6667</v>
      </c>
      <c r="J16" s="78"/>
      <c r="K16" s="82">
        <v>0.0</v>
      </c>
      <c r="L16" s="83">
        <f t="shared" si="8"/>
        <v>16666.66667</v>
      </c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ht="15.75" customHeight="1" outlineLevel="1">
      <c r="A17" s="73" t="s">
        <v>115</v>
      </c>
      <c r="B17" s="14">
        <v>200000.0</v>
      </c>
      <c r="C17" s="62"/>
      <c r="D17" s="64"/>
      <c r="E17" s="64"/>
      <c r="F17" s="64"/>
      <c r="G17" s="63"/>
      <c r="H17" s="64"/>
      <c r="I17" s="65">
        <f t="shared" si="7"/>
        <v>8333.333333</v>
      </c>
      <c r="J17" s="85">
        <f>IFERROR(__xludf.DUMMYFUNCTION("IMPORTRANGE(""https://docs.google.com/spreadsheets/d/1JJd44_6b1hsmD6e8liei_zzkkh-GYab6gE4K23IJPVI/edit?gid=0#gid=0&amp;range=J95"",""'Лист1'!K205"")"),119018.60999999971)</f>
        <v>119018.61</v>
      </c>
      <c r="K17" s="66">
        <f>B17-C17-D17-E17-F17-I17+J17-G17-H17</f>
        <v>310685.2767</v>
      </c>
      <c r="L17" s="55">
        <f t="shared" si="8"/>
        <v>8333.333333</v>
      </c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5.75" customHeight="1" outlineLevel="1">
      <c r="A18" s="76" t="s">
        <v>116</v>
      </c>
      <c r="B18" s="77">
        <v>200000.0</v>
      </c>
      <c r="C18" s="77">
        <v>30000.0</v>
      </c>
      <c r="D18" s="86">
        <v>50000.0</v>
      </c>
      <c r="E18" s="86">
        <v>40000.0</v>
      </c>
      <c r="F18" s="80"/>
      <c r="G18" s="79"/>
      <c r="H18" s="80"/>
      <c r="I18" s="81">
        <f>L18*D56</f>
        <v>0</v>
      </c>
      <c r="J18" s="78"/>
      <c r="K18" s="82">
        <v>0.0</v>
      </c>
      <c r="L18" s="83">
        <f t="shared" si="8"/>
        <v>8333.333333</v>
      </c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ht="15.75" customHeight="1" outlineLevel="1">
      <c r="A19" s="73" t="s">
        <v>91</v>
      </c>
      <c r="B19" s="14">
        <v>100000.0</v>
      </c>
      <c r="C19" s="62"/>
      <c r="D19" s="64"/>
      <c r="E19" s="64"/>
      <c r="F19" s="64"/>
      <c r="G19" s="70">
        <v>3000.0</v>
      </c>
      <c r="H19" s="64"/>
      <c r="I19" s="65">
        <f t="shared" ref="I19:I20" si="9">L19*D56</f>
        <v>0</v>
      </c>
      <c r="J19" s="85">
        <f>IFERROR(__xludf.DUMMYFUNCTION("IMPORTRANGE(""https://docs.google.com/spreadsheets/d/1JJd44_6b1hsmD6e8liei_zzkkh-GYab6gE4K23IJPVI/edit?gid=0#gid=0&amp;range=J95"",""'Лист1'!V195"")+100000"),234593.65)</f>
        <v>234593.65</v>
      </c>
      <c r="K19" s="66">
        <f t="shared" ref="K19:K20" si="10">B19-C19-D19-E19-F19-I19+J19-G19-H19</f>
        <v>331593.65</v>
      </c>
      <c r="L19" s="55">
        <f t="shared" si="8"/>
        <v>4166.666667</v>
      </c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5.75" customHeight="1" outlineLevel="1">
      <c r="A20" s="60" t="s">
        <v>146</v>
      </c>
      <c r="B20" s="61">
        <v>120000.0</v>
      </c>
      <c r="C20" s="62"/>
      <c r="D20" s="64"/>
      <c r="E20" s="64"/>
      <c r="F20" s="70">
        <v>55000.0</v>
      </c>
      <c r="G20" s="63"/>
      <c r="H20" s="64"/>
      <c r="I20" s="65">
        <f t="shared" si="9"/>
        <v>65000</v>
      </c>
      <c r="J20" s="85"/>
      <c r="K20" s="66">
        <f t="shared" si="10"/>
        <v>0</v>
      </c>
      <c r="L20" s="55">
        <f>B20/B58</f>
        <v>5000</v>
      </c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5.75" customHeight="1" outlineLevel="1">
      <c r="A21" s="71" t="s">
        <v>18</v>
      </c>
      <c r="B21" s="14">
        <v>250000.0</v>
      </c>
      <c r="C21" s="62"/>
      <c r="D21" s="64"/>
      <c r="E21" s="64"/>
      <c r="F21" s="64"/>
      <c r="G21" s="63"/>
      <c r="H21" s="64"/>
      <c r="I21" s="65">
        <f>L21*D59</f>
        <v>0</v>
      </c>
      <c r="J21" s="87">
        <f>IFERROR(__xludf.DUMMYFUNCTION("IMPORTRANGE(""https://docs.google.com/spreadsheets/d/1JJd44_6b1hsmD6e8liei_zzkkh-GYab6gE4K23IJPVI/edit?gid=0#gid=0&amp;range=J95"",""'Лист1'!I201"")"),70447.84999999963)</f>
        <v>70447.85</v>
      </c>
      <c r="K21" s="66">
        <f>B21-C21-D21-E21-F21-I21+J21-G21</f>
        <v>320447.85</v>
      </c>
      <c r="L21" s="55">
        <f t="shared" ref="L21:L29" si="11">B21/B58</f>
        <v>10416.66667</v>
      </c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5.75" customHeight="1">
      <c r="A22" s="71" t="s">
        <v>118</v>
      </c>
      <c r="B22" s="14">
        <v>200000.0</v>
      </c>
      <c r="C22" s="62"/>
      <c r="D22" s="64"/>
      <c r="E22" s="64"/>
      <c r="F22" s="64"/>
      <c r="G22" s="63"/>
      <c r="H22" s="64"/>
      <c r="I22" s="65">
        <f t="shared" ref="I22:I29" si="12">L22*D59</f>
        <v>0</v>
      </c>
      <c r="J22" s="62"/>
      <c r="K22" s="66">
        <f t="shared" ref="K22:K24" si="13">B22-C22-D22-E22-F22-I22+J22-G22-H22</f>
        <v>200000</v>
      </c>
      <c r="L22" s="55">
        <f t="shared" si="11"/>
        <v>8333.333333</v>
      </c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5.75" customHeight="1" outlineLevel="1">
      <c r="A23" s="73" t="s">
        <v>39</v>
      </c>
      <c r="B23" s="14">
        <v>250000.0</v>
      </c>
      <c r="C23" s="62"/>
      <c r="D23" s="64"/>
      <c r="E23" s="64"/>
      <c r="F23" s="64"/>
      <c r="G23" s="70">
        <v>4000.0</v>
      </c>
      <c r="H23" s="64"/>
      <c r="I23" s="65">
        <f t="shared" si="12"/>
        <v>0</v>
      </c>
      <c r="J23" s="64"/>
      <c r="K23" s="66">
        <f t="shared" si="13"/>
        <v>246000</v>
      </c>
      <c r="L23" s="55">
        <f t="shared" si="11"/>
        <v>10416.66667</v>
      </c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5.75" customHeight="1" outlineLevel="1">
      <c r="A24" s="73" t="s">
        <v>67</v>
      </c>
      <c r="B24" s="14">
        <v>300000.0</v>
      </c>
      <c r="C24" s="62"/>
      <c r="D24" s="64"/>
      <c r="E24" s="64"/>
      <c r="F24" s="64"/>
      <c r="G24" s="64"/>
      <c r="H24" s="64"/>
      <c r="I24" s="65">
        <f t="shared" si="12"/>
        <v>0</v>
      </c>
      <c r="J24" s="64"/>
      <c r="K24" s="66">
        <f t="shared" si="13"/>
        <v>300000</v>
      </c>
      <c r="L24" s="55">
        <f t="shared" si="11"/>
        <v>12500</v>
      </c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8.0" customHeight="1" outlineLevel="1">
      <c r="A25" s="71" t="s">
        <v>41</v>
      </c>
      <c r="B25" s="14">
        <v>200000.0</v>
      </c>
      <c r="C25" s="88"/>
      <c r="D25" s="64"/>
      <c r="E25" s="64"/>
      <c r="F25" s="64"/>
      <c r="G25" s="64"/>
      <c r="H25" s="64"/>
      <c r="I25" s="65">
        <f t="shared" si="12"/>
        <v>0</v>
      </c>
      <c r="J25" s="64"/>
      <c r="K25" s="66">
        <f>B25-C24-D25-E25-F25-I25+J25-G25</f>
        <v>200000</v>
      </c>
      <c r="L25" s="55">
        <f t="shared" si="11"/>
        <v>8333.333333</v>
      </c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5.75" customHeight="1" outlineLevel="1">
      <c r="A26" s="71" t="s">
        <v>147</v>
      </c>
      <c r="B26" s="14">
        <v>250000.0</v>
      </c>
      <c r="C26" s="62"/>
      <c r="D26" s="64"/>
      <c r="E26" s="64"/>
      <c r="F26" s="70">
        <v>156250.0</v>
      </c>
      <c r="G26" s="64"/>
      <c r="H26" s="64"/>
      <c r="I26" s="65">
        <f t="shared" si="12"/>
        <v>72916.66667</v>
      </c>
      <c r="J26" s="64"/>
      <c r="K26" s="66">
        <f>B26-C26-D26-E26-F26-I26+J26-G26-H26</f>
        <v>20833.33333</v>
      </c>
      <c r="L26" s="55">
        <f t="shared" si="11"/>
        <v>10416.66667</v>
      </c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5.75" customHeight="1">
      <c r="A27" s="73" t="s">
        <v>71</v>
      </c>
      <c r="B27" s="61">
        <v>200000.0</v>
      </c>
      <c r="C27" s="62"/>
      <c r="D27" s="63"/>
      <c r="E27" s="64"/>
      <c r="F27" s="64"/>
      <c r="G27" s="63"/>
      <c r="H27" s="64"/>
      <c r="I27" s="65">
        <f t="shared" si="12"/>
        <v>0</v>
      </c>
      <c r="J27" s="64"/>
      <c r="K27" s="66">
        <f>B27-C27-D27-E27-F27-I27+J27-G27</f>
        <v>200000</v>
      </c>
      <c r="L27" s="55">
        <f t="shared" si="11"/>
        <v>10000</v>
      </c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outlineLevel="1">
      <c r="A28" s="71" t="s">
        <v>70</v>
      </c>
      <c r="B28" s="61">
        <v>100000.0</v>
      </c>
      <c r="C28" s="62"/>
      <c r="D28" s="64"/>
      <c r="E28" s="64"/>
      <c r="F28" s="70">
        <v>100000.0</v>
      </c>
      <c r="G28" s="64"/>
      <c r="H28" s="64"/>
      <c r="I28" s="65">
        <f t="shared" si="12"/>
        <v>0</v>
      </c>
      <c r="J28" s="64"/>
      <c r="K28" s="66">
        <f t="shared" ref="K28:K29" si="14">B28-C28-D28-E28-F28-I28+J28-G28-H28</f>
        <v>0</v>
      </c>
      <c r="L28" s="55">
        <f t="shared" si="11"/>
        <v>5000</v>
      </c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5.75" customHeight="1" outlineLevel="1">
      <c r="A29" s="71" t="s">
        <v>15</v>
      </c>
      <c r="B29" s="14">
        <v>120000.0</v>
      </c>
      <c r="C29" s="62"/>
      <c r="D29" s="64"/>
      <c r="E29" s="64"/>
      <c r="F29" s="64"/>
      <c r="G29" s="64"/>
      <c r="H29" s="64"/>
      <c r="I29" s="65">
        <f t="shared" si="12"/>
        <v>0</v>
      </c>
      <c r="J29" s="64"/>
      <c r="K29" s="66">
        <f t="shared" si="14"/>
        <v>120000</v>
      </c>
      <c r="L29" s="55">
        <f t="shared" si="11"/>
        <v>6000</v>
      </c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5.75" customHeight="1" outlineLevel="1">
      <c r="A30" s="64"/>
      <c r="B30" s="62"/>
      <c r="C30" s="62"/>
      <c r="D30" s="64"/>
      <c r="E30" s="64"/>
      <c r="F30" s="64"/>
      <c r="G30" s="64"/>
      <c r="H30" s="64"/>
      <c r="I30" s="64"/>
      <c r="J30" s="64"/>
      <c r="K30" s="62"/>
      <c r="L30" s="64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5.75" customHeight="1">
      <c r="A31" s="71" t="s">
        <v>26</v>
      </c>
      <c r="B31" s="62"/>
      <c r="C31" s="62"/>
      <c r="D31" s="64"/>
      <c r="E31" s="64"/>
      <c r="F31" s="64"/>
      <c r="G31" s="64"/>
      <c r="H31" s="64"/>
      <c r="I31" s="64"/>
      <c r="J31" s="64"/>
      <c r="K31" s="89">
        <f>SUM(K2:K29)</f>
        <v>4574822.495</v>
      </c>
      <c r="L31" s="64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5.75" customHeight="1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88"/>
      <c r="L32" s="90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5.75" customHeight="1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5.75" customHeight="1">
      <c r="A34" s="90"/>
      <c r="B34" s="90"/>
      <c r="C34" s="90"/>
      <c r="D34" s="91" t="s">
        <v>110</v>
      </c>
      <c r="E34" s="90"/>
      <c r="F34" s="90"/>
      <c r="G34" s="90"/>
      <c r="H34" s="90"/>
      <c r="I34" s="90"/>
      <c r="J34" s="90"/>
      <c r="K34" s="90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5.75" customHeight="1">
      <c r="A35" s="90"/>
      <c r="B35" s="90"/>
      <c r="C35" s="90"/>
      <c r="D35" s="92"/>
      <c r="E35" s="90"/>
      <c r="F35" s="90"/>
      <c r="G35" s="90"/>
      <c r="H35" s="90"/>
      <c r="I35" s="90"/>
      <c r="J35" s="90"/>
      <c r="K35" s="90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>
      <c r="A36" s="90"/>
      <c r="B36" s="90"/>
      <c r="C36" s="90"/>
      <c r="D36" s="90"/>
      <c r="E36" s="90"/>
      <c r="F36" s="92"/>
      <c r="G36" s="90"/>
      <c r="H36" s="90"/>
      <c r="I36" s="90"/>
      <c r="J36" s="90"/>
      <c r="K36" s="90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5.75" customHeight="1">
      <c r="A37" s="71" t="s">
        <v>79</v>
      </c>
      <c r="B37" s="93" t="s">
        <v>28</v>
      </c>
      <c r="C37" s="94" t="s">
        <v>29</v>
      </c>
      <c r="D37" s="95" t="s">
        <v>80</v>
      </c>
      <c r="E37" s="71" t="s">
        <v>81</v>
      </c>
      <c r="F37" s="90"/>
      <c r="G37" s="90"/>
      <c r="H37" s="90"/>
      <c r="I37" s="90"/>
      <c r="J37" s="90"/>
      <c r="K37" s="90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5.75" customHeight="1">
      <c r="A38" s="60" t="s">
        <v>127</v>
      </c>
      <c r="B38" s="55">
        <v>20.0</v>
      </c>
      <c r="C38" s="55">
        <f t="shared" ref="C38:C66" si="15">B38-D38</f>
        <v>20</v>
      </c>
      <c r="D38" s="96">
        <v>0.0</v>
      </c>
      <c r="E38" s="97">
        <v>45327.0</v>
      </c>
      <c r="F38" s="90"/>
      <c r="G38" s="90"/>
      <c r="H38" s="90"/>
      <c r="I38" s="90"/>
      <c r="J38" s="90"/>
      <c r="K38" s="90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5.75" customHeight="1">
      <c r="A39" s="60" t="s">
        <v>128</v>
      </c>
      <c r="B39" s="55">
        <v>20.0</v>
      </c>
      <c r="C39" s="55">
        <f t="shared" si="15"/>
        <v>20</v>
      </c>
      <c r="D39" s="96">
        <v>0.0</v>
      </c>
      <c r="E39" s="97">
        <v>45327.0</v>
      </c>
      <c r="F39" s="90"/>
      <c r="G39" s="90"/>
      <c r="H39" s="90"/>
      <c r="I39" s="68" t="s">
        <v>148</v>
      </c>
      <c r="J39" s="90"/>
      <c r="K39" s="90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5.75" customHeight="1">
      <c r="A40" s="60" t="s">
        <v>129</v>
      </c>
      <c r="B40" s="55">
        <v>20.0</v>
      </c>
      <c r="C40" s="55">
        <f t="shared" si="15"/>
        <v>17</v>
      </c>
      <c r="D40" s="98">
        <v>3.0</v>
      </c>
      <c r="E40" s="99">
        <v>45693.0</v>
      </c>
      <c r="F40" s="68"/>
      <c r="G40" s="90"/>
      <c r="H40" s="90"/>
      <c r="I40" s="90"/>
      <c r="J40" s="90"/>
      <c r="K40" s="90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5.75" customHeight="1">
      <c r="A41" s="71" t="s">
        <v>14</v>
      </c>
      <c r="B41" s="55">
        <v>20.0</v>
      </c>
      <c r="C41" s="55">
        <f t="shared" si="15"/>
        <v>20</v>
      </c>
      <c r="D41" s="96">
        <v>0.0</v>
      </c>
      <c r="E41" s="97">
        <v>45327.0</v>
      </c>
      <c r="F41" s="90"/>
      <c r="G41" s="90"/>
      <c r="H41" s="90"/>
      <c r="I41" s="90"/>
      <c r="J41" s="90"/>
      <c r="K41" s="90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5.75" customHeight="1">
      <c r="A42" s="60" t="s">
        <v>86</v>
      </c>
      <c r="B42" s="75">
        <v>20.0</v>
      </c>
      <c r="C42" s="55">
        <f t="shared" si="15"/>
        <v>20</v>
      </c>
      <c r="D42" s="96">
        <v>0.0</v>
      </c>
      <c r="E42" s="97">
        <v>45327.0</v>
      </c>
      <c r="F42" s="90"/>
      <c r="G42" s="90"/>
      <c r="H42" s="90"/>
      <c r="I42" s="90"/>
      <c r="J42" s="90"/>
      <c r="K42" s="90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A43" s="71" t="s">
        <v>75</v>
      </c>
      <c r="B43" s="100">
        <v>8.0</v>
      </c>
      <c r="C43" s="55">
        <f t="shared" si="15"/>
        <v>8</v>
      </c>
      <c r="D43" s="101">
        <v>0.0</v>
      </c>
      <c r="E43" s="97">
        <v>45297.0</v>
      </c>
      <c r="F43" s="90"/>
      <c r="G43" s="90"/>
      <c r="H43" s="90"/>
      <c r="I43" s="90"/>
      <c r="J43" s="90"/>
      <c r="K43" s="90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5.75" customHeight="1">
      <c r="A44" s="102" t="s">
        <v>109</v>
      </c>
      <c r="B44" s="100">
        <v>20.0</v>
      </c>
      <c r="C44" s="55">
        <f t="shared" si="15"/>
        <v>17</v>
      </c>
      <c r="D44" s="98">
        <v>3.0</v>
      </c>
      <c r="E44" s="97">
        <v>45327.0</v>
      </c>
      <c r="F44" s="103">
        <v>41556.0</v>
      </c>
      <c r="G44" s="90"/>
      <c r="H44" s="90"/>
      <c r="I44" s="90"/>
      <c r="J44" s="90"/>
      <c r="K44" s="90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5.75" customHeight="1">
      <c r="A45" s="71" t="s">
        <v>47</v>
      </c>
      <c r="B45" s="100">
        <v>20.0</v>
      </c>
      <c r="C45" s="55">
        <f t="shared" si="15"/>
        <v>20</v>
      </c>
      <c r="D45" s="101">
        <v>0.0</v>
      </c>
      <c r="E45" s="97">
        <v>45327.0</v>
      </c>
      <c r="F45" s="104" t="s">
        <v>149</v>
      </c>
      <c r="G45" s="90"/>
      <c r="H45" s="92"/>
      <c r="I45" s="90"/>
      <c r="J45" s="90"/>
      <c r="K45" s="90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5.75" customHeight="1">
      <c r="A46" s="73" t="s">
        <v>114</v>
      </c>
      <c r="B46" s="100">
        <v>20.0</v>
      </c>
      <c r="C46" s="55">
        <f t="shared" si="15"/>
        <v>20</v>
      </c>
      <c r="D46" s="101">
        <v>0.0</v>
      </c>
      <c r="E46" s="97">
        <v>45327.0</v>
      </c>
      <c r="F46" s="92"/>
      <c r="G46" s="90"/>
      <c r="H46" s="90"/>
      <c r="I46" s="90"/>
      <c r="J46" s="90"/>
      <c r="K46" s="90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5.75" customHeight="1">
      <c r="A47" s="71" t="s">
        <v>34</v>
      </c>
      <c r="B47" s="100">
        <v>20.0</v>
      </c>
      <c r="C47" s="55">
        <f t="shared" si="15"/>
        <v>20</v>
      </c>
      <c r="D47" s="101">
        <v>0.0</v>
      </c>
      <c r="E47" s="97">
        <v>45327.0</v>
      </c>
      <c r="F47" s="92"/>
      <c r="G47" s="92"/>
      <c r="H47" s="90"/>
      <c r="I47" s="90"/>
      <c r="J47" s="90"/>
      <c r="K47" s="90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5.75" customHeight="1">
      <c r="A48" s="73" t="s">
        <v>150</v>
      </c>
      <c r="B48" s="100">
        <v>18.0</v>
      </c>
      <c r="C48" s="55">
        <f t="shared" si="15"/>
        <v>18</v>
      </c>
      <c r="D48" s="101">
        <v>0.0</v>
      </c>
      <c r="E48" s="97">
        <v>45297.0</v>
      </c>
      <c r="F48" s="104" t="s">
        <v>151</v>
      </c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5.75" customHeight="1">
      <c r="A49" s="73" t="s">
        <v>152</v>
      </c>
      <c r="B49" s="75">
        <v>13.0</v>
      </c>
      <c r="C49" s="55">
        <f t="shared" si="15"/>
        <v>8</v>
      </c>
      <c r="D49" s="98">
        <v>5.0</v>
      </c>
      <c r="E49" s="97">
        <v>45327.0</v>
      </c>
      <c r="F49" s="104" t="s">
        <v>153</v>
      </c>
      <c r="G49" s="67" t="s">
        <v>154</v>
      </c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>
      <c r="A50" s="60" t="s">
        <v>155</v>
      </c>
      <c r="B50" s="75" t="s">
        <v>156</v>
      </c>
      <c r="C50" s="55" t="str">
        <f t="shared" si="15"/>
        <v>#VALUE!</v>
      </c>
      <c r="D50" s="98">
        <v>0.0</v>
      </c>
      <c r="E50" s="97">
        <v>45327.0</v>
      </c>
      <c r="F50" s="104"/>
      <c r="G50" s="67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5.75" customHeight="1">
      <c r="A51" s="73" t="s">
        <v>157</v>
      </c>
      <c r="B51" s="100">
        <v>20.0</v>
      </c>
      <c r="C51" s="55">
        <f t="shared" si="15"/>
        <v>10</v>
      </c>
      <c r="D51" s="101">
        <v>10.0</v>
      </c>
      <c r="E51" s="97">
        <v>45327.0</v>
      </c>
      <c r="F51" s="104" t="s">
        <v>158</v>
      </c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5.75" customHeight="1">
      <c r="A52" s="73" t="s">
        <v>37</v>
      </c>
      <c r="B52" s="100">
        <v>20.0</v>
      </c>
      <c r="C52" s="55">
        <f t="shared" si="15"/>
        <v>20</v>
      </c>
      <c r="D52" s="101">
        <v>0.0</v>
      </c>
      <c r="E52" s="97">
        <v>45327.0</v>
      </c>
      <c r="F52" s="92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5.75" customHeight="1">
      <c r="A53" s="73" t="s">
        <v>54</v>
      </c>
      <c r="B53" s="100">
        <v>24.0</v>
      </c>
      <c r="C53" s="55">
        <f t="shared" si="15"/>
        <v>17</v>
      </c>
      <c r="D53" s="98">
        <v>7.0</v>
      </c>
      <c r="E53" s="97">
        <v>45297.0</v>
      </c>
      <c r="F53" s="92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5.75" customHeight="1">
      <c r="A54" s="71" t="s">
        <v>115</v>
      </c>
      <c r="B54" s="100">
        <v>24.0</v>
      </c>
      <c r="C54" s="55">
        <f t="shared" si="15"/>
        <v>23</v>
      </c>
      <c r="D54" s="98">
        <v>1.0</v>
      </c>
      <c r="E54" s="97">
        <v>45297.0</v>
      </c>
      <c r="F54" s="92"/>
      <c r="G54" s="90"/>
      <c r="H54" s="90"/>
      <c r="I54" s="90"/>
      <c r="J54" s="90"/>
      <c r="K54" s="90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5.75" customHeight="1">
      <c r="A55" s="71" t="s">
        <v>116</v>
      </c>
      <c r="B55" s="100">
        <v>24.0</v>
      </c>
      <c r="C55" s="55">
        <f t="shared" si="15"/>
        <v>24</v>
      </c>
      <c r="D55" s="101">
        <v>0.0</v>
      </c>
      <c r="E55" s="97">
        <v>45297.0</v>
      </c>
      <c r="F55" s="92"/>
      <c r="G55" s="90"/>
      <c r="H55" s="90"/>
      <c r="I55" s="90"/>
      <c r="J55" s="90"/>
      <c r="K55" s="90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5.75" customHeight="1">
      <c r="A56" s="73" t="s">
        <v>91</v>
      </c>
      <c r="B56" s="100">
        <v>24.0</v>
      </c>
      <c r="C56" s="55">
        <f t="shared" si="15"/>
        <v>24</v>
      </c>
      <c r="D56" s="101">
        <v>0.0</v>
      </c>
      <c r="E56" s="97">
        <v>45297.0</v>
      </c>
      <c r="F56" s="92"/>
      <c r="G56" s="90"/>
      <c r="H56" s="90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5.75" customHeight="1">
      <c r="A57" s="60" t="s">
        <v>146</v>
      </c>
      <c r="B57" s="100">
        <v>24.0</v>
      </c>
      <c r="C57" s="55">
        <f t="shared" si="15"/>
        <v>11</v>
      </c>
      <c r="D57" s="98">
        <v>13.0</v>
      </c>
      <c r="E57" s="97">
        <v>45297.0</v>
      </c>
      <c r="F57" s="92"/>
      <c r="G57" s="90"/>
      <c r="H57" s="90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5.75" customHeight="1">
      <c r="A58" s="73" t="s">
        <v>18</v>
      </c>
      <c r="B58" s="100">
        <v>24.0</v>
      </c>
      <c r="C58" s="55">
        <f t="shared" si="15"/>
        <v>24</v>
      </c>
      <c r="D58" s="101">
        <v>0.0</v>
      </c>
      <c r="E58" s="97">
        <v>45297.0</v>
      </c>
      <c r="F58" s="92"/>
      <c r="G58" s="90"/>
      <c r="H58" s="90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5.75" customHeight="1">
      <c r="A59" s="73" t="s">
        <v>118</v>
      </c>
      <c r="B59" s="100">
        <v>24.0</v>
      </c>
      <c r="C59" s="55">
        <f t="shared" si="15"/>
        <v>24</v>
      </c>
      <c r="D59" s="101">
        <v>0.0</v>
      </c>
      <c r="E59" s="97">
        <v>45297.0</v>
      </c>
      <c r="F59" s="92"/>
      <c r="G59" s="90"/>
      <c r="H59" s="9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5.75" customHeight="1">
      <c r="A60" s="71" t="s">
        <v>39</v>
      </c>
      <c r="B60" s="100">
        <v>24.0</v>
      </c>
      <c r="C60" s="55">
        <f t="shared" si="15"/>
        <v>24</v>
      </c>
      <c r="D60" s="101">
        <v>0.0</v>
      </c>
      <c r="E60" s="97">
        <v>45297.0</v>
      </c>
      <c r="F60" s="92"/>
      <c r="G60" s="90"/>
      <c r="H60" s="90"/>
      <c r="I60" s="90"/>
      <c r="J60" s="90"/>
      <c r="K60" s="90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5.75" customHeight="1">
      <c r="A61" s="71" t="s">
        <v>67</v>
      </c>
      <c r="B61" s="100">
        <v>24.0</v>
      </c>
      <c r="C61" s="55">
        <f t="shared" si="15"/>
        <v>24</v>
      </c>
      <c r="D61" s="101">
        <v>0.0</v>
      </c>
      <c r="E61" s="97">
        <v>45297.0</v>
      </c>
      <c r="F61" s="92"/>
      <c r="G61" s="90"/>
      <c r="H61" s="9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5.75" customHeight="1">
      <c r="A62" s="73" t="s">
        <v>41</v>
      </c>
      <c r="B62" s="100">
        <v>24.0</v>
      </c>
      <c r="C62" s="55">
        <f t="shared" si="15"/>
        <v>24</v>
      </c>
      <c r="D62" s="101">
        <v>0.0</v>
      </c>
      <c r="E62" s="97">
        <v>45297.0</v>
      </c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5.75" customHeight="1">
      <c r="A63" s="73" t="s">
        <v>147</v>
      </c>
      <c r="B63" s="100">
        <v>24.0</v>
      </c>
      <c r="C63" s="55">
        <f t="shared" si="15"/>
        <v>17</v>
      </c>
      <c r="D63" s="98">
        <v>7.0</v>
      </c>
      <c r="E63" s="97">
        <v>45297.0</v>
      </c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5.75" customHeight="1">
      <c r="A64" s="71" t="s">
        <v>71</v>
      </c>
      <c r="B64" s="100">
        <v>20.0</v>
      </c>
      <c r="C64" s="55">
        <f t="shared" si="15"/>
        <v>20</v>
      </c>
      <c r="D64" s="101">
        <v>0.0</v>
      </c>
      <c r="E64" s="97">
        <v>45327.0</v>
      </c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5.75" customHeight="1">
      <c r="A65" s="71" t="s">
        <v>70</v>
      </c>
      <c r="B65" s="100">
        <v>20.0</v>
      </c>
      <c r="C65" s="55">
        <f t="shared" si="15"/>
        <v>20</v>
      </c>
      <c r="D65" s="101">
        <v>0.0</v>
      </c>
      <c r="E65" s="97">
        <v>45327.0</v>
      </c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5.75" customHeight="1">
      <c r="A66" s="73" t="s">
        <v>15</v>
      </c>
      <c r="B66" s="100">
        <v>20.0</v>
      </c>
      <c r="C66" s="55">
        <f t="shared" si="15"/>
        <v>20</v>
      </c>
      <c r="D66" s="101">
        <v>0.0</v>
      </c>
      <c r="E66" s="97">
        <v>45327.0</v>
      </c>
      <c r="F66" s="92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5.75" customHeight="1">
      <c r="A67" s="90"/>
      <c r="B67" s="92"/>
      <c r="C67" s="90"/>
      <c r="D67" s="92"/>
      <c r="E67" s="105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5.75" customHeight="1">
      <c r="A68" s="90"/>
      <c r="B68" s="92"/>
      <c r="C68" s="90"/>
      <c r="D68" s="92"/>
      <c r="E68" s="105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5.75" customHeight="1">
      <c r="A69" s="90"/>
      <c r="B69" s="92"/>
      <c r="C69" s="90"/>
      <c r="D69" s="92"/>
      <c r="E69" s="105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5.75" customHeight="1">
      <c r="A70" s="92"/>
      <c r="B70" s="92"/>
      <c r="C70" s="59"/>
      <c r="D70" s="59"/>
      <c r="E70" s="59"/>
      <c r="F70" s="92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5.75" customHeight="1">
      <c r="A71" s="92"/>
      <c r="B71" s="92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0.56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56" t="s">
        <v>0</v>
      </c>
      <c r="B1" s="106" t="s">
        <v>159</v>
      </c>
      <c r="C1" s="107" t="s">
        <v>2</v>
      </c>
      <c r="D1" s="107" t="s">
        <v>3</v>
      </c>
      <c r="E1" s="107" t="s">
        <v>4</v>
      </c>
      <c r="F1" s="107" t="s">
        <v>5</v>
      </c>
      <c r="G1" s="56" t="s">
        <v>62</v>
      </c>
      <c r="H1" s="106" t="s">
        <v>160</v>
      </c>
      <c r="I1" s="56" t="s">
        <v>48</v>
      </c>
      <c r="J1" s="56" t="s">
        <v>64</v>
      </c>
      <c r="K1" s="56" t="s">
        <v>65</v>
      </c>
      <c r="L1" s="56" t="s">
        <v>66</v>
      </c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ht="15.75" customHeight="1">
      <c r="A2" s="109" t="s">
        <v>127</v>
      </c>
      <c r="B2" s="110">
        <v>319000.0</v>
      </c>
      <c r="C2" s="111">
        <v>20000.0</v>
      </c>
      <c r="D2" s="109">
        <v>50000.0</v>
      </c>
      <c r="E2" s="109">
        <v>100000.0</v>
      </c>
      <c r="F2" s="109">
        <v>139000.0</v>
      </c>
      <c r="G2" s="109">
        <v>10000.0</v>
      </c>
      <c r="H2" s="112"/>
      <c r="I2" s="113">
        <f t="shared" ref="I2:I4" si="1">L2*D41</f>
        <v>0</v>
      </c>
      <c r="J2" s="112"/>
      <c r="K2" s="114">
        <f t="shared" ref="K2:K31" si="2">B2-C2-D2-E2-F2-I2+J2-G2-H2</f>
        <v>0</v>
      </c>
      <c r="L2" s="115">
        <f t="shared" ref="L2:L5" si="3">B2/B41</f>
        <v>15950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315000.0</v>
      </c>
      <c r="C3" s="111">
        <v>100000.0</v>
      </c>
      <c r="D3" s="109">
        <v>100000.0</v>
      </c>
      <c r="E3" s="109">
        <v>100000.0</v>
      </c>
      <c r="F3" s="117"/>
      <c r="G3" s="117"/>
      <c r="H3" s="109">
        <v>15000.0</v>
      </c>
      <c r="I3" s="113">
        <f t="shared" si="1"/>
        <v>0</v>
      </c>
      <c r="J3" s="112"/>
      <c r="K3" s="114">
        <f t="shared" si="2"/>
        <v>0</v>
      </c>
      <c r="L3" s="115">
        <f t="shared" si="3"/>
        <v>15750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09" t="s">
        <v>129</v>
      </c>
      <c r="B4" s="110">
        <v>1000000.0</v>
      </c>
      <c r="C4" s="111">
        <v>150000.0</v>
      </c>
      <c r="D4" s="111">
        <v>100000.0</v>
      </c>
      <c r="E4" s="109">
        <v>120000.0</v>
      </c>
      <c r="F4" s="109">
        <v>532000.0</v>
      </c>
      <c r="G4" s="109">
        <v>98000.0</v>
      </c>
      <c r="H4" s="112"/>
      <c r="I4" s="113">
        <f t="shared" si="1"/>
        <v>0</v>
      </c>
      <c r="J4" s="112"/>
      <c r="K4" s="114">
        <f t="shared" si="2"/>
        <v>0</v>
      </c>
      <c r="L4" s="115">
        <f t="shared" si="3"/>
        <v>50000</v>
      </c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>
      <c r="A5" s="118" t="s">
        <v>132</v>
      </c>
      <c r="B5" s="110">
        <v>49500.0</v>
      </c>
      <c r="C5" s="119"/>
      <c r="D5" s="117"/>
      <c r="E5" s="117"/>
      <c r="F5" s="117"/>
      <c r="G5" s="117"/>
      <c r="H5" s="112"/>
      <c r="I5" s="120">
        <v>49500.0</v>
      </c>
      <c r="J5" s="112"/>
      <c r="K5" s="121">
        <f t="shared" si="2"/>
        <v>0</v>
      </c>
      <c r="L5" s="115">
        <f t="shared" si="3"/>
        <v>2475</v>
      </c>
      <c r="M5" s="116" t="s">
        <v>131</v>
      </c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>
      <c r="A6" s="118" t="s">
        <v>75</v>
      </c>
      <c r="B6" s="122">
        <v>150000.0</v>
      </c>
      <c r="C6" s="111">
        <v>150000.0</v>
      </c>
      <c r="D6" s="112"/>
      <c r="E6" s="112"/>
      <c r="F6" s="112"/>
      <c r="G6" s="117"/>
      <c r="H6" s="112"/>
      <c r="I6" s="113">
        <f>L6*D46</f>
        <v>0</v>
      </c>
      <c r="J6" s="112"/>
      <c r="K6" s="121">
        <f t="shared" si="2"/>
        <v>0</v>
      </c>
      <c r="L6" s="115">
        <f t="shared" ref="L6:L17" si="4">B6/B46</f>
        <v>18750</v>
      </c>
      <c r="M6" s="116" t="s">
        <v>131</v>
      </c>
      <c r="N6" s="108"/>
      <c r="O6" s="108"/>
      <c r="P6" s="108"/>
      <c r="Q6" s="123">
        <f>K4+K5+K7+K8+K10+K11+K12+K13+K28-850000+150000+200000+15000</f>
        <v>-485000</v>
      </c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24" t="s">
        <v>100</v>
      </c>
      <c r="B7" s="122">
        <v>230000.0</v>
      </c>
      <c r="C7" s="119"/>
      <c r="D7" s="112"/>
      <c r="E7" s="112"/>
      <c r="F7" s="112"/>
      <c r="G7" s="109">
        <v>2000.0</v>
      </c>
      <c r="H7" s="112"/>
      <c r="I7" s="120">
        <v>228000.0</v>
      </c>
      <c r="J7" s="112"/>
      <c r="K7" s="121">
        <f t="shared" si="2"/>
        <v>0</v>
      </c>
      <c r="L7" s="115">
        <f t="shared" si="4"/>
        <v>11500</v>
      </c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18" t="s">
        <v>47</v>
      </c>
      <c r="B8" s="110">
        <v>157500.0</v>
      </c>
      <c r="C8" s="119"/>
      <c r="D8" s="112"/>
      <c r="E8" s="112"/>
      <c r="F8" s="112"/>
      <c r="G8" s="112"/>
      <c r="H8" s="112"/>
      <c r="I8" s="120">
        <v>157500.0</v>
      </c>
      <c r="J8" s="112"/>
      <c r="K8" s="121">
        <f t="shared" si="2"/>
        <v>0</v>
      </c>
      <c r="L8" s="115">
        <f t="shared" si="4"/>
        <v>7875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24" t="s">
        <v>133</v>
      </c>
      <c r="B9" s="110">
        <v>450000.0</v>
      </c>
      <c r="C9" s="111">
        <v>435000.0</v>
      </c>
      <c r="D9" s="112"/>
      <c r="E9" s="112"/>
      <c r="F9" s="112"/>
      <c r="G9" s="117"/>
      <c r="H9" s="109">
        <v>15000.0</v>
      </c>
      <c r="I9" s="113">
        <f>L9*D55</f>
        <v>0</v>
      </c>
      <c r="J9" s="112"/>
      <c r="K9" s="121">
        <f t="shared" si="2"/>
        <v>0</v>
      </c>
      <c r="L9" s="115">
        <f t="shared" si="4"/>
        <v>22500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24" t="s">
        <v>141</v>
      </c>
      <c r="B10" s="110">
        <v>318000.0</v>
      </c>
      <c r="C10" s="111">
        <v>180000.0</v>
      </c>
      <c r="D10" s="112"/>
      <c r="E10" s="112"/>
      <c r="F10" s="112"/>
      <c r="G10" s="117"/>
      <c r="H10" s="109">
        <v>5000.0</v>
      </c>
      <c r="I10" s="120">
        <v>133000.0</v>
      </c>
      <c r="J10" s="112"/>
      <c r="K10" s="121">
        <f t="shared" si="2"/>
        <v>0</v>
      </c>
      <c r="L10" s="115">
        <f t="shared" si="4"/>
        <v>17666.66667</v>
      </c>
      <c r="M10" s="116" t="s">
        <v>140</v>
      </c>
      <c r="N10" s="116" t="s">
        <v>142</v>
      </c>
      <c r="O10" s="116" t="s">
        <v>143</v>
      </c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 outlineLevel="1">
      <c r="A11" s="124" t="s">
        <v>144</v>
      </c>
      <c r="B11" s="122">
        <v>300000.0</v>
      </c>
      <c r="C11" s="119"/>
      <c r="D11" s="112"/>
      <c r="E11" s="112"/>
      <c r="F11" s="112"/>
      <c r="G11" s="117"/>
      <c r="H11" s="112"/>
      <c r="I11" s="120">
        <v>300000.0</v>
      </c>
      <c r="J11" s="112"/>
      <c r="K11" s="121">
        <f t="shared" si="2"/>
        <v>0</v>
      </c>
      <c r="L11" s="115">
        <f t="shared" si="4"/>
        <v>27272.72727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161</v>
      </c>
      <c r="B12" s="110">
        <v>222000.0</v>
      </c>
      <c r="C12" s="119"/>
      <c r="D12" s="112"/>
      <c r="E12" s="112"/>
      <c r="F12" s="112"/>
      <c r="G12" s="109">
        <v>5000.0</v>
      </c>
      <c r="H12" s="109">
        <v>10000.0</v>
      </c>
      <c r="I12" s="120">
        <v>207000.0</v>
      </c>
      <c r="J12" s="112"/>
      <c r="K12" s="121">
        <f t="shared" si="2"/>
        <v>0</v>
      </c>
      <c r="L12" s="115" t="str">
        <f t="shared" si="4"/>
        <v>#VALUE!</v>
      </c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162</v>
      </c>
      <c r="B13" s="110">
        <v>90000.0</v>
      </c>
      <c r="C13" s="119"/>
      <c r="D13" s="112"/>
      <c r="E13" s="112"/>
      <c r="F13" s="112"/>
      <c r="G13" s="117"/>
      <c r="H13" s="109">
        <v>10000.0</v>
      </c>
      <c r="I13" s="120">
        <v>80000.0</v>
      </c>
      <c r="J13" s="112"/>
      <c r="K13" s="121">
        <f t="shared" si="2"/>
        <v>0</v>
      </c>
      <c r="L13" s="115" t="str">
        <f t="shared" si="4"/>
        <v>#VALUE!</v>
      </c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 t="s">
        <v>163</v>
      </c>
      <c r="B14" s="110">
        <v>300000.0</v>
      </c>
      <c r="C14" s="111">
        <v>100000.0</v>
      </c>
      <c r="D14" s="109">
        <v>200000.0</v>
      </c>
      <c r="E14" s="112"/>
      <c r="F14" s="112"/>
      <c r="G14" s="117"/>
      <c r="H14" s="112"/>
      <c r="I14" s="120"/>
      <c r="J14" s="112"/>
      <c r="K14" s="121">
        <f t="shared" si="2"/>
        <v>0</v>
      </c>
      <c r="L14" s="115">
        <f t="shared" si="4"/>
        <v>15000</v>
      </c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6.5" customHeight="1" outlineLevel="1">
      <c r="A15" s="118" t="s">
        <v>37</v>
      </c>
      <c r="B15" s="122">
        <v>200000.0</v>
      </c>
      <c r="C15" s="111">
        <v>200000.0</v>
      </c>
      <c r="D15" s="112"/>
      <c r="E15" s="112"/>
      <c r="F15" s="112"/>
      <c r="G15" s="112"/>
      <c r="H15" s="109"/>
      <c r="I15" s="113">
        <f t="shared" ref="I15:I18" si="5">L15*D55</f>
        <v>0</v>
      </c>
      <c r="J15" s="112"/>
      <c r="K15" s="121">
        <f t="shared" si="2"/>
        <v>0</v>
      </c>
      <c r="L15" s="115">
        <f t="shared" si="4"/>
        <v>10000</v>
      </c>
      <c r="M15" s="125"/>
      <c r="N15" s="108"/>
      <c r="O15" s="108"/>
      <c r="P15" s="108"/>
      <c r="Q15" s="123">
        <f>K5+K7+K8+K10+K11+K12+K13+K28</f>
        <v>0</v>
      </c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 outlineLevel="1">
      <c r="A16" s="124" t="s">
        <v>115</v>
      </c>
      <c r="B16" s="122">
        <v>200000.0</v>
      </c>
      <c r="C16" s="111">
        <v>393331.0</v>
      </c>
      <c r="D16" s="112"/>
      <c r="E16" s="112"/>
      <c r="F16" s="112"/>
      <c r="G16" s="109">
        <v>5000.0</v>
      </c>
      <c r="H16" s="109">
        <v>15000.0</v>
      </c>
      <c r="I16" s="113">
        <f t="shared" si="5"/>
        <v>0</v>
      </c>
      <c r="J16" s="126">
        <f>IFERROR(__xludf.DUMMYFUNCTION("IMPORTRANGE(""https://docs.google.com/spreadsheets/d/1JJd44_6b1hsmD6e8liei_zzkkh-GYab6gE4K23IJPVI/edit?gid=0#gid=0&amp;range=J95"",""'Лист1'!K232"")"),213330.68549999935)</f>
        <v>213330.6855</v>
      </c>
      <c r="K16" s="121">
        <f t="shared" si="2"/>
        <v>-0.3145000006</v>
      </c>
      <c r="L16" s="115">
        <f t="shared" si="4"/>
        <v>8333.333333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24" t="s">
        <v>91</v>
      </c>
      <c r="B17" s="110">
        <v>74000.0</v>
      </c>
      <c r="C17" s="111">
        <v>30000.0</v>
      </c>
      <c r="D17" s="109">
        <v>50000.0</v>
      </c>
      <c r="E17" s="109">
        <v>250000.0</v>
      </c>
      <c r="F17" s="109">
        <v>218037.0</v>
      </c>
      <c r="G17" s="109">
        <v>5000.0</v>
      </c>
      <c r="H17" s="112"/>
      <c r="I17" s="113">
        <f t="shared" si="5"/>
        <v>0</v>
      </c>
      <c r="J17" s="126">
        <f>IFERROR(__xludf.DUMMYFUNCTION("IMPORTRANGE(""https://docs.google.com/spreadsheets/d/1JJd44_6b1hsmD6e8liei_zzkkh-GYab6gE4K23IJPVI/edit?gid=0#gid=0&amp;range=J95"",""'Лист1'!X222"")"),479036.7224999995)</f>
        <v>479036.7225</v>
      </c>
      <c r="K17" s="121">
        <f t="shared" si="2"/>
        <v>-0.2775000005</v>
      </c>
      <c r="L17" s="115">
        <f t="shared" si="4"/>
        <v>3083.333333</v>
      </c>
      <c r="M17" s="125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 outlineLevel="1">
      <c r="A18" s="109" t="s">
        <v>146</v>
      </c>
      <c r="B18" s="122">
        <v>100000.0</v>
      </c>
      <c r="C18" s="111">
        <v>235487.0</v>
      </c>
      <c r="D18" s="112"/>
      <c r="E18" s="112"/>
      <c r="F18" s="112"/>
      <c r="G18" s="109">
        <v>3000.0</v>
      </c>
      <c r="H18" s="112"/>
      <c r="I18" s="113">
        <f t="shared" si="5"/>
        <v>0</v>
      </c>
      <c r="J18" s="126">
        <f>IFERROR(__xludf.DUMMYFUNCTION("IMPORTRANGE(""https://docs.google.com/spreadsheets/d/1JJd44_6b1hsmD6e8liei_zzkkh-GYab6gE4K23IJPVI/edit?gid=0#gid=0&amp;range=J95"",""'Лист1'!AH222"")"),138487.18500000035)</f>
        <v>138487.185</v>
      </c>
      <c r="K18" s="121">
        <f t="shared" si="2"/>
        <v>0.1850000003</v>
      </c>
      <c r="L18" s="115">
        <f>B18/B59</f>
        <v>4166.666667</v>
      </c>
      <c r="M18" s="125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 outlineLevel="1">
      <c r="A19" s="118" t="s">
        <v>18</v>
      </c>
      <c r="B19" s="122">
        <v>250000.0</v>
      </c>
      <c r="C19" s="111">
        <f>241482+15498</f>
        <v>256980</v>
      </c>
      <c r="D19" s="109">
        <v>100000.0</v>
      </c>
      <c r="E19" s="112"/>
      <c r="F19" s="112"/>
      <c r="G19" s="117"/>
      <c r="H19" s="109">
        <v>15000.0</v>
      </c>
      <c r="I19" s="113">
        <f>L19*D60</f>
        <v>0</v>
      </c>
      <c r="J19" s="114">
        <f>IFERROR(__xludf.DUMMYFUNCTION("IMPORTRANGE(""https://docs.google.com/spreadsheets/d/1JJd44_6b1hsmD6e8liei_zzkkh-GYab6gE4K23IJPVI/edit?gid=0#gid=0&amp;range=J95"",""'Лист1'!I228"")-33000"),121979.65499999933)</f>
        <v>121979.655</v>
      </c>
      <c r="K19" s="121">
        <f t="shared" si="2"/>
        <v>-0.3450000007</v>
      </c>
      <c r="L19" s="115">
        <f t="shared" ref="L19:L31" si="6">B19/B59</f>
        <v>10416.66667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18" t="s">
        <v>118</v>
      </c>
      <c r="B20" s="122">
        <v>200000.0</v>
      </c>
      <c r="C20" s="111">
        <v>200000.0</v>
      </c>
      <c r="D20" s="112"/>
      <c r="E20" s="112"/>
      <c r="F20" s="112"/>
      <c r="G20" s="117"/>
      <c r="H20" s="112"/>
      <c r="I20" s="113">
        <f t="shared" ref="I20:I31" si="7">L20*D60</f>
        <v>0</v>
      </c>
      <c r="J20" s="119"/>
      <c r="K20" s="121">
        <f t="shared" si="2"/>
        <v>0</v>
      </c>
      <c r="L20" s="115">
        <f t="shared" si="6"/>
        <v>8333.333333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 outlineLevel="1">
      <c r="A21" s="124" t="s">
        <v>39</v>
      </c>
      <c r="B21" s="122">
        <v>250000.0</v>
      </c>
      <c r="C21" s="111">
        <v>230000.0</v>
      </c>
      <c r="D21" s="112"/>
      <c r="E21" s="112"/>
      <c r="F21" s="112"/>
      <c r="G21" s="109">
        <v>5000.0</v>
      </c>
      <c r="H21" s="109">
        <v>15000.0</v>
      </c>
      <c r="I21" s="113">
        <f t="shared" si="7"/>
        <v>0</v>
      </c>
      <c r="J21" s="112"/>
      <c r="K21" s="121">
        <f t="shared" si="2"/>
        <v>0</v>
      </c>
      <c r="L21" s="115">
        <f t="shared" si="6"/>
        <v>10416.66667</v>
      </c>
      <c r="M21" s="125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 outlineLevel="1">
      <c r="A22" s="124" t="s">
        <v>67</v>
      </c>
      <c r="B22" s="122">
        <v>300000.0</v>
      </c>
      <c r="C22" s="111">
        <v>300000.0</v>
      </c>
      <c r="D22" s="112"/>
      <c r="E22" s="112"/>
      <c r="F22" s="112"/>
      <c r="G22" s="112"/>
      <c r="H22" s="112"/>
      <c r="I22" s="113">
        <f t="shared" si="7"/>
        <v>0</v>
      </c>
      <c r="J22" s="112"/>
      <c r="K22" s="121">
        <f t="shared" si="2"/>
        <v>0</v>
      </c>
      <c r="L22" s="115">
        <f t="shared" si="6"/>
        <v>12500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8.0" customHeight="1" outlineLevel="1">
      <c r="A23" s="118" t="s">
        <v>41</v>
      </c>
      <c r="B23" s="122">
        <v>200000.0</v>
      </c>
      <c r="C23" s="127">
        <v>200000.0</v>
      </c>
      <c r="D23" s="112"/>
      <c r="E23" s="112"/>
      <c r="F23" s="112"/>
      <c r="G23" s="112"/>
      <c r="H23" s="112"/>
      <c r="I23" s="113">
        <f t="shared" si="7"/>
        <v>0</v>
      </c>
      <c r="J23" s="112"/>
      <c r="K23" s="121">
        <f t="shared" si="2"/>
        <v>0</v>
      </c>
      <c r="L23" s="115">
        <f t="shared" si="6"/>
        <v>8333.333333</v>
      </c>
      <c r="M23" s="108"/>
      <c r="N23" s="108"/>
      <c r="O23" s="108"/>
      <c r="P23" s="108"/>
      <c r="Q23" s="123">
        <f>K15+K18+K21+250000+100000+K29+K31+20000</f>
        <v>370000.62</v>
      </c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 outlineLevel="1">
      <c r="A24" s="109" t="s">
        <v>164</v>
      </c>
      <c r="B24" s="122">
        <v>250000.0</v>
      </c>
      <c r="C24" s="111">
        <v>101167.0</v>
      </c>
      <c r="D24" s="112"/>
      <c r="E24" s="112"/>
      <c r="F24" s="112"/>
      <c r="G24" s="109">
        <v>3000.0</v>
      </c>
      <c r="H24" s="112"/>
      <c r="I24" s="113">
        <f t="shared" si="7"/>
        <v>145833.3333</v>
      </c>
      <c r="J24" s="112"/>
      <c r="K24" s="121">
        <f t="shared" si="2"/>
        <v>-0.3333333333</v>
      </c>
      <c r="L24" s="115">
        <f t="shared" si="6"/>
        <v>10416.66667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24" t="s">
        <v>71</v>
      </c>
      <c r="B25" s="110">
        <v>200000.0</v>
      </c>
      <c r="C25" s="111">
        <v>200000.0</v>
      </c>
      <c r="D25" s="117"/>
      <c r="E25" s="112"/>
      <c r="F25" s="112"/>
      <c r="G25" s="117"/>
      <c r="H25" s="112"/>
      <c r="I25" s="113">
        <f t="shared" si="7"/>
        <v>0</v>
      </c>
      <c r="J25" s="112"/>
      <c r="K25" s="121">
        <f t="shared" si="2"/>
        <v>0</v>
      </c>
      <c r="L25" s="115">
        <f t="shared" si="6"/>
        <v>10000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outlineLevel="1">
      <c r="A26" s="118" t="s">
        <v>70</v>
      </c>
      <c r="B26" s="110">
        <v>70000.0</v>
      </c>
      <c r="C26" s="111">
        <v>55000.0</v>
      </c>
      <c r="D26" s="112"/>
      <c r="E26" s="112"/>
      <c r="F26" s="117"/>
      <c r="G26" s="112"/>
      <c r="H26" s="109">
        <v>15000.0</v>
      </c>
      <c r="I26" s="113">
        <f t="shared" si="7"/>
        <v>0</v>
      </c>
      <c r="J26" s="112"/>
      <c r="K26" s="121">
        <f t="shared" si="2"/>
        <v>0</v>
      </c>
      <c r="L26" s="115">
        <f t="shared" si="6"/>
        <v>3500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 outlineLevel="1">
      <c r="A27" s="118" t="s">
        <v>15</v>
      </c>
      <c r="B27" s="122">
        <v>120000.0</v>
      </c>
      <c r="C27" s="111">
        <v>120000.0</v>
      </c>
      <c r="D27" s="112"/>
      <c r="E27" s="112"/>
      <c r="F27" s="112"/>
      <c r="G27" s="112"/>
      <c r="H27" s="112"/>
      <c r="I27" s="113">
        <f t="shared" si="7"/>
        <v>0</v>
      </c>
      <c r="J27" s="112"/>
      <c r="K27" s="121">
        <f t="shared" si="2"/>
        <v>0</v>
      </c>
      <c r="L27" s="115">
        <f t="shared" si="6"/>
        <v>6000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09" t="s">
        <v>165</v>
      </c>
      <c r="B28" s="111">
        <v>300000.0</v>
      </c>
      <c r="C28" s="111">
        <v>65000.0</v>
      </c>
      <c r="D28" s="112"/>
      <c r="E28" s="112"/>
      <c r="F28" s="112"/>
      <c r="G28" s="112"/>
      <c r="H28" s="109">
        <v>10000.0</v>
      </c>
      <c r="I28" s="113">
        <f t="shared" si="7"/>
        <v>225000</v>
      </c>
      <c r="J28" s="112"/>
      <c r="K28" s="121">
        <f t="shared" si="2"/>
        <v>0</v>
      </c>
      <c r="L28" s="115">
        <f t="shared" si="6"/>
        <v>12500</v>
      </c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>
      <c r="A29" s="109" t="s">
        <v>166</v>
      </c>
      <c r="B29" s="111">
        <v>300000.0</v>
      </c>
      <c r="C29" s="111">
        <v>72807.0</v>
      </c>
      <c r="D29" s="112"/>
      <c r="E29" s="112"/>
      <c r="F29" s="112"/>
      <c r="G29" s="109">
        <v>3000.0</v>
      </c>
      <c r="H29" s="112"/>
      <c r="I29" s="113">
        <f t="shared" si="7"/>
        <v>225000</v>
      </c>
      <c r="J29" s="114">
        <f>IFERROR(__xludf.DUMMYFUNCTION("IMPORTRANGE(""https://docs.google.com/spreadsheets/d/1JJd44_6b1hsmD6e8liei_zzkkh-GYab6gE4K23IJPVI/edit?gid=0#gid=0&amp;range=J95"",""'Лист1'!AT222"")"),807.4350000000013)</f>
        <v>807.435</v>
      </c>
      <c r="K29" s="121">
        <f t="shared" si="2"/>
        <v>0.435</v>
      </c>
      <c r="L29" s="115">
        <f t="shared" si="6"/>
        <v>12500</v>
      </c>
      <c r="M29" s="125"/>
      <c r="N29" s="125"/>
      <c r="O29" s="125"/>
      <c r="P29" s="125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>
      <c r="A30" s="109" t="s">
        <v>167</v>
      </c>
      <c r="B30" s="111">
        <v>100000.0</v>
      </c>
      <c r="C30" s="111">
        <v>27500.0</v>
      </c>
      <c r="D30" s="112"/>
      <c r="E30" s="112"/>
      <c r="F30" s="112"/>
      <c r="G30" s="112"/>
      <c r="H30" s="112"/>
      <c r="I30" s="113">
        <f t="shared" si="7"/>
        <v>87500</v>
      </c>
      <c r="J30" s="109">
        <v>15000.0</v>
      </c>
      <c r="K30" s="121">
        <f t="shared" si="2"/>
        <v>0</v>
      </c>
      <c r="L30" s="115">
        <f t="shared" si="6"/>
        <v>4166.666667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109" t="s">
        <v>168</v>
      </c>
      <c r="B31" s="111">
        <v>100000.0</v>
      </c>
      <c r="C31" s="111">
        <v>12500.0</v>
      </c>
      <c r="D31" s="112"/>
      <c r="E31" s="112"/>
      <c r="F31" s="112"/>
      <c r="G31" s="112"/>
      <c r="H31" s="109"/>
      <c r="I31" s="113">
        <f t="shared" si="7"/>
        <v>87500</v>
      </c>
      <c r="J31" s="112"/>
      <c r="K31" s="121">
        <f t="shared" si="2"/>
        <v>0</v>
      </c>
      <c r="L31" s="115">
        <f t="shared" si="6"/>
        <v>4166.666667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09"/>
      <c r="B32" s="119"/>
      <c r="C32" s="119"/>
      <c r="D32" s="112"/>
      <c r="E32" s="112"/>
      <c r="F32" s="112"/>
      <c r="G32" s="112"/>
      <c r="H32" s="112"/>
      <c r="I32" s="112"/>
      <c r="J32" s="112"/>
      <c r="K32" s="126"/>
      <c r="L32" s="112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18"/>
      <c r="B33" s="119"/>
      <c r="C33" s="119"/>
      <c r="D33" s="112"/>
      <c r="E33" s="112"/>
      <c r="F33" s="112"/>
      <c r="G33" s="112"/>
      <c r="H33" s="112"/>
      <c r="I33" s="112"/>
      <c r="J33" s="112"/>
      <c r="K33" s="126"/>
      <c r="L33" s="112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18" t="s">
        <v>26</v>
      </c>
      <c r="B34" s="119">
        <f>SUM(B2:B27)</f>
        <v>6315000</v>
      </c>
      <c r="C34" s="119"/>
      <c r="D34" s="112"/>
      <c r="E34" s="112"/>
      <c r="F34" s="112"/>
      <c r="G34" s="112"/>
      <c r="H34" s="112"/>
      <c r="I34" s="112"/>
      <c r="J34" s="112"/>
      <c r="K34" s="126">
        <f>SUM(K2:K31)</f>
        <v>-0.6503333348</v>
      </c>
      <c r="L34" s="112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3"/>
      <c r="L35" s="12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28"/>
      <c r="B37" s="128"/>
      <c r="C37" s="128"/>
      <c r="D37" s="129" t="s">
        <v>110</v>
      </c>
      <c r="E37" s="128"/>
      <c r="F37" s="128"/>
      <c r="G37" s="128"/>
      <c r="H37" s="128"/>
      <c r="I37" s="128"/>
      <c r="J37" s="128"/>
      <c r="K37" s="12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30"/>
      <c r="E38" s="128"/>
      <c r="F38" s="128"/>
      <c r="G38" s="128"/>
      <c r="H38" s="128"/>
      <c r="I38" s="128"/>
      <c r="J38" s="128"/>
      <c r="K38" s="128"/>
      <c r="L38" s="108"/>
      <c r="M38" s="108"/>
      <c r="N38" s="123">
        <f>K16-100000+K17+K22+K24+K27+100000+200000+15498</f>
        <v>215497.0747</v>
      </c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8"/>
      <c r="E39" s="128"/>
      <c r="F39" s="130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31" t="s">
        <v>79</v>
      </c>
      <c r="B40" s="132" t="s">
        <v>28</v>
      </c>
      <c r="C40" s="133" t="s">
        <v>29</v>
      </c>
      <c r="D40" s="134" t="s">
        <v>80</v>
      </c>
      <c r="E40" s="131" t="s">
        <v>81</v>
      </c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09" t="s">
        <v>127</v>
      </c>
      <c r="B41" s="115">
        <v>20.0</v>
      </c>
      <c r="C41" s="115">
        <f t="shared" ref="C41:C71" si="8">B41-D41</f>
        <v>20</v>
      </c>
      <c r="D41" s="115">
        <v>0.0</v>
      </c>
      <c r="E41" s="135">
        <v>45327.0</v>
      </c>
      <c r="F41" s="128"/>
      <c r="G41" s="125">
        <v>8.72722470819E11</v>
      </c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09" t="s">
        <v>128</v>
      </c>
      <c r="B42" s="115">
        <v>20.0</v>
      </c>
      <c r="C42" s="115">
        <f t="shared" si="8"/>
        <v>20</v>
      </c>
      <c r="D42" s="115">
        <v>0.0</v>
      </c>
      <c r="E42" s="135">
        <v>45327.0</v>
      </c>
      <c r="F42" s="128"/>
      <c r="G42" s="128"/>
      <c r="H42" s="128"/>
      <c r="I42" s="128"/>
      <c r="J42" s="128">
        <f>1132535-450000-5000-300000-120000-10000-101167-100000</f>
        <v>46368</v>
      </c>
      <c r="K42" s="12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09" t="s">
        <v>129</v>
      </c>
      <c r="B43" s="115">
        <v>20.0</v>
      </c>
      <c r="C43" s="115">
        <f t="shared" si="8"/>
        <v>20</v>
      </c>
      <c r="D43" s="115">
        <v>0.0</v>
      </c>
      <c r="E43" s="135">
        <v>45327.0</v>
      </c>
      <c r="F43" s="128"/>
      <c r="G43" s="128"/>
      <c r="H43" s="128"/>
      <c r="I43" s="128"/>
      <c r="J43" s="128"/>
      <c r="K43" s="125">
        <f>570831-393331-50000</f>
        <v>127500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9" t="s">
        <v>86</v>
      </c>
      <c r="B44" s="120">
        <v>20.0</v>
      </c>
      <c r="C44" s="115">
        <f t="shared" si="8"/>
        <v>20</v>
      </c>
      <c r="D44" s="115">
        <v>0.0</v>
      </c>
      <c r="E44" s="135">
        <v>45327.0</v>
      </c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18" t="s">
        <v>14</v>
      </c>
      <c r="B45" s="115">
        <v>20.0</v>
      </c>
      <c r="C45" s="115">
        <f t="shared" si="8"/>
        <v>20</v>
      </c>
      <c r="D45" s="115">
        <v>0.0</v>
      </c>
      <c r="E45" s="135">
        <v>45327.0</v>
      </c>
      <c r="F45" s="128"/>
      <c r="G45" s="128"/>
      <c r="H45" s="128"/>
      <c r="I45" s="128"/>
      <c r="J45" s="128"/>
      <c r="K45" s="12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18" t="s">
        <v>75</v>
      </c>
      <c r="B46" s="136">
        <v>8.0</v>
      </c>
      <c r="C46" s="115">
        <f t="shared" si="8"/>
        <v>8</v>
      </c>
      <c r="D46" s="136">
        <v>0.0</v>
      </c>
      <c r="E46" s="135">
        <v>45297.0</v>
      </c>
      <c r="F46" s="128"/>
      <c r="G46" s="128"/>
      <c r="H46" s="128"/>
      <c r="I46" s="125"/>
      <c r="J46" s="128"/>
      <c r="K46" s="12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37" t="s">
        <v>109</v>
      </c>
      <c r="B47" s="136">
        <v>20.0</v>
      </c>
      <c r="C47" s="115">
        <f t="shared" si="8"/>
        <v>20</v>
      </c>
      <c r="D47" s="120">
        <v>0.0</v>
      </c>
      <c r="E47" s="135">
        <v>45327.0</v>
      </c>
      <c r="F47" s="138"/>
      <c r="G47" s="128"/>
      <c r="H47" s="128"/>
      <c r="I47" s="125"/>
      <c r="J47" s="128"/>
      <c r="K47" s="12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18" t="s">
        <v>47</v>
      </c>
      <c r="B48" s="136">
        <v>20.0</v>
      </c>
      <c r="C48" s="115">
        <f t="shared" si="8"/>
        <v>20</v>
      </c>
      <c r="D48" s="136">
        <v>0.0</v>
      </c>
      <c r="E48" s="135">
        <v>45327.0</v>
      </c>
      <c r="F48" s="138" t="s">
        <v>149</v>
      </c>
      <c r="G48" s="128"/>
      <c r="H48" s="130"/>
      <c r="I48" s="128"/>
      <c r="J48" s="128"/>
      <c r="K48" s="12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24" t="s">
        <v>114</v>
      </c>
      <c r="B49" s="136">
        <v>20.0</v>
      </c>
      <c r="C49" s="115">
        <f t="shared" si="8"/>
        <v>20</v>
      </c>
      <c r="D49" s="136">
        <v>0.0</v>
      </c>
      <c r="E49" s="135">
        <v>45327.0</v>
      </c>
      <c r="F49" s="130"/>
      <c r="G49" s="128"/>
      <c r="H49" s="125"/>
      <c r="I49" s="125"/>
      <c r="J49" s="128"/>
      <c r="K49" s="12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24" t="s">
        <v>150</v>
      </c>
      <c r="B50" s="136">
        <v>18.0</v>
      </c>
      <c r="C50" s="115">
        <f t="shared" si="8"/>
        <v>18</v>
      </c>
      <c r="D50" s="136">
        <v>0.0</v>
      </c>
      <c r="E50" s="135">
        <v>45297.0</v>
      </c>
      <c r="F50" s="138" t="s">
        <v>151</v>
      </c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24" t="s">
        <v>152</v>
      </c>
      <c r="B51" s="136">
        <v>11.0</v>
      </c>
      <c r="C51" s="115">
        <f t="shared" si="8"/>
        <v>11</v>
      </c>
      <c r="D51" s="120">
        <v>0.0</v>
      </c>
      <c r="E51" s="135">
        <v>45327.0</v>
      </c>
      <c r="F51" s="138" t="s">
        <v>153</v>
      </c>
      <c r="G51" s="116" t="s">
        <v>154</v>
      </c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155</v>
      </c>
      <c r="B52" s="120" t="s">
        <v>156</v>
      </c>
      <c r="C52" s="115" t="str">
        <f t="shared" si="8"/>
        <v>#VALUE!</v>
      </c>
      <c r="D52" s="120">
        <v>0.0</v>
      </c>
      <c r="E52" s="135">
        <v>45327.0</v>
      </c>
      <c r="F52" s="138"/>
      <c r="G52" s="116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09" t="s">
        <v>169</v>
      </c>
      <c r="B53" s="120" t="s">
        <v>156</v>
      </c>
      <c r="C53" s="115" t="str">
        <f t="shared" si="8"/>
        <v>#VALUE!</v>
      </c>
      <c r="D53" s="120">
        <v>0.0</v>
      </c>
      <c r="E53" s="135">
        <v>45327.0</v>
      </c>
      <c r="F53" s="138"/>
      <c r="G53" s="116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163</v>
      </c>
      <c r="B54" s="120">
        <v>20.0</v>
      </c>
      <c r="C54" s="115">
        <f t="shared" si="8"/>
        <v>20</v>
      </c>
      <c r="D54" s="120">
        <v>0.0</v>
      </c>
      <c r="E54" s="135">
        <v>45327.0</v>
      </c>
      <c r="F54" s="138"/>
      <c r="G54" s="116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24" t="s">
        <v>37</v>
      </c>
      <c r="B55" s="136">
        <v>20.0</v>
      </c>
      <c r="C55" s="115">
        <f t="shared" si="8"/>
        <v>20</v>
      </c>
      <c r="D55" s="136">
        <v>0.0</v>
      </c>
      <c r="E55" s="135">
        <v>45327.0</v>
      </c>
      <c r="F55" s="130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18" t="s">
        <v>115</v>
      </c>
      <c r="B56" s="136">
        <v>24.0</v>
      </c>
      <c r="C56" s="115">
        <f t="shared" si="8"/>
        <v>24</v>
      </c>
      <c r="D56" s="120">
        <v>0.0</v>
      </c>
      <c r="E56" s="135">
        <v>45297.0</v>
      </c>
      <c r="F56" s="130"/>
      <c r="G56" s="128"/>
      <c r="H56" s="128"/>
      <c r="I56" s="128"/>
      <c r="J56" s="128"/>
      <c r="K56" s="12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24" t="s">
        <v>91</v>
      </c>
      <c r="B57" s="136">
        <v>24.0</v>
      </c>
      <c r="C57" s="115">
        <f t="shared" si="8"/>
        <v>24</v>
      </c>
      <c r="D57" s="136">
        <v>0.0</v>
      </c>
      <c r="E57" s="135">
        <v>45297.0</v>
      </c>
      <c r="F57" s="130"/>
      <c r="G57" s="128"/>
      <c r="H57" s="12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146</v>
      </c>
      <c r="B58" s="136">
        <v>24.0</v>
      </c>
      <c r="C58" s="115">
        <f t="shared" si="8"/>
        <v>24</v>
      </c>
      <c r="D58" s="120">
        <v>0.0</v>
      </c>
      <c r="E58" s="135">
        <v>45297.0</v>
      </c>
      <c r="F58" s="130"/>
      <c r="G58" s="128"/>
      <c r="H58" s="12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24" t="s">
        <v>18</v>
      </c>
      <c r="B59" s="136">
        <v>24.0</v>
      </c>
      <c r="C59" s="115">
        <f t="shared" si="8"/>
        <v>24</v>
      </c>
      <c r="D59" s="136">
        <v>0.0</v>
      </c>
      <c r="E59" s="135">
        <v>45297.0</v>
      </c>
      <c r="F59" s="130"/>
      <c r="G59" s="128"/>
      <c r="H59" s="12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118</v>
      </c>
      <c r="B60" s="136">
        <v>24.0</v>
      </c>
      <c r="C60" s="115">
        <f t="shared" si="8"/>
        <v>24</v>
      </c>
      <c r="D60" s="136">
        <v>0.0</v>
      </c>
      <c r="E60" s="135">
        <v>45297.0</v>
      </c>
      <c r="F60" s="130"/>
      <c r="G60" s="128"/>
      <c r="H60" s="12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18" t="s">
        <v>39</v>
      </c>
      <c r="B61" s="136">
        <v>24.0</v>
      </c>
      <c r="C61" s="115">
        <f t="shared" si="8"/>
        <v>24</v>
      </c>
      <c r="D61" s="136">
        <v>0.0</v>
      </c>
      <c r="E61" s="135">
        <v>45297.0</v>
      </c>
      <c r="F61" s="130"/>
      <c r="G61" s="128"/>
      <c r="H61" s="128"/>
      <c r="I61" s="128"/>
      <c r="J61" s="128"/>
      <c r="K61" s="12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18" t="s">
        <v>67</v>
      </c>
      <c r="B62" s="136">
        <v>24.0</v>
      </c>
      <c r="C62" s="115">
        <f t="shared" si="8"/>
        <v>24</v>
      </c>
      <c r="D62" s="136">
        <v>0.0</v>
      </c>
      <c r="E62" s="135">
        <v>45297.0</v>
      </c>
      <c r="F62" s="130"/>
      <c r="G62" s="128"/>
      <c r="H62" s="12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24" t="s">
        <v>41</v>
      </c>
      <c r="B63" s="136">
        <v>24.0</v>
      </c>
      <c r="C63" s="115">
        <f t="shared" si="8"/>
        <v>24</v>
      </c>
      <c r="D63" s="136">
        <v>0.0</v>
      </c>
      <c r="E63" s="135">
        <v>45297.0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164</v>
      </c>
      <c r="B64" s="136">
        <v>24.0</v>
      </c>
      <c r="C64" s="115">
        <f t="shared" si="8"/>
        <v>10</v>
      </c>
      <c r="D64" s="120">
        <v>14.0</v>
      </c>
      <c r="E64" s="135">
        <v>45297.0</v>
      </c>
      <c r="F64" s="125" t="s">
        <v>170</v>
      </c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18" t="s">
        <v>71</v>
      </c>
      <c r="B65" s="136">
        <v>20.0</v>
      </c>
      <c r="C65" s="115">
        <f t="shared" si="8"/>
        <v>20</v>
      </c>
      <c r="D65" s="136">
        <v>0.0</v>
      </c>
      <c r="E65" s="135">
        <v>45327.0</v>
      </c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18" t="s">
        <v>70</v>
      </c>
      <c r="B66" s="136">
        <v>20.0</v>
      </c>
      <c r="C66" s="115">
        <f t="shared" si="8"/>
        <v>20</v>
      </c>
      <c r="D66" s="136">
        <v>0.0</v>
      </c>
      <c r="E66" s="135">
        <v>45327.0</v>
      </c>
      <c r="F66" s="108"/>
      <c r="G66" s="108"/>
      <c r="H66" s="108"/>
      <c r="I66" s="108"/>
      <c r="J66" s="108"/>
      <c r="K66" s="125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24" t="s">
        <v>15</v>
      </c>
      <c r="B67" s="136">
        <v>20.0</v>
      </c>
      <c r="C67" s="115">
        <f t="shared" si="8"/>
        <v>20</v>
      </c>
      <c r="D67" s="136">
        <v>0.0</v>
      </c>
      <c r="E67" s="135">
        <v>45327.0</v>
      </c>
      <c r="F67" s="130"/>
      <c r="G67" s="108"/>
      <c r="H67" s="108"/>
      <c r="I67" s="108"/>
      <c r="J67" s="108"/>
      <c r="K67" s="125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25" t="s">
        <v>171</v>
      </c>
      <c r="B68" s="120">
        <v>24.0</v>
      </c>
      <c r="C68" s="115">
        <f t="shared" si="8"/>
        <v>6</v>
      </c>
      <c r="D68" s="120">
        <v>18.0</v>
      </c>
      <c r="E68" s="135">
        <v>45327.0</v>
      </c>
      <c r="F68" s="125">
        <v>22.0</v>
      </c>
      <c r="G68" s="108"/>
      <c r="H68" s="108"/>
      <c r="I68" s="108"/>
      <c r="J68" s="108"/>
      <c r="K68" s="125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172</v>
      </c>
      <c r="B69" s="120">
        <v>24.0</v>
      </c>
      <c r="C69" s="115">
        <f t="shared" si="8"/>
        <v>6</v>
      </c>
      <c r="D69" s="120">
        <v>18.0</v>
      </c>
      <c r="E69" s="135">
        <v>45327.0</v>
      </c>
      <c r="F69" s="125">
        <v>21.0</v>
      </c>
      <c r="G69" s="108"/>
      <c r="H69" s="108"/>
      <c r="I69" s="108"/>
      <c r="J69" s="108"/>
      <c r="K69" s="125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09" t="s">
        <v>173</v>
      </c>
      <c r="B70" s="120">
        <v>24.0</v>
      </c>
      <c r="C70" s="115">
        <f t="shared" si="8"/>
        <v>3</v>
      </c>
      <c r="D70" s="120">
        <v>21.0</v>
      </c>
      <c r="E70" s="135">
        <v>45327.0</v>
      </c>
      <c r="F70" s="125">
        <v>25.0</v>
      </c>
      <c r="G70" s="108"/>
      <c r="H70" s="108"/>
      <c r="I70" s="108"/>
      <c r="J70" s="108"/>
      <c r="K70" s="125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09" t="s">
        <v>168</v>
      </c>
      <c r="B71" s="120">
        <v>24.0</v>
      </c>
      <c r="C71" s="115">
        <f t="shared" si="8"/>
        <v>3</v>
      </c>
      <c r="D71" s="120">
        <v>21.0</v>
      </c>
      <c r="E71" s="135">
        <v>45327.0</v>
      </c>
      <c r="F71" s="125">
        <v>25.0</v>
      </c>
      <c r="G71" s="108"/>
      <c r="H71" s="108"/>
      <c r="I71" s="108"/>
      <c r="J71" s="108"/>
      <c r="K71" s="125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30"/>
      <c r="B72" s="130"/>
      <c r="C72" s="108"/>
      <c r="D72" s="108"/>
      <c r="E72" s="108"/>
      <c r="F72" s="108"/>
      <c r="G72" s="108"/>
      <c r="H72" s="108"/>
      <c r="I72" s="108"/>
      <c r="J72" s="108"/>
      <c r="K72" s="125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25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25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25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25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25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25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39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</row>
    <row r="1002">
      <c r="A1002" s="139"/>
      <c r="B1002" s="139"/>
      <c r="C1002" s="139"/>
      <c r="D1002" s="139"/>
      <c r="E1002" s="139"/>
      <c r="F1002" s="139"/>
      <c r="G1002" s="139"/>
      <c r="H1002" s="139"/>
      <c r="I1002" s="139"/>
      <c r="J1002" s="139"/>
      <c r="K1002" s="139"/>
      <c r="L1002" s="139"/>
      <c r="M1002" s="139"/>
      <c r="N1002" s="139"/>
      <c r="O1002" s="139"/>
      <c r="P1002" s="139"/>
      <c r="Q1002" s="139"/>
      <c r="R1002" s="139"/>
      <c r="S1002" s="139"/>
      <c r="T1002" s="139"/>
      <c r="U1002" s="139"/>
      <c r="V1002" s="139"/>
      <c r="W1002" s="139"/>
      <c r="X1002" s="139"/>
      <c r="Y1002" s="139"/>
      <c r="Z1002" s="139"/>
    </row>
    <row r="1003">
      <c r="A1003" s="139"/>
      <c r="B1003" s="139"/>
      <c r="C1003" s="139"/>
      <c r="D1003" s="139"/>
      <c r="E1003" s="139"/>
      <c r="F1003" s="139"/>
      <c r="G1003" s="139"/>
      <c r="H1003" s="139"/>
      <c r="I1003" s="139"/>
      <c r="J1003" s="139"/>
      <c r="K1003" s="139"/>
      <c r="L1003" s="139"/>
      <c r="M1003" s="139"/>
      <c r="N1003" s="139"/>
      <c r="O1003" s="139"/>
      <c r="P1003" s="139"/>
      <c r="Q1003" s="139"/>
      <c r="R1003" s="139"/>
      <c r="S1003" s="139"/>
      <c r="T1003" s="139"/>
      <c r="U1003" s="139"/>
      <c r="V1003" s="139"/>
      <c r="W1003" s="139"/>
      <c r="X1003" s="139"/>
      <c r="Y1003" s="139"/>
      <c r="Z1003" s="13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150000.0</v>
      </c>
      <c r="C2" s="111">
        <v>100000.0</v>
      </c>
      <c r="D2" s="109">
        <v>50000.0</v>
      </c>
      <c r="E2" s="117"/>
      <c r="F2" s="117"/>
      <c r="G2" s="117"/>
      <c r="H2" s="112"/>
      <c r="I2" s="113">
        <f t="shared" ref="I2:I3" si="1">L2*D45</f>
        <v>0</v>
      </c>
      <c r="J2" s="112"/>
      <c r="K2" s="114">
        <f>B2-C2-D2-E2-F2-I2+J2-G2-H2</f>
        <v>0</v>
      </c>
      <c r="L2" s="115">
        <f t="shared" ref="L2:L3" si="2">B2/B45</f>
        <v>8333.333333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150000.0</v>
      </c>
      <c r="C3" s="111">
        <v>150000.0</v>
      </c>
      <c r="D3" s="117"/>
      <c r="E3" s="117"/>
      <c r="F3" s="117"/>
      <c r="G3" s="117"/>
      <c r="H3" s="112"/>
      <c r="I3" s="113">
        <f t="shared" si="1"/>
        <v>0</v>
      </c>
      <c r="J3" s="112"/>
      <c r="K3" s="114">
        <f>B3-C3-D3-E3-F3-I3+J3-G3</f>
        <v>0</v>
      </c>
      <c r="L3" s="115">
        <f t="shared" si="2"/>
        <v>8333.333333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23">
        <f>194000+K21+K24+K16+K7</f>
        <v>194000.381</v>
      </c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1000000.0</v>
      </c>
      <c r="C5" s="111">
        <v>330000.0</v>
      </c>
      <c r="D5" s="109">
        <v>100000.0</v>
      </c>
      <c r="E5" s="109">
        <v>120000.0</v>
      </c>
      <c r="F5" s="109">
        <f>120500+98807+90000+140693</f>
        <v>450000</v>
      </c>
      <c r="G5" s="117"/>
      <c r="H5" s="112"/>
      <c r="I5" s="113">
        <f t="shared" ref="I5:I16" si="3">L5*D48</f>
        <v>0</v>
      </c>
      <c r="J5" s="112"/>
      <c r="K5" s="114">
        <f>B5-C5-D5-E5-F5-I5+J5-G5-H5</f>
        <v>0</v>
      </c>
      <c r="L5" s="115">
        <f t="shared" ref="L5:L16" si="4">B5/B48</f>
        <v>55555.55556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94500.0</v>
      </c>
      <c r="C6" s="111">
        <v>94500.0</v>
      </c>
      <c r="D6" s="117"/>
      <c r="E6" s="117"/>
      <c r="F6" s="117"/>
      <c r="G6" s="117"/>
      <c r="H6" s="112"/>
      <c r="I6" s="113">
        <f t="shared" si="3"/>
        <v>0</v>
      </c>
      <c r="J6" s="112"/>
      <c r="K6" s="121">
        <f t="shared" ref="K6:K14" si="5">B6-C6-D6-E6-F6-I6+J6-G6</f>
        <v>0</v>
      </c>
      <c r="L6" s="115">
        <f t="shared" si="4"/>
        <v>5250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18" t="s">
        <v>75</v>
      </c>
      <c r="B7" s="122">
        <v>150000.0</v>
      </c>
      <c r="C7" s="111">
        <v>90000.0</v>
      </c>
      <c r="D7" s="112"/>
      <c r="E7" s="112"/>
      <c r="F7" s="112"/>
      <c r="G7" s="117"/>
      <c r="H7" s="112"/>
      <c r="I7" s="113">
        <f t="shared" si="3"/>
        <v>60000</v>
      </c>
      <c r="J7" s="112"/>
      <c r="K7" s="121">
        <f t="shared" si="5"/>
        <v>0</v>
      </c>
      <c r="L7" s="115">
        <f t="shared" si="4"/>
        <v>30000</v>
      </c>
      <c r="M7" s="116" t="s">
        <v>131</v>
      </c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5.75" customHeight="1" outlineLevel="1">
      <c r="A8" s="124" t="s">
        <v>100</v>
      </c>
      <c r="B8" s="122">
        <v>230000.0</v>
      </c>
      <c r="C8" s="111">
        <v>84000.0</v>
      </c>
      <c r="D8" s="109">
        <v>133222.0</v>
      </c>
      <c r="E8" s="112"/>
      <c r="F8" s="112"/>
      <c r="G8" s="117"/>
      <c r="H8" s="112"/>
      <c r="I8" s="113">
        <f t="shared" si="3"/>
        <v>12777.77778</v>
      </c>
      <c r="J8" s="112"/>
      <c r="K8" s="121">
        <f t="shared" si="5"/>
        <v>0.2222222222</v>
      </c>
      <c r="L8" s="115">
        <f t="shared" si="4"/>
        <v>12777.77778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16.5" customHeight="1" outlineLevel="1">
      <c r="A9" s="118" t="s">
        <v>47</v>
      </c>
      <c r="B9" s="110">
        <v>115000.0</v>
      </c>
      <c r="C9" s="109">
        <v>115000.0</v>
      </c>
      <c r="D9" s="109"/>
      <c r="E9" s="112"/>
      <c r="F9" s="112"/>
      <c r="G9" s="112"/>
      <c r="H9" s="112"/>
      <c r="I9" s="113">
        <f t="shared" si="3"/>
        <v>0</v>
      </c>
      <c r="J9" s="112"/>
      <c r="K9" s="121">
        <f t="shared" si="5"/>
        <v>0</v>
      </c>
      <c r="L9" s="115">
        <f t="shared" si="4"/>
        <v>6388.888889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20.25" customHeight="1" outlineLevel="1">
      <c r="A10" s="124" t="s">
        <v>133</v>
      </c>
      <c r="B10" s="110">
        <v>450000.0</v>
      </c>
      <c r="C10" s="111">
        <v>250000.0</v>
      </c>
      <c r="D10" s="109">
        <v>200000.0</v>
      </c>
      <c r="E10" s="112"/>
      <c r="F10" s="112"/>
      <c r="G10" s="117"/>
      <c r="H10" s="112"/>
      <c r="I10" s="113">
        <f t="shared" si="3"/>
        <v>0</v>
      </c>
      <c r="J10" s="112"/>
      <c r="K10" s="121">
        <f t="shared" si="5"/>
        <v>0</v>
      </c>
      <c r="L10" s="115">
        <f t="shared" si="4"/>
        <v>25000</v>
      </c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47" t="s">
        <v>175</v>
      </c>
      <c r="B11" s="148"/>
      <c r="C11" s="148"/>
      <c r="D11" s="149"/>
      <c r="E11" s="149"/>
      <c r="F11" s="149"/>
      <c r="G11" s="149"/>
      <c r="H11" s="149"/>
      <c r="I11" s="150">
        <f t="shared" si="3"/>
        <v>0</v>
      </c>
      <c r="J11" s="149"/>
      <c r="K11" s="151">
        <f t="shared" si="5"/>
        <v>0</v>
      </c>
      <c r="L11" s="152">
        <f t="shared" si="4"/>
        <v>0</v>
      </c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 ht="15.75" customHeight="1" outlineLevel="1">
      <c r="A12" s="109" t="s">
        <v>176</v>
      </c>
      <c r="B12" s="110">
        <v>164000.0</v>
      </c>
      <c r="C12" s="111">
        <v>194000.0</v>
      </c>
      <c r="D12" s="112"/>
      <c r="E12" s="112"/>
      <c r="F12" s="112"/>
      <c r="G12" s="117"/>
      <c r="H12" s="112"/>
      <c r="I12" s="113">
        <f t="shared" si="3"/>
        <v>0</v>
      </c>
      <c r="J12" s="109">
        <v>30000.0</v>
      </c>
      <c r="K12" s="121">
        <f t="shared" si="5"/>
        <v>0</v>
      </c>
      <c r="L12" s="115">
        <f t="shared" si="4"/>
        <v>9111.111111</v>
      </c>
      <c r="M12" s="116" t="s">
        <v>140</v>
      </c>
      <c r="N12" s="116" t="s">
        <v>142</v>
      </c>
      <c r="O12" s="116" t="s">
        <v>143</v>
      </c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177</v>
      </c>
      <c r="B13" s="122">
        <v>300000.0</v>
      </c>
      <c r="C13" s="111">
        <v>6250.0</v>
      </c>
      <c r="D13" s="109">
        <v>143750.0</v>
      </c>
      <c r="E13" s="112"/>
      <c r="F13" s="112"/>
      <c r="G13" s="117"/>
      <c r="H13" s="112"/>
      <c r="I13" s="113">
        <f t="shared" si="3"/>
        <v>150000</v>
      </c>
      <c r="J13" s="112"/>
      <c r="K13" s="121">
        <f t="shared" si="5"/>
        <v>0</v>
      </c>
      <c r="L13" s="115">
        <f t="shared" si="4"/>
        <v>25000</v>
      </c>
      <c r="M13" s="125" t="s">
        <v>178</v>
      </c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 t="s">
        <v>145</v>
      </c>
      <c r="B14" s="110">
        <v>222000.0</v>
      </c>
      <c r="C14" s="111">
        <v>222000.0</v>
      </c>
      <c r="D14" s="112"/>
      <c r="E14" s="112"/>
      <c r="F14" s="112"/>
      <c r="G14" s="117"/>
      <c r="H14" s="112"/>
      <c r="I14" s="113">
        <f t="shared" si="3"/>
        <v>0</v>
      </c>
      <c r="J14" s="112"/>
      <c r="K14" s="121">
        <f t="shared" si="5"/>
        <v>0</v>
      </c>
      <c r="L14" s="115">
        <f t="shared" si="4"/>
        <v>12333.33333</v>
      </c>
      <c r="M14" s="116" t="s">
        <v>140</v>
      </c>
      <c r="N14" s="116" t="s">
        <v>142</v>
      </c>
      <c r="O14" s="116" t="s">
        <v>143</v>
      </c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 outlineLevel="1">
      <c r="A15" s="147" t="s">
        <v>162</v>
      </c>
      <c r="B15" s="154">
        <v>0.0</v>
      </c>
      <c r="C15" s="148"/>
      <c r="D15" s="149"/>
      <c r="E15" s="149"/>
      <c r="F15" s="149"/>
      <c r="G15" s="155"/>
      <c r="H15" s="149"/>
      <c r="I15" s="150">
        <f t="shared" si="3"/>
        <v>0</v>
      </c>
      <c r="J15" s="149"/>
      <c r="K15" s="154">
        <v>0.0</v>
      </c>
      <c r="L15" s="152">
        <f t="shared" si="4"/>
        <v>0</v>
      </c>
      <c r="M15" s="156" t="s">
        <v>140</v>
      </c>
      <c r="N15" s="156" t="s">
        <v>142</v>
      </c>
      <c r="O15" s="156" t="s">
        <v>143</v>
      </c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</row>
    <row r="16" ht="15.75" customHeight="1" outlineLevel="1">
      <c r="A16" s="109" t="s">
        <v>163</v>
      </c>
      <c r="B16" s="110">
        <v>326000.0</v>
      </c>
      <c r="C16" s="111">
        <v>300000.0</v>
      </c>
      <c r="D16" s="109">
        <v>26000.0</v>
      </c>
      <c r="E16" s="112"/>
      <c r="F16" s="112"/>
      <c r="G16" s="117"/>
      <c r="H16" s="112"/>
      <c r="I16" s="113">
        <f t="shared" si="3"/>
        <v>0</v>
      </c>
      <c r="J16" s="112"/>
      <c r="K16" s="121">
        <f t="shared" ref="K16:K17" si="6">B16-C16-D16-E16-F16-I16+J16-G16-H16</f>
        <v>0</v>
      </c>
      <c r="L16" s="115">
        <f t="shared" si="4"/>
        <v>18111.11111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57" t="s">
        <v>179</v>
      </c>
      <c r="B17" s="158">
        <v>100000.0</v>
      </c>
      <c r="C17" s="159">
        <v>100000.0</v>
      </c>
      <c r="D17" s="157"/>
      <c r="E17" s="160"/>
      <c r="F17" s="160"/>
      <c r="G17" s="161"/>
      <c r="H17" s="160"/>
      <c r="I17" s="162"/>
      <c r="J17" s="160"/>
      <c r="K17" s="121">
        <f t="shared" si="6"/>
        <v>0</v>
      </c>
      <c r="L17" s="163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6.5" customHeight="1">
      <c r="A18" s="143" t="s">
        <v>180</v>
      </c>
      <c r="B18" s="144"/>
      <c r="C18" s="144"/>
      <c r="D18" s="144"/>
      <c r="E18" s="144"/>
      <c r="F18" s="144"/>
      <c r="G18" s="144"/>
      <c r="H18" s="144"/>
      <c r="I18" s="144"/>
      <c r="J18" s="144"/>
      <c r="K18" s="145"/>
      <c r="L18" s="146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6.5" customHeight="1">
      <c r="A19" s="124" t="s">
        <v>115</v>
      </c>
      <c r="B19" s="122">
        <v>200000.0</v>
      </c>
      <c r="C19" s="111">
        <v>124000.0</v>
      </c>
      <c r="D19" s="109">
        <v>240506.0</v>
      </c>
      <c r="E19" s="112"/>
      <c r="F19" s="112"/>
      <c r="G19" s="117"/>
      <c r="H19" s="112"/>
      <c r="I19" s="113">
        <f t="shared" ref="I19:I22" si="7">L19*D61</f>
        <v>0</v>
      </c>
      <c r="J19" s="126">
        <f>IFERROR(__xludf.DUMMYFUNCTION("IMPORTRANGE(""https://docs.google.com/spreadsheets/d/1JJd44_6b1hsmD6e8liei_zzkkh-GYab6gE4K23IJPVI/edit?gid=0#gid=0&amp;range=J95"",""'Лист1'!K259"")"),164505.9419999999)</f>
        <v>164505.942</v>
      </c>
      <c r="K19" s="121">
        <f t="shared" ref="K19:K21" si="8">B19-C19-D19-E19-F19-I19+J19-G19-H19</f>
        <v>-0.05800000011</v>
      </c>
      <c r="L19" s="115">
        <f t="shared" ref="L19:L22" si="9">B19/B61</f>
        <v>9523.809524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24" t="s">
        <v>91</v>
      </c>
      <c r="B20" s="122">
        <v>100000.0</v>
      </c>
      <c r="C20" s="111">
        <v>100000.0</v>
      </c>
      <c r="D20" s="109">
        <v>70000.0</v>
      </c>
      <c r="E20" s="109">
        <v>87868.0</v>
      </c>
      <c r="F20" s="112"/>
      <c r="G20" s="117"/>
      <c r="H20" s="112"/>
      <c r="I20" s="113">
        <f t="shared" si="7"/>
        <v>0</v>
      </c>
      <c r="J20" s="126">
        <f>IFERROR(__xludf.DUMMYFUNCTION("IMPORTRANGE(""https://docs.google.com/spreadsheets/d/1JJd44_6b1hsmD6e8liei_zzkkh-GYab6gE4K23IJPVI/edit?gid=0#gid=0&amp;range=J95"",""'Лист1'!V247"")"),157868.3250000002)</f>
        <v>157868.325</v>
      </c>
      <c r="K20" s="121">
        <f t="shared" si="8"/>
        <v>0.3250000002</v>
      </c>
      <c r="L20" s="115">
        <f t="shared" si="9"/>
        <v>4761.904762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09" t="s">
        <v>146</v>
      </c>
      <c r="B21" s="122">
        <v>100000.0</v>
      </c>
      <c r="C21" s="111">
        <v>80952.0</v>
      </c>
      <c r="D21" s="112"/>
      <c r="E21" s="112"/>
      <c r="F21" s="112"/>
      <c r="G21" s="117"/>
      <c r="H21" s="109"/>
      <c r="I21" s="113">
        <f t="shared" si="7"/>
        <v>19047.61905</v>
      </c>
      <c r="J21" s="164">
        <v>0.0</v>
      </c>
      <c r="K21" s="121">
        <f t="shared" si="8"/>
        <v>0.380952381</v>
      </c>
      <c r="L21" s="115">
        <f t="shared" si="9"/>
        <v>4761.904762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181</v>
      </c>
      <c r="B22" s="111">
        <v>300000.0</v>
      </c>
      <c r="C22" s="111">
        <v>200000.0</v>
      </c>
      <c r="D22" s="109">
        <v>70000.0</v>
      </c>
      <c r="E22" s="109">
        <v>42615.0</v>
      </c>
      <c r="F22" s="112"/>
      <c r="G22" s="112"/>
      <c r="H22" s="109">
        <v>9000.0</v>
      </c>
      <c r="I22" s="113">
        <f t="shared" si="7"/>
        <v>0</v>
      </c>
      <c r="J22" s="126">
        <f>IFERROR(__xludf.DUMMYFUNCTION("IMPORTRANGE(""https://docs.google.com/spreadsheets/d/1JJd44_6b1hsmD6e8liei_zzkkh-GYab6gE4K23IJPVI/edit?gid=0#gid=0&amp;range=J95"",""'Лист1'!AT249"")"),39045.510000000126)</f>
        <v>39045.51</v>
      </c>
      <c r="K22" s="165">
        <v>0.0</v>
      </c>
      <c r="L22" s="115">
        <f t="shared" si="9"/>
        <v>14285.71429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9"/>
      <c r="B23" s="111"/>
      <c r="C23" s="119"/>
      <c r="D23" s="112"/>
      <c r="E23" s="112"/>
      <c r="F23" s="112"/>
      <c r="G23" s="112"/>
      <c r="H23" s="112"/>
      <c r="I23" s="113"/>
      <c r="J23" s="126"/>
      <c r="K23" s="114"/>
      <c r="L23" s="115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9" t="s">
        <v>168</v>
      </c>
      <c r="B24" s="111">
        <v>100000.0</v>
      </c>
      <c r="C24" s="111">
        <v>15000.0</v>
      </c>
      <c r="D24" s="109">
        <v>82000.0</v>
      </c>
      <c r="E24" s="112"/>
      <c r="F24" s="112"/>
      <c r="G24" s="109">
        <v>3000.0</v>
      </c>
      <c r="H24" s="112"/>
      <c r="I24" s="113">
        <f>L24*D66</f>
        <v>0</v>
      </c>
      <c r="J24" s="126">
        <f>IFERROR(__xludf.DUMMYFUNCTION("IMPORTRANGE(""https://docs.google.com/spreadsheets/d/1JJd44_6b1hsmD6e8liei_zzkkh-GYab6gE4K23IJPVI/edit?gid=0#gid=0&amp;range=J95"",""'Лист1'!BR249"")"),0.0)</f>
        <v>0</v>
      </c>
      <c r="K24" s="121">
        <f>B24-C24-D24-E24-F24-I24+J24-G24-H24</f>
        <v>0</v>
      </c>
      <c r="L24" s="115">
        <f>B24/B66</f>
        <v>4761.904762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43" t="s">
        <v>182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5"/>
      <c r="L25" s="146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18" t="s">
        <v>18</v>
      </c>
      <c r="B26" s="122">
        <v>250000.0</v>
      </c>
      <c r="C26" s="111">
        <v>100000.0</v>
      </c>
      <c r="D26" s="109">
        <v>120372.0</v>
      </c>
      <c r="E26" s="109">
        <v>126090.0</v>
      </c>
      <c r="F26" s="112"/>
      <c r="G26" s="117"/>
      <c r="H26" s="112"/>
      <c r="I26" s="113">
        <f t="shared" ref="I26:I30" si="10">L26*D68</f>
        <v>0</v>
      </c>
      <c r="J26" s="114">
        <f>IFERROR(__xludf.DUMMYFUNCTION("IMPORTRANGE(""https://docs.google.com/spreadsheets/d/1JJd44_6b1hsmD6e8liei_zzkkh-GYab6gE4K23IJPVI/edit?gid=0#gid=0&amp;range=J95"",""'Лист1'!I255"")"),96462.3049999997)</f>
        <v>96462.305</v>
      </c>
      <c r="K26" s="114">
        <f t="shared" ref="K26:K30" si="11">B26-C26-D26-E26-F26-I26+J26-G26-H26</f>
        <v>0.3049999997</v>
      </c>
      <c r="L26" s="115">
        <f t="shared" ref="L26:L30" si="12">B26/B68</f>
        <v>11904.7619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18" t="s">
        <v>118</v>
      </c>
      <c r="B27" s="110">
        <v>0.0</v>
      </c>
      <c r="C27" s="119"/>
      <c r="D27" s="112"/>
      <c r="E27" s="112"/>
      <c r="F27" s="112"/>
      <c r="G27" s="117"/>
      <c r="H27" s="112"/>
      <c r="I27" s="113">
        <f t="shared" si="10"/>
        <v>0</v>
      </c>
      <c r="J27" s="119"/>
      <c r="K27" s="121">
        <f t="shared" si="11"/>
        <v>0</v>
      </c>
      <c r="L27" s="115">
        <f t="shared" si="12"/>
        <v>0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 outlineLevel="1">
      <c r="A28" s="124" t="s">
        <v>39</v>
      </c>
      <c r="B28" s="122">
        <v>250000.0</v>
      </c>
      <c r="C28" s="111">
        <v>125000.0</v>
      </c>
      <c r="D28" s="112"/>
      <c r="E28" s="112"/>
      <c r="F28" s="112"/>
      <c r="G28" s="117"/>
      <c r="H28" s="112"/>
      <c r="I28" s="113">
        <f t="shared" si="10"/>
        <v>125000</v>
      </c>
      <c r="J28" s="112"/>
      <c r="K28" s="121">
        <f t="shared" si="11"/>
        <v>0</v>
      </c>
      <c r="L28" s="115">
        <f t="shared" si="12"/>
        <v>13888.88889</v>
      </c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24" t="s">
        <v>67</v>
      </c>
      <c r="B29" s="110">
        <v>200000.0</v>
      </c>
      <c r="C29" s="111">
        <v>100000.0</v>
      </c>
      <c r="D29" s="109">
        <v>100000.0</v>
      </c>
      <c r="E29" s="112"/>
      <c r="F29" s="112"/>
      <c r="G29" s="112"/>
      <c r="H29" s="112"/>
      <c r="I29" s="113">
        <f t="shared" si="10"/>
        <v>0</v>
      </c>
      <c r="J29" s="112"/>
      <c r="K29" s="121">
        <f t="shared" si="11"/>
        <v>0</v>
      </c>
      <c r="L29" s="115">
        <f t="shared" si="12"/>
        <v>11111.11111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8.0" customHeight="1" outlineLevel="1">
      <c r="A30" s="118" t="s">
        <v>41</v>
      </c>
      <c r="B30" s="122">
        <v>200000.0</v>
      </c>
      <c r="C30" s="127">
        <v>200000.0</v>
      </c>
      <c r="D30" s="112"/>
      <c r="E30" s="112"/>
      <c r="F30" s="112"/>
      <c r="G30" s="112"/>
      <c r="H30" s="112"/>
      <c r="I30" s="113">
        <f t="shared" si="10"/>
        <v>0</v>
      </c>
      <c r="J30" s="112"/>
      <c r="K30" s="114">
        <f t="shared" si="11"/>
        <v>0</v>
      </c>
      <c r="L30" s="115">
        <f t="shared" si="12"/>
        <v>11111.11111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8.0" customHeight="1" outlineLevel="1">
      <c r="A31" s="143" t="s">
        <v>183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5"/>
      <c r="L31" s="146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 outlineLevel="1">
      <c r="A32" s="109" t="s">
        <v>164</v>
      </c>
      <c r="B32" s="122">
        <v>250000.0</v>
      </c>
      <c r="C32" s="111">
        <v>100000.0</v>
      </c>
      <c r="D32" s="109">
        <v>100000.0</v>
      </c>
      <c r="E32" s="109">
        <v>50000.0</v>
      </c>
      <c r="F32" s="112"/>
      <c r="G32" s="112"/>
      <c r="H32" s="112"/>
      <c r="I32" s="113">
        <f t="shared" ref="I32:I35" si="13">L32*D74</f>
        <v>0</v>
      </c>
      <c r="J32" s="112"/>
      <c r="K32" s="121">
        <f t="shared" ref="K32:K35" si="14">B32-C32-D32-E32-F32-I32+J32-G32-H32</f>
        <v>0</v>
      </c>
      <c r="L32" s="115">
        <f t="shared" ref="L32:L35" si="15">B32/B74</f>
        <v>11904.7619</v>
      </c>
      <c r="M32" s="108"/>
      <c r="N32" s="108"/>
      <c r="O32" s="108"/>
      <c r="P32" s="108"/>
      <c r="Q32" s="108"/>
      <c r="R32" s="123">
        <f>100000+K16+K7</f>
        <v>100000</v>
      </c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4" t="s">
        <v>71</v>
      </c>
      <c r="B33" s="110">
        <v>150000.0</v>
      </c>
      <c r="C33" s="119"/>
      <c r="D33" s="117"/>
      <c r="E33" s="112"/>
      <c r="F33" s="112"/>
      <c r="G33" s="117"/>
      <c r="H33" s="112"/>
      <c r="I33" s="113">
        <f t="shared" si="13"/>
        <v>0</v>
      </c>
      <c r="J33" s="112"/>
      <c r="K33" s="114">
        <f t="shared" si="14"/>
        <v>150000</v>
      </c>
      <c r="L33" s="115">
        <f t="shared" si="15"/>
        <v>7142.857143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outlineLevel="1">
      <c r="A34" s="118" t="s">
        <v>70</v>
      </c>
      <c r="B34" s="122">
        <v>70000.0</v>
      </c>
      <c r="C34" s="111"/>
      <c r="D34" s="112"/>
      <c r="E34" s="112"/>
      <c r="F34" s="117"/>
      <c r="G34" s="112"/>
      <c r="H34" s="112"/>
      <c r="I34" s="113">
        <f t="shared" si="13"/>
        <v>0</v>
      </c>
      <c r="J34" s="112"/>
      <c r="K34" s="114">
        <f t="shared" si="14"/>
        <v>70000</v>
      </c>
      <c r="L34" s="115">
        <f t="shared" si="15"/>
        <v>3333.333333</v>
      </c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 outlineLevel="1">
      <c r="A35" s="118" t="s">
        <v>15</v>
      </c>
      <c r="B35" s="122">
        <v>120000.0</v>
      </c>
      <c r="C35" s="111">
        <v>120000.0</v>
      </c>
      <c r="D35" s="112"/>
      <c r="E35" s="112"/>
      <c r="F35" s="112"/>
      <c r="G35" s="112"/>
      <c r="H35" s="112"/>
      <c r="I35" s="113">
        <f t="shared" si="13"/>
        <v>0</v>
      </c>
      <c r="J35" s="112"/>
      <c r="K35" s="121">
        <f t="shared" si="14"/>
        <v>0</v>
      </c>
      <c r="L35" s="115">
        <f t="shared" si="15"/>
        <v>5714.285714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09"/>
      <c r="B36" s="111"/>
      <c r="C36" s="111"/>
      <c r="D36" s="112"/>
      <c r="E36" s="112"/>
      <c r="F36" s="112"/>
      <c r="G36" s="112"/>
      <c r="H36" s="112"/>
      <c r="I36" s="112"/>
      <c r="J36" s="112"/>
      <c r="K36" s="114"/>
      <c r="L36" s="112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/>
      <c r="B37" s="119"/>
      <c r="C37" s="119"/>
      <c r="D37" s="112"/>
      <c r="E37" s="112"/>
      <c r="F37" s="112"/>
      <c r="G37" s="112"/>
      <c r="H37" s="112"/>
      <c r="I37" s="112"/>
      <c r="J37" s="112"/>
      <c r="K37" s="126"/>
      <c r="L37" s="112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18" t="s">
        <v>26</v>
      </c>
      <c r="B38" s="119">
        <f>SUM(B2:B35)</f>
        <v>5741500</v>
      </c>
      <c r="C38" s="119"/>
      <c r="D38" s="112"/>
      <c r="E38" s="112"/>
      <c r="F38" s="112"/>
      <c r="G38" s="112"/>
      <c r="H38" s="112"/>
      <c r="I38" s="112"/>
      <c r="J38" s="112"/>
      <c r="K38" s="126">
        <f>SUM(K2:K36)</f>
        <v>220001.1752</v>
      </c>
      <c r="L38" s="112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3"/>
      <c r="L39" s="12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28"/>
      <c r="B41" s="128"/>
      <c r="C41" s="128"/>
      <c r="D41" s="129" t="s">
        <v>110</v>
      </c>
      <c r="E41" s="128"/>
      <c r="F41" s="128"/>
      <c r="G41" s="128"/>
      <c r="H41" s="125" t="s">
        <v>110</v>
      </c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28"/>
      <c r="B42" s="128"/>
      <c r="C42" s="128"/>
      <c r="D42" s="130"/>
      <c r="E42" s="128"/>
      <c r="F42" s="128"/>
      <c r="G42" s="125" t="s">
        <v>110</v>
      </c>
      <c r="H42" s="128"/>
      <c r="I42" s="128"/>
      <c r="J42" s="128"/>
      <c r="K42" s="12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28"/>
      <c r="B43" s="128"/>
      <c r="C43" s="128"/>
      <c r="D43" s="128"/>
      <c r="E43" s="128"/>
      <c r="F43" s="130"/>
      <c r="G43" s="128"/>
      <c r="H43" s="128"/>
      <c r="I43" s="123">
        <f>C3+C11+C10+C12+C13+C14+C15+C19+C24+C26+C28+C34</f>
        <v>1186250</v>
      </c>
      <c r="J43" s="128"/>
      <c r="K43" s="12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18" t="s">
        <v>79</v>
      </c>
      <c r="B44" s="166" t="s">
        <v>28</v>
      </c>
      <c r="C44" s="167" t="s">
        <v>29</v>
      </c>
      <c r="D44" s="168" t="s">
        <v>80</v>
      </c>
      <c r="E44" s="118" t="s">
        <v>81</v>
      </c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127</v>
      </c>
      <c r="B45" s="120">
        <v>18.0</v>
      </c>
      <c r="C45" s="115">
        <f t="shared" ref="C45:C46" si="16">B45-D45</f>
        <v>18</v>
      </c>
      <c r="D45" s="115">
        <v>0.0</v>
      </c>
      <c r="E45" s="135">
        <v>45327.0</v>
      </c>
      <c r="F45" s="128"/>
      <c r="G45" s="128"/>
      <c r="H45" s="128"/>
      <c r="I45" s="128"/>
      <c r="J45" s="128"/>
      <c r="K45" s="12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09" t="s">
        <v>128</v>
      </c>
      <c r="B46" s="120">
        <v>18.0</v>
      </c>
      <c r="C46" s="115">
        <f t="shared" si="16"/>
        <v>18</v>
      </c>
      <c r="D46" s="115">
        <v>0.0</v>
      </c>
      <c r="E46" s="135">
        <v>45327.0</v>
      </c>
      <c r="F46" s="128"/>
      <c r="G46" s="128"/>
      <c r="H46" s="128"/>
      <c r="I46" s="128"/>
      <c r="J46" s="128"/>
      <c r="K46" s="12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43" t="s">
        <v>174</v>
      </c>
      <c r="B47" s="144"/>
      <c r="C47" s="144"/>
      <c r="D47" s="144"/>
      <c r="E47" s="169"/>
      <c r="F47" s="128"/>
      <c r="G47" s="128"/>
      <c r="H47" s="128"/>
      <c r="I47" s="128"/>
      <c r="J47" s="128"/>
      <c r="K47" s="12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09" t="s">
        <v>129</v>
      </c>
      <c r="B48" s="120">
        <v>18.0</v>
      </c>
      <c r="C48" s="115">
        <f t="shared" ref="C48:C59" si="17">B48-D48</f>
        <v>18</v>
      </c>
      <c r="D48" s="115">
        <v>0.0</v>
      </c>
      <c r="E48" s="135">
        <v>45327.0</v>
      </c>
      <c r="F48" s="128"/>
      <c r="G48" s="128"/>
      <c r="H48" s="128"/>
      <c r="I48" s="128"/>
      <c r="J48" s="128"/>
      <c r="K48" s="12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18" t="s">
        <v>132</v>
      </c>
      <c r="B49" s="120">
        <v>18.0</v>
      </c>
      <c r="C49" s="115">
        <f t="shared" si="17"/>
        <v>18</v>
      </c>
      <c r="D49" s="115">
        <v>0.0</v>
      </c>
      <c r="E49" s="135">
        <v>45327.0</v>
      </c>
      <c r="F49" s="128"/>
      <c r="G49" s="128"/>
      <c r="H49" s="128"/>
      <c r="I49" s="128"/>
      <c r="J49" s="128"/>
      <c r="K49" s="12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18" t="s">
        <v>75</v>
      </c>
      <c r="B50" s="120">
        <v>5.0</v>
      </c>
      <c r="C50" s="115">
        <f t="shared" si="17"/>
        <v>3</v>
      </c>
      <c r="D50" s="120">
        <v>2.0</v>
      </c>
      <c r="E50" s="135">
        <v>45327.0</v>
      </c>
      <c r="F50" s="128"/>
      <c r="G50" s="128"/>
      <c r="H50" s="128"/>
      <c r="I50" s="128"/>
      <c r="J50" s="128"/>
      <c r="K50" s="128">
        <f>170000+300000+100000+125000</f>
        <v>695000</v>
      </c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24" t="s">
        <v>100</v>
      </c>
      <c r="B51" s="120">
        <v>18.0</v>
      </c>
      <c r="C51" s="115">
        <f t="shared" si="17"/>
        <v>17</v>
      </c>
      <c r="D51" s="120">
        <v>1.0</v>
      </c>
      <c r="E51" s="135">
        <v>45297.0</v>
      </c>
      <c r="F51" s="125">
        <v>11.0</v>
      </c>
      <c r="G51" s="128"/>
      <c r="H51" s="128"/>
      <c r="I51" s="128"/>
      <c r="J51" s="128"/>
      <c r="K51" s="12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18" t="s">
        <v>47</v>
      </c>
      <c r="B52" s="120">
        <v>18.0</v>
      </c>
      <c r="C52" s="115">
        <f t="shared" si="17"/>
        <v>18</v>
      </c>
      <c r="D52" s="120">
        <v>0.0</v>
      </c>
      <c r="E52" s="135">
        <v>45327.0</v>
      </c>
      <c r="F52" s="138"/>
      <c r="G52" s="128"/>
      <c r="H52" s="128"/>
      <c r="I52" s="128"/>
      <c r="J52" s="128"/>
      <c r="K52" s="12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24" t="s">
        <v>133</v>
      </c>
      <c r="B53" s="120">
        <v>18.0</v>
      </c>
      <c r="C53" s="115">
        <f t="shared" si="17"/>
        <v>18</v>
      </c>
      <c r="D53" s="136">
        <v>0.0</v>
      </c>
      <c r="E53" s="135">
        <v>45327.0</v>
      </c>
      <c r="F53" s="138" t="s">
        <v>149</v>
      </c>
      <c r="G53" s="128"/>
      <c r="H53" s="130"/>
      <c r="I53" s="128"/>
      <c r="J53" s="128"/>
      <c r="K53" s="12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175</v>
      </c>
      <c r="B54" s="120">
        <v>10.0</v>
      </c>
      <c r="C54" s="115">
        <f t="shared" si="17"/>
        <v>7</v>
      </c>
      <c r="D54" s="120">
        <v>3.0</v>
      </c>
      <c r="E54" s="135">
        <v>45327.0</v>
      </c>
      <c r="F54" s="130"/>
      <c r="G54" s="128"/>
      <c r="H54" s="128"/>
      <c r="I54" s="128"/>
      <c r="J54" s="128"/>
      <c r="K54" s="12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176</v>
      </c>
      <c r="B55" s="136">
        <v>18.0</v>
      </c>
      <c r="C55" s="115">
        <f t="shared" si="17"/>
        <v>18</v>
      </c>
      <c r="D55" s="136">
        <v>0.0</v>
      </c>
      <c r="E55" s="135">
        <v>45297.0</v>
      </c>
      <c r="F55" s="13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177</v>
      </c>
      <c r="B56" s="120">
        <v>12.0</v>
      </c>
      <c r="C56" s="115">
        <f t="shared" si="17"/>
        <v>6</v>
      </c>
      <c r="D56" s="120">
        <v>6.0</v>
      </c>
      <c r="E56" s="135">
        <v>45327.0</v>
      </c>
      <c r="F56" s="138"/>
      <c r="G56" s="116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145</v>
      </c>
      <c r="B57" s="120">
        <v>18.0</v>
      </c>
      <c r="C57" s="115">
        <f t="shared" si="17"/>
        <v>18</v>
      </c>
      <c r="D57" s="120">
        <v>0.0</v>
      </c>
      <c r="E57" s="135">
        <v>45327.0</v>
      </c>
      <c r="F57" s="138"/>
      <c r="G57" s="116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162</v>
      </c>
      <c r="B58" s="120">
        <v>18.0</v>
      </c>
      <c r="C58" s="115">
        <f t="shared" si="17"/>
        <v>18</v>
      </c>
      <c r="D58" s="120">
        <v>0.0</v>
      </c>
      <c r="E58" s="135">
        <v>45327.0</v>
      </c>
      <c r="F58" s="138"/>
      <c r="G58" s="116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09" t="s">
        <v>163</v>
      </c>
      <c r="B59" s="120">
        <v>18.0</v>
      </c>
      <c r="C59" s="115">
        <f t="shared" si="17"/>
        <v>18</v>
      </c>
      <c r="D59" s="120">
        <v>0.0</v>
      </c>
      <c r="E59" s="135">
        <v>45327.0</v>
      </c>
      <c r="F59" s="125" t="s">
        <v>184</v>
      </c>
      <c r="G59" s="116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43" t="s">
        <v>180</v>
      </c>
      <c r="B60" s="144"/>
      <c r="C60" s="144"/>
      <c r="D60" s="144"/>
      <c r="E60" s="169"/>
      <c r="F60" s="130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24" t="s">
        <v>115</v>
      </c>
      <c r="B61" s="120">
        <v>21.0</v>
      </c>
      <c r="C61" s="115">
        <f t="shared" ref="C61:C64" si="18">B61-D61</f>
        <v>21</v>
      </c>
      <c r="D61" s="120">
        <v>0.0</v>
      </c>
      <c r="E61" s="135">
        <v>45297.0</v>
      </c>
      <c r="F61" s="130"/>
      <c r="G61" s="128"/>
      <c r="H61" s="128"/>
      <c r="I61" s="128"/>
      <c r="J61" s="128"/>
      <c r="K61" s="12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24" t="s">
        <v>91</v>
      </c>
      <c r="B62" s="120">
        <v>21.0</v>
      </c>
      <c r="C62" s="115">
        <f t="shared" si="18"/>
        <v>21</v>
      </c>
      <c r="D62" s="136">
        <v>0.0</v>
      </c>
      <c r="E62" s="135">
        <v>45297.0</v>
      </c>
      <c r="F62" s="130"/>
      <c r="G62" s="128"/>
      <c r="H62" s="12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 t="s">
        <v>146</v>
      </c>
      <c r="B63" s="120">
        <v>21.0</v>
      </c>
      <c r="C63" s="115">
        <f t="shared" si="18"/>
        <v>17</v>
      </c>
      <c r="D63" s="120">
        <v>4.0</v>
      </c>
      <c r="E63" s="135">
        <v>45297.0</v>
      </c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166</v>
      </c>
      <c r="B64" s="120">
        <v>21.0</v>
      </c>
      <c r="C64" s="115">
        <f t="shared" si="18"/>
        <v>21</v>
      </c>
      <c r="D64" s="136">
        <v>0.0</v>
      </c>
      <c r="E64" s="135">
        <v>45297.0</v>
      </c>
      <c r="F64" s="130"/>
      <c r="G64" s="128"/>
      <c r="H64" s="12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9"/>
      <c r="B65" s="120"/>
      <c r="C65" s="115"/>
      <c r="D65" s="136"/>
      <c r="E65" s="135"/>
      <c r="F65" s="130"/>
      <c r="G65" s="128"/>
      <c r="H65" s="12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09" t="s">
        <v>168</v>
      </c>
      <c r="B66" s="120">
        <v>21.0</v>
      </c>
      <c r="C66" s="115">
        <f>B66-D66</f>
        <v>21</v>
      </c>
      <c r="D66" s="136">
        <v>0.0</v>
      </c>
      <c r="E66" s="135">
        <v>45297.0</v>
      </c>
      <c r="F66" s="130"/>
      <c r="G66" s="128"/>
      <c r="H66" s="128"/>
      <c r="I66" s="128"/>
      <c r="J66" s="128"/>
      <c r="K66" s="12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43" t="s">
        <v>182</v>
      </c>
      <c r="B67" s="144"/>
      <c r="C67" s="144"/>
      <c r="D67" s="144"/>
      <c r="E67" s="169"/>
      <c r="F67" s="130"/>
      <c r="G67" s="128"/>
      <c r="H67" s="12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18" t="s">
        <v>18</v>
      </c>
      <c r="B68" s="120">
        <v>21.0</v>
      </c>
      <c r="C68" s="115">
        <f t="shared" ref="C68:C72" si="19">B68-D68</f>
        <v>21</v>
      </c>
      <c r="D68" s="136">
        <v>0.0</v>
      </c>
      <c r="E68" s="135">
        <v>45297.0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18" t="s">
        <v>118</v>
      </c>
      <c r="B69" s="120">
        <v>18.0</v>
      </c>
      <c r="C69" s="115">
        <f t="shared" si="19"/>
        <v>18</v>
      </c>
      <c r="D69" s="120">
        <v>0.0</v>
      </c>
      <c r="E69" s="135">
        <v>45297.0</v>
      </c>
      <c r="F69" s="125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24" t="s">
        <v>39</v>
      </c>
      <c r="B70" s="120">
        <v>18.0</v>
      </c>
      <c r="C70" s="115">
        <f t="shared" si="19"/>
        <v>9</v>
      </c>
      <c r="D70" s="120">
        <v>9.0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24" t="s">
        <v>67</v>
      </c>
      <c r="B71" s="120">
        <v>18.0</v>
      </c>
      <c r="C71" s="115">
        <f t="shared" si="19"/>
        <v>18</v>
      </c>
      <c r="D71" s="136">
        <v>0.0</v>
      </c>
      <c r="E71" s="135">
        <v>45327.0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18" t="s">
        <v>41</v>
      </c>
      <c r="B72" s="120">
        <v>18.0</v>
      </c>
      <c r="C72" s="115">
        <f t="shared" si="19"/>
        <v>18</v>
      </c>
      <c r="D72" s="136">
        <v>0.0</v>
      </c>
      <c r="E72" s="135">
        <v>45327.0</v>
      </c>
      <c r="F72" s="130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70" t="s">
        <v>183</v>
      </c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9" t="s">
        <v>164</v>
      </c>
      <c r="B74" s="120">
        <v>21.0</v>
      </c>
      <c r="C74" s="115">
        <f t="shared" ref="C74:C77" si="20">B74-D74</f>
        <v>21</v>
      </c>
      <c r="D74" s="120">
        <v>0.0</v>
      </c>
      <c r="E74" s="135">
        <v>45297.0</v>
      </c>
      <c r="F74" s="125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24" t="s">
        <v>71</v>
      </c>
      <c r="B75" s="120">
        <v>21.0</v>
      </c>
      <c r="C75" s="115">
        <f t="shared" si="20"/>
        <v>21</v>
      </c>
      <c r="D75" s="120">
        <v>0.0</v>
      </c>
      <c r="E75" s="135">
        <v>45327.0</v>
      </c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18" t="s">
        <v>70</v>
      </c>
      <c r="B76" s="120">
        <v>21.0</v>
      </c>
      <c r="C76" s="115">
        <f t="shared" si="20"/>
        <v>21</v>
      </c>
      <c r="D76" s="120">
        <v>0.0</v>
      </c>
      <c r="E76" s="135">
        <v>45327.0</v>
      </c>
      <c r="F76" s="130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18" t="s">
        <v>15</v>
      </c>
      <c r="B77" s="120">
        <v>21.0</v>
      </c>
      <c r="C77" s="115">
        <f t="shared" si="20"/>
        <v>21</v>
      </c>
      <c r="D77" s="120">
        <v>0.0</v>
      </c>
      <c r="E77" s="135">
        <v>45327.0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 ht="15.75" customHeight="1">
      <c r="A1005" s="108"/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</row>
    <row r="1006" ht="15.75" customHeight="1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  <row r="1007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</row>
    <row r="1008">
      <c r="A1008" s="139"/>
      <c r="B1008" s="139"/>
      <c r="C1008" s="139"/>
      <c r="D1008" s="139"/>
      <c r="E1008" s="139"/>
      <c r="F1008" s="139"/>
      <c r="G1008" s="139"/>
      <c r="H1008" s="139"/>
      <c r="I1008" s="139"/>
      <c r="J1008" s="139"/>
      <c r="K1008" s="139"/>
      <c r="L1008" s="139"/>
      <c r="M1008" s="139"/>
      <c r="N1008" s="139"/>
      <c r="O1008" s="139"/>
      <c r="P1008" s="139"/>
      <c r="Q1008" s="139"/>
      <c r="R1008" s="139"/>
      <c r="S1008" s="139"/>
      <c r="T1008" s="139"/>
      <c r="U1008" s="139"/>
      <c r="V1008" s="139"/>
      <c r="W1008" s="139"/>
      <c r="X1008" s="139"/>
      <c r="Y1008" s="139"/>
      <c r="Z1008" s="139"/>
    </row>
  </sheetData>
  <mergeCells count="8">
    <mergeCell ref="A4:J4"/>
    <mergeCell ref="A18:J18"/>
    <mergeCell ref="A25:J25"/>
    <mergeCell ref="A31:J31"/>
    <mergeCell ref="A47:E47"/>
    <mergeCell ref="A60:E60"/>
    <mergeCell ref="A67:E67"/>
    <mergeCell ref="A73:E7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220000.0</v>
      </c>
      <c r="C2" s="111">
        <v>200000.0</v>
      </c>
      <c r="D2" s="109">
        <v>20000.0</v>
      </c>
      <c r="E2" s="117"/>
      <c r="F2" s="117"/>
      <c r="G2" s="117"/>
      <c r="H2" s="112"/>
      <c r="I2" s="113">
        <f t="shared" ref="I2:I3" si="1">L2*D42</f>
        <v>0</v>
      </c>
      <c r="J2" s="112"/>
      <c r="K2" s="114">
        <f t="shared" ref="K2:K3" si="2">B2-C2-D2-E2-F2-I2+J2-G2-H2</f>
        <v>0</v>
      </c>
      <c r="L2" s="115">
        <f t="shared" ref="L2:L3" si="3">B2/B42</f>
        <v>10000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185000.0</v>
      </c>
      <c r="C3" s="111">
        <v>110000.0</v>
      </c>
      <c r="D3" s="109">
        <v>75000.0</v>
      </c>
      <c r="E3" s="117"/>
      <c r="F3" s="117"/>
      <c r="G3" s="117"/>
      <c r="H3" s="112"/>
      <c r="I3" s="113">
        <f t="shared" si="1"/>
        <v>0</v>
      </c>
      <c r="J3" s="112"/>
      <c r="K3" s="114">
        <f t="shared" si="2"/>
        <v>0</v>
      </c>
      <c r="L3" s="115">
        <f t="shared" si="3"/>
        <v>8409.090909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23">
        <f>94500+K8+K9+K11+K12</f>
        <v>94500.27273</v>
      </c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1000000.0</v>
      </c>
      <c r="C5" s="111">
        <v>500000.0</v>
      </c>
      <c r="D5" s="109">
        <v>250000.0</v>
      </c>
      <c r="E5" s="109">
        <v>220000.0</v>
      </c>
      <c r="F5" s="117"/>
      <c r="G5" s="117"/>
      <c r="H5" s="112"/>
      <c r="I5" s="113">
        <f t="shared" ref="I5:I10" si="4">L5*D45</f>
        <v>0</v>
      </c>
      <c r="J5" s="112"/>
      <c r="K5" s="114">
        <f>B5-C5-D5-E5-F5-I5+J5-G5-H5</f>
        <v>30000</v>
      </c>
      <c r="L5" s="115">
        <f t="shared" ref="L5:L10" si="5">B5/B45</f>
        <v>45454.54545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71" t="s">
        <v>132</v>
      </c>
      <c r="B6" s="165">
        <v>69000.0</v>
      </c>
      <c r="C6" s="172">
        <v>69000.0</v>
      </c>
      <c r="D6" s="173"/>
      <c r="E6" s="173"/>
      <c r="F6" s="173"/>
      <c r="G6" s="173"/>
      <c r="H6" s="174"/>
      <c r="I6" s="175">
        <f t="shared" si="4"/>
        <v>0</v>
      </c>
      <c r="J6" s="174"/>
      <c r="K6" s="121">
        <f t="shared" ref="K6:K14" si="6">B6-C6-D6-E6-F6-I6+J6-G6</f>
        <v>0</v>
      </c>
      <c r="L6" s="176">
        <f t="shared" si="5"/>
        <v>3136.363636</v>
      </c>
      <c r="M6" s="177" t="s">
        <v>131</v>
      </c>
      <c r="N6" s="178"/>
      <c r="O6" s="178"/>
      <c r="P6" s="178"/>
      <c r="Q6" s="179">
        <v>300000.0</v>
      </c>
      <c r="R6" s="178"/>
      <c r="S6" s="178"/>
      <c r="T6" s="178"/>
      <c r="U6" s="178"/>
      <c r="V6" s="178"/>
      <c r="W6" s="178"/>
      <c r="X6" s="178"/>
      <c r="Y6" s="178"/>
      <c r="Z6" s="178"/>
    </row>
    <row r="7" ht="15.75" customHeight="1" outlineLevel="1">
      <c r="A7" s="180" t="s">
        <v>75</v>
      </c>
      <c r="B7" s="154">
        <v>0.0</v>
      </c>
      <c r="C7" s="181"/>
      <c r="D7" s="149"/>
      <c r="E7" s="149"/>
      <c r="F7" s="149"/>
      <c r="G7" s="155"/>
      <c r="H7" s="149"/>
      <c r="I7" s="150">
        <f t="shared" si="4"/>
        <v>0</v>
      </c>
      <c r="J7" s="149"/>
      <c r="K7" s="151">
        <f t="shared" si="6"/>
        <v>0</v>
      </c>
      <c r="L7" s="152">
        <f t="shared" si="5"/>
        <v>0</v>
      </c>
      <c r="M7" s="156" t="s">
        <v>131</v>
      </c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ht="15.75" customHeight="1" outlineLevel="1">
      <c r="A8" s="182" t="s">
        <v>100</v>
      </c>
      <c r="B8" s="165">
        <v>150000.0</v>
      </c>
      <c r="C8" s="172">
        <v>122727.0</v>
      </c>
      <c r="D8" s="183">
        <v>20000.0</v>
      </c>
      <c r="E8" s="174"/>
      <c r="F8" s="174"/>
      <c r="G8" s="173"/>
      <c r="H8" s="174"/>
      <c r="I8" s="175">
        <f t="shared" si="4"/>
        <v>27272.72727</v>
      </c>
      <c r="J8" s="183">
        <v>20000.0</v>
      </c>
      <c r="K8" s="121">
        <f t="shared" si="6"/>
        <v>0.2727272727</v>
      </c>
      <c r="L8" s="176">
        <f t="shared" si="5"/>
        <v>6818.181818</v>
      </c>
      <c r="M8" s="178"/>
      <c r="N8" s="178"/>
      <c r="O8" s="178"/>
      <c r="P8" s="178"/>
      <c r="Q8" s="179">
        <v>200000.0</v>
      </c>
      <c r="R8" s="178"/>
      <c r="S8" s="178"/>
      <c r="T8" s="178"/>
      <c r="U8" s="178"/>
      <c r="V8" s="178"/>
      <c r="W8" s="178"/>
      <c r="X8" s="178"/>
      <c r="Y8" s="178"/>
      <c r="Z8" s="178"/>
    </row>
    <row r="9" ht="16.5" customHeight="1" outlineLevel="1">
      <c r="A9" s="171" t="s">
        <v>47</v>
      </c>
      <c r="B9" s="165">
        <v>92750.0</v>
      </c>
      <c r="C9" s="172">
        <v>92750.0</v>
      </c>
      <c r="D9" s="174"/>
      <c r="E9" s="174"/>
      <c r="F9" s="174"/>
      <c r="G9" s="174"/>
      <c r="H9" s="174"/>
      <c r="I9" s="175">
        <f t="shared" si="4"/>
        <v>0</v>
      </c>
      <c r="J9" s="174"/>
      <c r="K9" s="121">
        <f t="shared" si="6"/>
        <v>0</v>
      </c>
      <c r="L9" s="176">
        <f t="shared" si="5"/>
        <v>4215.909091</v>
      </c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 ht="20.25" customHeight="1" outlineLevel="1">
      <c r="A10" s="182" t="s">
        <v>133</v>
      </c>
      <c r="B10" s="165">
        <v>350000.0</v>
      </c>
      <c r="C10" s="172">
        <v>350000.0</v>
      </c>
      <c r="D10" s="174"/>
      <c r="E10" s="174"/>
      <c r="F10" s="174"/>
      <c r="G10" s="173"/>
      <c r="H10" s="174"/>
      <c r="I10" s="175">
        <f t="shared" si="4"/>
        <v>0</v>
      </c>
      <c r="J10" s="174"/>
      <c r="K10" s="121">
        <f t="shared" si="6"/>
        <v>0</v>
      </c>
      <c r="L10" s="176">
        <f t="shared" si="5"/>
        <v>15909.09091</v>
      </c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 ht="15.75" customHeight="1" outlineLevel="1">
      <c r="A11" s="183" t="s">
        <v>176</v>
      </c>
      <c r="B11" s="165">
        <v>148000.0</v>
      </c>
      <c r="C11" s="172">
        <v>148000.0</v>
      </c>
      <c r="D11" s="183">
        <v>86000.0</v>
      </c>
      <c r="E11" s="174"/>
      <c r="F11" s="174"/>
      <c r="G11" s="173"/>
      <c r="H11" s="174"/>
      <c r="I11" s="175">
        <f>L11*D52</f>
        <v>0</v>
      </c>
      <c r="J11" s="183">
        <v>86000.0</v>
      </c>
      <c r="K11" s="121">
        <f t="shared" si="6"/>
        <v>0</v>
      </c>
      <c r="L11" s="176">
        <f>B11/B52</f>
        <v>6727.272727</v>
      </c>
      <c r="M11" s="177" t="s">
        <v>140</v>
      </c>
      <c r="N11" s="177" t="s">
        <v>142</v>
      </c>
      <c r="O11" s="177" t="s">
        <v>143</v>
      </c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 ht="15.75" customHeight="1" outlineLevel="1">
      <c r="A12" s="183" t="s">
        <v>145</v>
      </c>
      <c r="B12" s="165">
        <v>192000.0</v>
      </c>
      <c r="C12" s="172">
        <v>192000.0</v>
      </c>
      <c r="D12" s="174"/>
      <c r="E12" s="174"/>
      <c r="F12" s="174"/>
      <c r="G12" s="173"/>
      <c r="H12" s="174"/>
      <c r="I12" s="175">
        <f>L12*D54</f>
        <v>0</v>
      </c>
      <c r="J12" s="174"/>
      <c r="K12" s="121">
        <f t="shared" si="6"/>
        <v>0</v>
      </c>
      <c r="L12" s="176">
        <f>B12/B54</f>
        <v>8727.272727</v>
      </c>
      <c r="M12" s="177" t="s">
        <v>140</v>
      </c>
      <c r="N12" s="177" t="s">
        <v>142</v>
      </c>
      <c r="O12" s="177" t="s">
        <v>143</v>
      </c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 ht="15.75" customHeight="1" outlineLevel="1">
      <c r="A13" s="183" t="s">
        <v>163</v>
      </c>
      <c r="B13" s="165">
        <v>405000.0</v>
      </c>
      <c r="C13" s="172">
        <v>62000.0</v>
      </c>
      <c r="D13" s="183">
        <v>250955.0</v>
      </c>
      <c r="E13" s="174"/>
      <c r="F13" s="174"/>
      <c r="G13" s="173"/>
      <c r="H13" s="183">
        <v>70000.0</v>
      </c>
      <c r="I13" s="175">
        <f>L13*D56</f>
        <v>92045.45455</v>
      </c>
      <c r="J13" s="174"/>
      <c r="K13" s="121">
        <f t="shared" si="6"/>
        <v>-0.4545454545</v>
      </c>
      <c r="L13" s="176">
        <f>B13/B56</f>
        <v>18409.09091</v>
      </c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</row>
    <row r="14" ht="15.75" customHeight="1" outlineLevel="1">
      <c r="A14" s="184" t="s">
        <v>185</v>
      </c>
      <c r="B14" s="185">
        <v>185000.0</v>
      </c>
      <c r="C14" s="186">
        <v>40000.0</v>
      </c>
      <c r="D14" s="184">
        <v>100000.0</v>
      </c>
      <c r="E14" s="184">
        <v>11500.0</v>
      </c>
      <c r="F14" s="184">
        <v>33500.0</v>
      </c>
      <c r="G14" s="187"/>
      <c r="H14" s="188"/>
      <c r="I14" s="189"/>
      <c r="J14" s="184"/>
      <c r="K14" s="121">
        <f t="shared" si="6"/>
        <v>0</v>
      </c>
      <c r="L14" s="190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</row>
    <row r="15" ht="16.5" customHeight="1">
      <c r="A15" s="143" t="s">
        <v>180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5"/>
      <c r="L15" s="146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>
      <c r="A16" s="124" t="s">
        <v>115</v>
      </c>
      <c r="B16" s="122">
        <v>200000.0</v>
      </c>
      <c r="C16" s="111">
        <v>40000.0</v>
      </c>
      <c r="D16" s="109">
        <v>100000.0</v>
      </c>
      <c r="E16" s="109">
        <v>100000.0</v>
      </c>
      <c r="F16" s="109">
        <v>7866.0</v>
      </c>
      <c r="G16" s="117"/>
      <c r="H16" s="112"/>
      <c r="I16" s="113">
        <f t="shared" ref="I16:I19" si="7">L16*D59</f>
        <v>30769.23077</v>
      </c>
      <c r="J16" s="126">
        <f>IFERROR(__xludf.DUMMYFUNCTION("IMPORTRANGE(""https://docs.google.com/spreadsheets/d/1JJd44_6b1hsmD6e8liei_zzkkh-GYab6gE4K23IJPVI/edit?gid=0#gid=0&amp;range=J95"",""'Лист1'!K286"")"),78634.8)</f>
        <v>78634.8</v>
      </c>
      <c r="K16" s="114">
        <f t="shared" ref="K16:K19" si="8">B16-C16-D16-E16-F16-I16+J16-G16-H16</f>
        <v>-0.4307692308</v>
      </c>
      <c r="L16" s="115">
        <f t="shared" ref="L16:L19" si="9">B16/B59</f>
        <v>7692.307692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>
      <c r="A17" s="182" t="s">
        <v>91</v>
      </c>
      <c r="B17" s="165">
        <v>250000.0</v>
      </c>
      <c r="C17" s="172">
        <v>70000.0</v>
      </c>
      <c r="D17" s="183">
        <v>80550.0</v>
      </c>
      <c r="E17" s="183">
        <v>159730.0</v>
      </c>
      <c r="F17" s="174"/>
      <c r="G17" s="173"/>
      <c r="H17" s="174"/>
      <c r="I17" s="175">
        <f t="shared" si="7"/>
        <v>0</v>
      </c>
      <c r="J17" s="165">
        <f>37500+22780</f>
        <v>60280</v>
      </c>
      <c r="K17" s="121">
        <f t="shared" si="8"/>
        <v>0</v>
      </c>
      <c r="L17" s="176">
        <f t="shared" si="9"/>
        <v>9615.384615</v>
      </c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</row>
    <row r="18" ht="15.75" customHeight="1">
      <c r="A18" s="147" t="s">
        <v>146</v>
      </c>
      <c r="B18" s="154">
        <v>0.0</v>
      </c>
      <c r="C18" s="181"/>
      <c r="D18" s="149"/>
      <c r="E18" s="149"/>
      <c r="F18" s="149"/>
      <c r="G18" s="155"/>
      <c r="H18" s="147"/>
      <c r="I18" s="150">
        <f t="shared" si="7"/>
        <v>0</v>
      </c>
      <c r="J18" s="154">
        <v>0.0</v>
      </c>
      <c r="K18" s="151">
        <f t="shared" si="8"/>
        <v>0</v>
      </c>
      <c r="L18" s="152">
        <f t="shared" si="9"/>
        <v>0</v>
      </c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ht="15.75" customHeight="1">
      <c r="A19" s="183" t="s">
        <v>181</v>
      </c>
      <c r="B19" s="172">
        <v>250000.0</v>
      </c>
      <c r="C19" s="172">
        <v>100000.0</v>
      </c>
      <c r="D19" s="183">
        <v>90000.0</v>
      </c>
      <c r="E19" s="183">
        <v>50385.0</v>
      </c>
      <c r="F19" s="174"/>
      <c r="G19" s="174"/>
      <c r="H19" s="183"/>
      <c r="I19" s="175">
        <f t="shared" si="7"/>
        <v>9615.384615</v>
      </c>
      <c r="J19" s="165">
        <v>0.0</v>
      </c>
      <c r="K19" s="121">
        <f t="shared" si="8"/>
        <v>-0.3846153846</v>
      </c>
      <c r="L19" s="176">
        <f t="shared" si="9"/>
        <v>9615.384615</v>
      </c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</row>
    <row r="20" ht="15.75" customHeight="1">
      <c r="A20" s="109"/>
      <c r="B20" s="111">
        <v>0.0</v>
      </c>
      <c r="C20" s="119"/>
      <c r="D20" s="112"/>
      <c r="E20" s="112"/>
      <c r="F20" s="112"/>
      <c r="G20" s="112"/>
      <c r="H20" s="112"/>
      <c r="I20" s="113"/>
      <c r="J20" s="126">
        <f>IFERROR(__xludf.DUMMYFUNCTION("IMPORTRANGE(""https://docs.google.com/spreadsheets/d/1JJd44_6b1hsmD6e8liei_zzkkh-GYab6gE4K23IJPVI/edit?gid=0#gid=0&amp;range=J95"",""'Лист1'!AT276"")"),86280.1875)</f>
        <v>86280.1875</v>
      </c>
      <c r="K20" s="110">
        <v>0.0</v>
      </c>
      <c r="L20" s="115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83" t="s">
        <v>186</v>
      </c>
      <c r="B21" s="172">
        <v>100000.0</v>
      </c>
      <c r="C21" s="172">
        <v>20000.0</v>
      </c>
      <c r="D21" s="183">
        <v>87800.0</v>
      </c>
      <c r="E21" s="174"/>
      <c r="F21" s="174"/>
      <c r="G21" s="183"/>
      <c r="H21" s="174"/>
      <c r="I21" s="175">
        <f>L21*D64</f>
        <v>0</v>
      </c>
      <c r="J21" s="165">
        <v>0.0</v>
      </c>
      <c r="K21" s="165">
        <v>0.0</v>
      </c>
      <c r="L21" s="176">
        <f>B21/B64</f>
        <v>3846.153846</v>
      </c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</row>
    <row r="22" ht="15.75" customHeight="1">
      <c r="A22" s="143" t="s">
        <v>182</v>
      </c>
      <c r="B22" s="144"/>
      <c r="C22" s="144"/>
      <c r="D22" s="144"/>
      <c r="E22" s="144"/>
      <c r="F22" s="144"/>
      <c r="G22" s="144"/>
      <c r="H22" s="144"/>
      <c r="I22" s="144"/>
      <c r="J22" s="144"/>
      <c r="K22" s="145"/>
      <c r="L22" s="146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18" t="s">
        <v>18</v>
      </c>
      <c r="B23" s="110">
        <v>150000.0</v>
      </c>
      <c r="C23" s="111">
        <v>100000.0</v>
      </c>
      <c r="D23" s="109">
        <v>50000.0</v>
      </c>
      <c r="E23" s="112"/>
      <c r="F23" s="112"/>
      <c r="G23" s="117"/>
      <c r="H23" s="112"/>
      <c r="I23" s="113">
        <f t="shared" ref="I23:I27" si="10">L23*D66</f>
        <v>0</v>
      </c>
      <c r="J23" s="114"/>
      <c r="K23" s="114">
        <f t="shared" ref="K23:K26" si="11">B23-C23-D23-E23-F23-I23+J23-G23-H23</f>
        <v>0</v>
      </c>
      <c r="L23" s="115">
        <f t="shared" ref="L23:L27" si="12">B23/B66</f>
        <v>5769.230769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83" t="s">
        <v>187</v>
      </c>
      <c r="B24" s="191">
        <v>200000.0</v>
      </c>
      <c r="C24" s="172">
        <v>200000.0</v>
      </c>
      <c r="D24" s="174"/>
      <c r="E24" s="174"/>
      <c r="F24" s="174"/>
      <c r="G24" s="173"/>
      <c r="H24" s="174"/>
      <c r="I24" s="175">
        <f t="shared" si="10"/>
        <v>0</v>
      </c>
      <c r="J24" s="192"/>
      <c r="K24" s="121">
        <f t="shared" si="11"/>
        <v>0</v>
      </c>
      <c r="L24" s="176">
        <f t="shared" si="12"/>
        <v>9090.909091</v>
      </c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</row>
    <row r="25" ht="15.75" customHeight="1" outlineLevel="1">
      <c r="A25" s="124" t="s">
        <v>39</v>
      </c>
      <c r="B25" s="122">
        <v>250000.0</v>
      </c>
      <c r="C25" s="111">
        <v>100000.0</v>
      </c>
      <c r="D25" s="109">
        <v>150000.0</v>
      </c>
      <c r="E25" s="112"/>
      <c r="F25" s="112"/>
      <c r="G25" s="117"/>
      <c r="H25" s="112"/>
      <c r="I25" s="113">
        <f t="shared" si="10"/>
        <v>0</v>
      </c>
      <c r="J25" s="112"/>
      <c r="K25" s="114">
        <f t="shared" si="11"/>
        <v>0</v>
      </c>
      <c r="L25" s="115">
        <f t="shared" si="12"/>
        <v>11363.63636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 outlineLevel="1">
      <c r="A26" s="182" t="s">
        <v>67</v>
      </c>
      <c r="B26" s="165">
        <v>200000.0</v>
      </c>
      <c r="C26" s="172">
        <v>200000.0</v>
      </c>
      <c r="D26" s="174"/>
      <c r="E26" s="174"/>
      <c r="F26" s="174"/>
      <c r="G26" s="174"/>
      <c r="H26" s="174"/>
      <c r="I26" s="175">
        <f t="shared" si="10"/>
        <v>0</v>
      </c>
      <c r="J26" s="174"/>
      <c r="K26" s="121">
        <f t="shared" si="11"/>
        <v>0</v>
      </c>
      <c r="L26" s="176">
        <f t="shared" si="12"/>
        <v>9090.909091</v>
      </c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</row>
    <row r="27" ht="18.0" customHeight="1" outlineLevel="1">
      <c r="A27" s="118" t="s">
        <v>41</v>
      </c>
      <c r="B27" s="110"/>
      <c r="C27" s="123"/>
      <c r="D27" s="112"/>
      <c r="E27" s="112"/>
      <c r="F27" s="112"/>
      <c r="G27" s="112"/>
      <c r="H27" s="112"/>
      <c r="I27" s="113">
        <f t="shared" si="10"/>
        <v>0</v>
      </c>
      <c r="J27" s="112"/>
      <c r="K27" s="110">
        <v>0.0</v>
      </c>
      <c r="L27" s="115">
        <f t="shared" si="12"/>
        <v>0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8.0" customHeight="1" outlineLevel="1">
      <c r="A28" s="143" t="s">
        <v>183</v>
      </c>
      <c r="B28" s="144"/>
      <c r="C28" s="144"/>
      <c r="D28" s="144"/>
      <c r="E28" s="144"/>
      <c r="F28" s="144"/>
      <c r="G28" s="144"/>
      <c r="H28" s="144"/>
      <c r="I28" s="144"/>
      <c r="J28" s="144"/>
      <c r="K28" s="145"/>
      <c r="L28" s="146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83" t="s">
        <v>164</v>
      </c>
      <c r="B29" s="191">
        <v>250000.0</v>
      </c>
      <c r="C29" s="172">
        <v>67310.0</v>
      </c>
      <c r="D29" s="183">
        <v>10000.0</v>
      </c>
      <c r="E29" s="183">
        <v>172690.0</v>
      </c>
      <c r="F29" s="174"/>
      <c r="G29" s="174"/>
      <c r="H29" s="174"/>
      <c r="I29" s="175">
        <f t="shared" ref="I29:I32" si="13">L29*D72</f>
        <v>0</v>
      </c>
      <c r="J29" s="174"/>
      <c r="K29" s="121">
        <f t="shared" ref="K29:K31" si="14">B29-C29-D29-E29-F29-I29+J29-G29-H29</f>
        <v>0</v>
      </c>
      <c r="L29" s="176">
        <f t="shared" ref="L29:L32" si="15">B29/B72</f>
        <v>9615.384615</v>
      </c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</row>
    <row r="30" ht="15.75" customHeight="1">
      <c r="A30" s="124" t="s">
        <v>71</v>
      </c>
      <c r="B30" s="110">
        <v>150000.0</v>
      </c>
      <c r="C30" s="119"/>
      <c r="D30" s="117"/>
      <c r="E30" s="112"/>
      <c r="F30" s="112"/>
      <c r="G30" s="117"/>
      <c r="H30" s="112"/>
      <c r="I30" s="113">
        <f t="shared" si="13"/>
        <v>0</v>
      </c>
      <c r="J30" s="112"/>
      <c r="K30" s="114">
        <f t="shared" si="14"/>
        <v>150000</v>
      </c>
      <c r="L30" s="115">
        <f t="shared" si="15"/>
        <v>5769.230769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outlineLevel="1">
      <c r="A31" s="118" t="s">
        <v>70</v>
      </c>
      <c r="B31" s="110">
        <v>0.0</v>
      </c>
      <c r="C31" s="111"/>
      <c r="D31" s="112"/>
      <c r="E31" s="112"/>
      <c r="F31" s="117"/>
      <c r="G31" s="112"/>
      <c r="H31" s="112"/>
      <c r="I31" s="113">
        <f t="shared" si="13"/>
        <v>0</v>
      </c>
      <c r="J31" s="112"/>
      <c r="K31" s="114">
        <f t="shared" si="14"/>
        <v>0</v>
      </c>
      <c r="L31" s="115">
        <f t="shared" si="15"/>
        <v>0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 outlineLevel="1">
      <c r="A32" s="171" t="s">
        <v>15</v>
      </c>
      <c r="B32" s="191">
        <v>120000.0</v>
      </c>
      <c r="C32" s="172">
        <v>106154.0</v>
      </c>
      <c r="D32" s="174"/>
      <c r="E32" s="174"/>
      <c r="F32" s="174"/>
      <c r="G32" s="174"/>
      <c r="H32" s="174"/>
      <c r="I32" s="175">
        <f t="shared" si="13"/>
        <v>15000</v>
      </c>
      <c r="J32" s="174"/>
      <c r="K32" s="165">
        <v>0.0</v>
      </c>
      <c r="L32" s="176">
        <f t="shared" si="15"/>
        <v>5000</v>
      </c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</row>
    <row r="33" ht="15.75" customHeight="1">
      <c r="A33" s="182" t="s">
        <v>188</v>
      </c>
      <c r="B33" s="191">
        <v>10909.0</v>
      </c>
      <c r="C33" s="191">
        <v>10909.0</v>
      </c>
      <c r="D33" s="193"/>
      <c r="E33" s="174"/>
      <c r="F33" s="174"/>
      <c r="G33" s="174"/>
      <c r="H33" s="174"/>
      <c r="I33" s="174"/>
      <c r="J33" s="174"/>
      <c r="K33" s="121">
        <f>B33-C33-D33-E33-F33-I33+J33-G33-H33</f>
        <v>0</v>
      </c>
      <c r="L33" s="174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</row>
    <row r="34" ht="15.75" customHeight="1">
      <c r="A34" s="118"/>
      <c r="B34" s="119"/>
      <c r="C34" s="119"/>
      <c r="D34" s="112"/>
      <c r="E34" s="112"/>
      <c r="F34" s="112"/>
      <c r="G34" s="112"/>
      <c r="H34" s="112"/>
      <c r="I34" s="112"/>
      <c r="J34" s="112"/>
      <c r="K34" s="126"/>
      <c r="L34" s="112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18" t="s">
        <v>26</v>
      </c>
      <c r="B35" s="119">
        <f>SUM(B2:B32)</f>
        <v>5116750</v>
      </c>
      <c r="C35" s="119"/>
      <c r="D35" s="112"/>
      <c r="E35" s="112"/>
      <c r="F35" s="112"/>
      <c r="G35" s="112"/>
      <c r="H35" s="112"/>
      <c r="I35" s="112"/>
      <c r="J35" s="112"/>
      <c r="K35" s="126">
        <f>SUM(K2:K33)</f>
        <v>179999.0028</v>
      </c>
      <c r="L35" s="112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3"/>
      <c r="L36" s="12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9" t="s">
        <v>110</v>
      </c>
      <c r="E38" s="128"/>
      <c r="F38" s="128"/>
      <c r="G38" s="128"/>
      <c r="H38" s="128"/>
      <c r="I38" s="128"/>
      <c r="J38" s="128"/>
      <c r="K38" s="12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30"/>
      <c r="E39" s="128"/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28"/>
      <c r="E40" s="128"/>
      <c r="F40" s="130"/>
      <c r="G40" s="128"/>
      <c r="H40" s="128"/>
      <c r="I40" s="128" t="str">
        <f>C3+#REF!+C10+C11+#REF!+C12+#REF!+C16+C21+C23+C25+C31</f>
        <v>#REF!</v>
      </c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18" t="s">
        <v>79</v>
      </c>
      <c r="B41" s="166" t="s">
        <v>28</v>
      </c>
      <c r="C41" s="167" t="s">
        <v>29</v>
      </c>
      <c r="D41" s="168" t="s">
        <v>80</v>
      </c>
      <c r="E41" s="118" t="s">
        <v>81</v>
      </c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09" t="s">
        <v>127</v>
      </c>
      <c r="B42" s="120">
        <v>22.0</v>
      </c>
      <c r="C42" s="115">
        <f t="shared" ref="C42:C43" si="16">B42-D42</f>
        <v>22</v>
      </c>
      <c r="D42" s="115">
        <v>0.0</v>
      </c>
      <c r="E42" s="135">
        <v>45327.0</v>
      </c>
      <c r="F42" s="128"/>
      <c r="G42" s="128"/>
      <c r="H42" s="128"/>
      <c r="I42" s="128"/>
      <c r="J42" s="128"/>
      <c r="K42" s="12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09" t="s">
        <v>128</v>
      </c>
      <c r="B43" s="120">
        <v>22.0</v>
      </c>
      <c r="C43" s="115">
        <f t="shared" si="16"/>
        <v>22</v>
      </c>
      <c r="D43" s="115">
        <v>0.0</v>
      </c>
      <c r="E43" s="135">
        <v>45327.0</v>
      </c>
      <c r="F43" s="128"/>
      <c r="G43" s="128"/>
      <c r="H43" s="128"/>
      <c r="I43" s="128"/>
      <c r="J43" s="128"/>
      <c r="K43" s="12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43" t="s">
        <v>174</v>
      </c>
      <c r="B44" s="144"/>
      <c r="C44" s="144"/>
      <c r="D44" s="144"/>
      <c r="E44" s="169"/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129</v>
      </c>
      <c r="B45" s="120">
        <v>22.0</v>
      </c>
      <c r="C45" s="115">
        <f t="shared" ref="C45:C56" si="17">B45-D45</f>
        <v>22</v>
      </c>
      <c r="D45" s="115">
        <v>0.0</v>
      </c>
      <c r="E45" s="135">
        <v>45327.0</v>
      </c>
      <c r="F45" s="128"/>
      <c r="G45" s="128"/>
      <c r="H45" s="128"/>
      <c r="I45" s="128"/>
      <c r="J45" s="128"/>
      <c r="K45" s="12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18" t="s">
        <v>132</v>
      </c>
      <c r="B46" s="120">
        <v>22.0</v>
      </c>
      <c r="C46" s="115">
        <f t="shared" si="17"/>
        <v>22</v>
      </c>
      <c r="D46" s="115">
        <v>0.0</v>
      </c>
      <c r="E46" s="135">
        <v>45327.0</v>
      </c>
      <c r="F46" s="128"/>
      <c r="G46" s="128"/>
      <c r="H46" s="128"/>
      <c r="I46" s="128"/>
      <c r="J46" s="128"/>
      <c r="K46" s="12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18" t="s">
        <v>75</v>
      </c>
      <c r="B47" s="120">
        <v>22.0</v>
      </c>
      <c r="C47" s="115">
        <f t="shared" si="17"/>
        <v>22</v>
      </c>
      <c r="D47" s="115">
        <v>0.0</v>
      </c>
      <c r="E47" s="135">
        <v>45327.0</v>
      </c>
      <c r="F47" s="128"/>
      <c r="G47" s="128"/>
      <c r="H47" s="128"/>
      <c r="I47" s="128"/>
      <c r="J47" s="128"/>
      <c r="K47" s="12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24" t="s">
        <v>100</v>
      </c>
      <c r="B48" s="120">
        <v>22.0</v>
      </c>
      <c r="C48" s="115">
        <f t="shared" si="17"/>
        <v>18</v>
      </c>
      <c r="D48" s="120">
        <v>4.0</v>
      </c>
      <c r="E48" s="135">
        <v>45297.0</v>
      </c>
      <c r="F48" s="125"/>
      <c r="G48" s="128"/>
      <c r="H48" s="128"/>
      <c r="I48" s="128"/>
      <c r="J48" s="128"/>
      <c r="K48" s="12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18" t="s">
        <v>47</v>
      </c>
      <c r="B49" s="120">
        <v>22.0</v>
      </c>
      <c r="C49" s="115">
        <f t="shared" si="17"/>
        <v>22</v>
      </c>
      <c r="D49" s="120">
        <v>0.0</v>
      </c>
      <c r="E49" s="135">
        <v>45327.0</v>
      </c>
      <c r="F49" s="138"/>
      <c r="G49" s="128"/>
      <c r="H49" s="128"/>
      <c r="I49" s="128"/>
      <c r="J49" s="128"/>
      <c r="K49" s="12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24" t="s">
        <v>133</v>
      </c>
      <c r="B50" s="120">
        <v>22.0</v>
      </c>
      <c r="C50" s="115">
        <f t="shared" si="17"/>
        <v>22</v>
      </c>
      <c r="D50" s="136">
        <v>0.0</v>
      </c>
      <c r="E50" s="135">
        <v>45327.0</v>
      </c>
      <c r="F50" s="138"/>
      <c r="G50" s="128"/>
      <c r="H50" s="130"/>
      <c r="I50" s="128"/>
      <c r="J50" s="125"/>
      <c r="K50" s="12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175</v>
      </c>
      <c r="B51" s="120">
        <v>10.0</v>
      </c>
      <c r="C51" s="115">
        <f t="shared" si="17"/>
        <v>10</v>
      </c>
      <c r="D51" s="120">
        <v>0.0</v>
      </c>
      <c r="E51" s="135">
        <v>45327.0</v>
      </c>
      <c r="F51" s="130"/>
      <c r="G51" s="128"/>
      <c r="H51" s="128"/>
      <c r="I51" s="128"/>
      <c r="J51" s="128"/>
      <c r="K51" s="12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176</v>
      </c>
      <c r="B52" s="120">
        <v>22.0</v>
      </c>
      <c r="C52" s="115">
        <f t="shared" si="17"/>
        <v>22</v>
      </c>
      <c r="D52" s="136">
        <v>0.0</v>
      </c>
      <c r="E52" s="135">
        <v>45297.0</v>
      </c>
      <c r="F52" s="13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09" t="s">
        <v>177</v>
      </c>
      <c r="B53" s="120">
        <v>10.0</v>
      </c>
      <c r="C53" s="115">
        <f t="shared" si="17"/>
        <v>10</v>
      </c>
      <c r="D53" s="120">
        <v>0.0</v>
      </c>
      <c r="E53" s="135">
        <v>45327.0</v>
      </c>
      <c r="F53" s="138"/>
      <c r="G53" s="116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145</v>
      </c>
      <c r="B54" s="120">
        <v>22.0</v>
      </c>
      <c r="C54" s="115">
        <f t="shared" si="17"/>
        <v>22</v>
      </c>
      <c r="D54" s="120">
        <v>0.0</v>
      </c>
      <c r="E54" s="135">
        <v>45327.0</v>
      </c>
      <c r="F54" s="138"/>
      <c r="G54" s="116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162</v>
      </c>
      <c r="B55" s="120">
        <v>22.0</v>
      </c>
      <c r="C55" s="115">
        <f t="shared" si="17"/>
        <v>22</v>
      </c>
      <c r="D55" s="120">
        <v>0.0</v>
      </c>
      <c r="E55" s="135">
        <v>45327.0</v>
      </c>
      <c r="F55" s="138"/>
      <c r="G55" s="116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163</v>
      </c>
      <c r="B56" s="120">
        <v>22.0</v>
      </c>
      <c r="C56" s="115">
        <f t="shared" si="17"/>
        <v>17</v>
      </c>
      <c r="D56" s="120">
        <v>5.0</v>
      </c>
      <c r="E56" s="135">
        <v>45327.0</v>
      </c>
      <c r="F56" s="125"/>
      <c r="G56" s="116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57" t="s">
        <v>185</v>
      </c>
      <c r="B57" s="120"/>
      <c r="C57" s="115"/>
      <c r="D57" s="120"/>
      <c r="E57" s="135"/>
      <c r="F57" s="125"/>
      <c r="G57" s="116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43" t="s">
        <v>180</v>
      </c>
      <c r="B58" s="144"/>
      <c r="C58" s="144"/>
      <c r="D58" s="144"/>
      <c r="E58" s="169"/>
      <c r="F58" s="130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24" t="s">
        <v>115</v>
      </c>
      <c r="B59" s="120">
        <v>26.0</v>
      </c>
      <c r="C59" s="115">
        <f t="shared" ref="C59:C62" si="18">B59-D59</f>
        <v>22</v>
      </c>
      <c r="D59" s="120">
        <v>4.0</v>
      </c>
      <c r="E59" s="135">
        <v>45297.0</v>
      </c>
      <c r="F59" s="130"/>
      <c r="G59" s="128"/>
      <c r="H59" s="128"/>
      <c r="I59" s="128"/>
      <c r="J59" s="128"/>
      <c r="K59" s="12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91</v>
      </c>
      <c r="B60" s="120">
        <v>26.0</v>
      </c>
      <c r="C60" s="115">
        <f t="shared" si="18"/>
        <v>26</v>
      </c>
      <c r="D60" s="136">
        <v>0.0</v>
      </c>
      <c r="E60" s="135">
        <v>45297.0</v>
      </c>
      <c r="F60" s="130"/>
      <c r="G60" s="128"/>
      <c r="H60" s="12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09" t="s">
        <v>146</v>
      </c>
      <c r="B61" s="120">
        <v>26.0</v>
      </c>
      <c r="C61" s="115">
        <f t="shared" si="18"/>
        <v>26</v>
      </c>
      <c r="D61" s="120">
        <v>0.0</v>
      </c>
      <c r="E61" s="135">
        <v>45297.0</v>
      </c>
      <c r="F61" s="130"/>
      <c r="G61" s="128"/>
      <c r="H61" s="12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166</v>
      </c>
      <c r="B62" s="120">
        <v>26.0</v>
      </c>
      <c r="C62" s="115">
        <f t="shared" si="18"/>
        <v>25</v>
      </c>
      <c r="D62" s="120">
        <v>1.0</v>
      </c>
      <c r="E62" s="135">
        <v>45297.0</v>
      </c>
      <c r="F62" s="130"/>
      <c r="G62" s="128"/>
      <c r="H62" s="12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/>
      <c r="B63" s="120"/>
      <c r="C63" s="115"/>
      <c r="D63" s="136"/>
      <c r="E63" s="135"/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186</v>
      </c>
      <c r="B64" s="120">
        <v>26.0</v>
      </c>
      <c r="C64" s="115">
        <f>B64-D64</f>
        <v>26</v>
      </c>
      <c r="D64" s="136">
        <v>0.0</v>
      </c>
      <c r="E64" s="135">
        <v>45297.0</v>
      </c>
      <c r="F64" s="130"/>
      <c r="G64" s="128"/>
      <c r="H64" s="128"/>
      <c r="I64" s="128"/>
      <c r="J64" s="128"/>
      <c r="K64" s="12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43" t="s">
        <v>182</v>
      </c>
      <c r="B65" s="144"/>
      <c r="C65" s="144"/>
      <c r="D65" s="144"/>
      <c r="E65" s="169"/>
      <c r="F65" s="130"/>
      <c r="G65" s="128"/>
      <c r="H65" s="12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18" t="s">
        <v>18</v>
      </c>
      <c r="B66" s="120">
        <v>26.0</v>
      </c>
      <c r="C66" s="115">
        <f t="shared" ref="C66:C70" si="19">B66-D66</f>
        <v>26</v>
      </c>
      <c r="D66" s="136">
        <v>0.0</v>
      </c>
      <c r="E66" s="135">
        <v>45297.0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118</v>
      </c>
      <c r="B67" s="120">
        <v>22.0</v>
      </c>
      <c r="C67" s="115">
        <f t="shared" si="19"/>
        <v>22</v>
      </c>
      <c r="D67" s="120">
        <v>0.0</v>
      </c>
      <c r="E67" s="135">
        <v>45297.0</v>
      </c>
      <c r="F67" s="125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24" t="s">
        <v>39</v>
      </c>
      <c r="B68" s="120">
        <v>22.0</v>
      </c>
      <c r="C68" s="115">
        <f t="shared" si="19"/>
        <v>22</v>
      </c>
      <c r="D68" s="136">
        <v>0.0</v>
      </c>
      <c r="E68" s="135">
        <v>45327.0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24" t="s">
        <v>67</v>
      </c>
      <c r="B69" s="120">
        <v>22.0</v>
      </c>
      <c r="C69" s="115">
        <f t="shared" si="19"/>
        <v>22</v>
      </c>
      <c r="D69" s="136">
        <v>0.0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18" t="s">
        <v>41</v>
      </c>
      <c r="B70" s="120">
        <v>22.0</v>
      </c>
      <c r="C70" s="115">
        <f t="shared" si="19"/>
        <v>22</v>
      </c>
      <c r="D70" s="136">
        <v>0.0</v>
      </c>
      <c r="E70" s="135">
        <v>45327.0</v>
      </c>
      <c r="F70" s="130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70" t="s">
        <v>183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09" t="s">
        <v>164</v>
      </c>
      <c r="B72" s="120">
        <v>26.0</v>
      </c>
      <c r="C72" s="115">
        <f t="shared" ref="C72:C75" si="20">B72-D72</f>
        <v>26</v>
      </c>
      <c r="D72" s="120">
        <v>0.0</v>
      </c>
      <c r="E72" s="135">
        <v>45297.0</v>
      </c>
      <c r="F72" s="125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24" t="s">
        <v>71</v>
      </c>
      <c r="B73" s="120">
        <v>26.0</v>
      </c>
      <c r="C73" s="115">
        <f t="shared" si="20"/>
        <v>26</v>
      </c>
      <c r="D73" s="120">
        <v>0.0</v>
      </c>
      <c r="E73" s="135">
        <v>45327.0</v>
      </c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18" t="s">
        <v>70</v>
      </c>
      <c r="B74" s="120">
        <v>26.0</v>
      </c>
      <c r="C74" s="115">
        <f t="shared" si="20"/>
        <v>26</v>
      </c>
      <c r="D74" s="120">
        <v>0.0</v>
      </c>
      <c r="E74" s="135">
        <v>45327.0</v>
      </c>
      <c r="F74" s="130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18" t="s">
        <v>15</v>
      </c>
      <c r="B75" s="120">
        <v>24.0</v>
      </c>
      <c r="C75" s="115">
        <f t="shared" si="20"/>
        <v>21</v>
      </c>
      <c r="D75" s="120">
        <v>3.0</v>
      </c>
      <c r="E75" s="135">
        <v>45327.0</v>
      </c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39"/>
      <c r="B1004" s="139"/>
      <c r="C1004" s="139"/>
      <c r="D1004" s="139"/>
      <c r="E1004" s="139"/>
      <c r="F1004" s="139"/>
      <c r="G1004" s="139"/>
      <c r="H1004" s="139"/>
      <c r="I1004" s="139"/>
      <c r="J1004" s="139"/>
      <c r="K1004" s="139"/>
      <c r="L1004" s="139"/>
      <c r="M1004" s="139"/>
      <c r="N1004" s="139"/>
      <c r="O1004" s="139"/>
      <c r="P1004" s="139"/>
      <c r="Q1004" s="139"/>
      <c r="R1004" s="139"/>
      <c r="S1004" s="139"/>
      <c r="T1004" s="139"/>
      <c r="U1004" s="139"/>
      <c r="V1004" s="139"/>
      <c r="W1004" s="139"/>
      <c r="X1004" s="139"/>
      <c r="Y1004" s="139"/>
      <c r="Z1004" s="139"/>
    </row>
    <row r="1005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</sheetData>
  <mergeCells count="8">
    <mergeCell ref="A4:J4"/>
    <mergeCell ref="A15:J15"/>
    <mergeCell ref="A22:J22"/>
    <mergeCell ref="A28:J28"/>
    <mergeCell ref="A44:E44"/>
    <mergeCell ref="A58:E58"/>
    <mergeCell ref="A65:E65"/>
    <mergeCell ref="A71:E7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0.0</v>
      </c>
      <c r="C2" s="111"/>
      <c r="D2" s="117"/>
      <c r="E2" s="117"/>
      <c r="F2" s="117"/>
      <c r="G2" s="117"/>
      <c r="H2" s="112"/>
      <c r="I2" s="113">
        <f t="shared" ref="I2:I3" si="1">L2*D40</f>
        <v>0</v>
      </c>
      <c r="J2" s="112"/>
      <c r="K2" s="114">
        <f>B2-C2-D2-E2-F2-I2+J2-G2-H2</f>
        <v>0</v>
      </c>
      <c r="L2" s="115">
        <f t="shared" ref="L2:L3" si="2">B2/B40</f>
        <v>0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0.0</v>
      </c>
      <c r="C3" s="111"/>
      <c r="D3" s="117"/>
      <c r="E3" s="117"/>
      <c r="F3" s="117"/>
      <c r="G3" s="117"/>
      <c r="H3" s="112"/>
      <c r="I3" s="113">
        <f t="shared" si="1"/>
        <v>0</v>
      </c>
      <c r="J3" s="112"/>
      <c r="K3" s="114">
        <f>B3-C3-D3-E3-F3-I3+J3-G3</f>
        <v>0</v>
      </c>
      <c r="L3" s="115">
        <f t="shared" si="2"/>
        <v>0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1000000.0</v>
      </c>
      <c r="C5" s="111">
        <v>325000.0</v>
      </c>
      <c r="D5" s="109">
        <v>180000.0</v>
      </c>
      <c r="E5" s="109">
        <v>145000.0</v>
      </c>
      <c r="F5" s="117"/>
      <c r="G5" s="117"/>
      <c r="H5" s="112"/>
      <c r="I5" s="113">
        <f t="shared" ref="I5:I6" si="3">L5*D43</f>
        <v>0</v>
      </c>
      <c r="J5" s="112"/>
      <c r="K5" s="114">
        <f>B5-C5-D5-E5-F5-I5+J5-G5-H5</f>
        <v>350000</v>
      </c>
      <c r="L5" s="115">
        <f t="shared" ref="L5:L6" si="4">B5/B43</f>
        <v>55555.55556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42000.0</v>
      </c>
      <c r="C6" s="111">
        <v>42000.0</v>
      </c>
      <c r="D6" s="117"/>
      <c r="E6" s="117"/>
      <c r="F6" s="117"/>
      <c r="G6" s="117"/>
      <c r="H6" s="112"/>
      <c r="I6" s="113">
        <f t="shared" si="3"/>
        <v>0</v>
      </c>
      <c r="J6" s="112"/>
      <c r="K6" s="121">
        <f t="shared" ref="K6:K8" si="5">B6-C6-D6-E6-F6-I6+J6-G6</f>
        <v>0</v>
      </c>
      <c r="L6" s="115">
        <f t="shared" si="4"/>
        <v>2333.333333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24" t="s">
        <v>100</v>
      </c>
      <c r="B7" s="110">
        <v>190000.0</v>
      </c>
      <c r="C7" s="111">
        <v>190000.0</v>
      </c>
      <c r="D7" s="112"/>
      <c r="E7" s="112"/>
      <c r="F7" s="112"/>
      <c r="G7" s="117"/>
      <c r="H7" s="112"/>
      <c r="I7" s="113">
        <f>L7*D46</f>
        <v>0</v>
      </c>
      <c r="J7" s="112"/>
      <c r="K7" s="121">
        <f t="shared" si="5"/>
        <v>0</v>
      </c>
      <c r="L7" s="115">
        <f>B7/B46</f>
        <v>10555.55556</v>
      </c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20.25" customHeight="1" outlineLevel="1">
      <c r="A8" s="124" t="s">
        <v>133</v>
      </c>
      <c r="B8" s="110">
        <v>450000.0</v>
      </c>
      <c r="C8" s="111">
        <v>200000.0</v>
      </c>
      <c r="D8" s="109">
        <v>100000.0</v>
      </c>
      <c r="E8" s="109">
        <v>150000.0</v>
      </c>
      <c r="F8" s="112"/>
      <c r="G8" s="117"/>
      <c r="H8" s="112"/>
      <c r="I8" s="113">
        <f>L8*D48</f>
        <v>0</v>
      </c>
      <c r="J8" s="112"/>
      <c r="K8" s="114">
        <f t="shared" si="5"/>
        <v>0</v>
      </c>
      <c r="L8" s="115">
        <f>B8/B48</f>
        <v>25000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15.75" customHeight="1" outlineLevel="1">
      <c r="A9" s="109" t="s">
        <v>176</v>
      </c>
      <c r="B9" s="110">
        <v>278000.0</v>
      </c>
      <c r="C9" s="111">
        <v>278000.0</v>
      </c>
      <c r="D9" s="112"/>
      <c r="E9" s="112"/>
      <c r="F9" s="112"/>
      <c r="G9" s="117"/>
      <c r="H9" s="112"/>
      <c r="I9" s="113">
        <f>L9*D50</f>
        <v>0</v>
      </c>
      <c r="J9" s="112"/>
      <c r="K9" s="121">
        <f>B9-C9-D9-E9-F9-I9+J9-G9-H9</f>
        <v>0</v>
      </c>
      <c r="L9" s="115">
        <f>B9/B50</f>
        <v>15444.44444</v>
      </c>
      <c r="M9" s="116" t="s">
        <v>140</v>
      </c>
      <c r="N9" s="116" t="s">
        <v>142</v>
      </c>
      <c r="O9" s="116" t="s">
        <v>143</v>
      </c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145</v>
      </c>
      <c r="B10" s="110">
        <v>120000.0</v>
      </c>
      <c r="C10" s="111">
        <v>120000.0</v>
      </c>
      <c r="D10" s="112"/>
      <c r="E10" s="112"/>
      <c r="F10" s="112"/>
      <c r="G10" s="117"/>
      <c r="H10" s="112"/>
      <c r="I10" s="120">
        <v>0.0</v>
      </c>
      <c r="J10" s="112"/>
      <c r="K10" s="121">
        <f>B10-C10-D10-E10-F10-I10+J10-G10</f>
        <v>0</v>
      </c>
      <c r="L10" s="115">
        <f>B10/B52</f>
        <v>6666.666667</v>
      </c>
      <c r="M10" s="116" t="s">
        <v>140</v>
      </c>
      <c r="N10" s="116" t="s">
        <v>142</v>
      </c>
      <c r="O10" s="116" t="s">
        <v>143</v>
      </c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 outlineLevel="1">
      <c r="A11" s="109" t="s">
        <v>34</v>
      </c>
      <c r="B11" s="110">
        <v>160500.0</v>
      </c>
      <c r="C11" s="111">
        <v>15000.0</v>
      </c>
      <c r="D11" s="109">
        <v>64500.0</v>
      </c>
      <c r="E11" s="109">
        <v>81000.0</v>
      </c>
      <c r="F11" s="112"/>
      <c r="G11" s="117"/>
      <c r="H11" s="112"/>
      <c r="I11" s="113">
        <f>L11*D54</f>
        <v>0</v>
      </c>
      <c r="J11" s="112"/>
      <c r="K11" s="114">
        <f t="shared" ref="K11:K12" si="6">B11-C11-D11-E11-F11-I11+J11-G11-H11</f>
        <v>0</v>
      </c>
      <c r="L11" s="115">
        <f>B11/B54</f>
        <v>8916.666667</v>
      </c>
      <c r="M11" s="116" t="s">
        <v>140</v>
      </c>
      <c r="N11" s="116" t="s">
        <v>142</v>
      </c>
      <c r="O11" s="116" t="s">
        <v>143</v>
      </c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57" t="s">
        <v>189</v>
      </c>
      <c r="B12" s="158">
        <v>185000.0</v>
      </c>
      <c r="C12" s="159">
        <v>61500.0</v>
      </c>
      <c r="D12" s="157">
        <v>40000.0</v>
      </c>
      <c r="E12" s="157">
        <v>30000.0</v>
      </c>
      <c r="F12" s="157">
        <v>53500.0</v>
      </c>
      <c r="G12" s="161"/>
      <c r="H12" s="160"/>
      <c r="I12" s="162"/>
      <c r="J12" s="160"/>
      <c r="K12" s="121">
        <f t="shared" si="6"/>
        <v>0</v>
      </c>
      <c r="L12" s="163"/>
      <c r="M12" s="116"/>
      <c r="N12" s="116"/>
      <c r="O12" s="116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6.5" customHeight="1">
      <c r="A13" s="143" t="s">
        <v>180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5"/>
      <c r="L13" s="146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>
      <c r="A14" s="124" t="s">
        <v>115</v>
      </c>
      <c r="B14" s="122">
        <v>200000.0</v>
      </c>
      <c r="C14" s="111">
        <v>200000.0</v>
      </c>
      <c r="D14" s="109">
        <v>50000.0</v>
      </c>
      <c r="E14" s="109">
        <v>42041.0</v>
      </c>
      <c r="F14" s="112"/>
      <c r="G14" s="117"/>
      <c r="H14" s="112"/>
      <c r="I14" s="113">
        <f t="shared" ref="I14:I17" si="7">L14*D56</f>
        <v>8333.333333</v>
      </c>
      <c r="J14" s="126">
        <f>IFERROR(__xludf.DUMMYFUNCTION("IMPORTRANGE(""https://docs.google.com/spreadsheets/d/1JJd44_6b1hsmD6e8liei_zzkkh-GYab6gE4K23IJPVI/edit?gid=0#gid=0&amp;range=J95"",""'Лист1'!K313"")"),100374.07500000001)</f>
        <v>100374.075</v>
      </c>
      <c r="K14" s="114">
        <f t="shared" ref="K14:K17" si="8">B14-C14-D14-E14-F14-I14+J14-G14-H14</f>
        <v>-0.2583333333</v>
      </c>
      <c r="L14" s="115">
        <f t="shared" ref="L14:L17" si="9">B14/B56</f>
        <v>8333.333333</v>
      </c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>
      <c r="A15" s="124" t="s">
        <v>91</v>
      </c>
      <c r="B15" s="110">
        <v>250000.0</v>
      </c>
      <c r="C15" s="111">
        <v>250000.0</v>
      </c>
      <c r="D15" s="109">
        <v>484.0</v>
      </c>
      <c r="E15" s="112"/>
      <c r="F15" s="112"/>
      <c r="G15" s="117"/>
      <c r="H15" s="109"/>
      <c r="I15" s="113">
        <f t="shared" si="7"/>
        <v>10416.66667</v>
      </c>
      <c r="J15" s="164">
        <v>10901.0</v>
      </c>
      <c r="K15" s="121">
        <f t="shared" si="8"/>
        <v>0.3333333333</v>
      </c>
      <c r="L15" s="115">
        <f t="shared" si="9"/>
        <v>10416.66667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>
      <c r="A16" s="109" t="s">
        <v>190</v>
      </c>
      <c r="B16" s="110">
        <v>0.0</v>
      </c>
      <c r="C16" s="119"/>
      <c r="D16" s="112"/>
      <c r="E16" s="112"/>
      <c r="F16" s="112"/>
      <c r="G16" s="117"/>
      <c r="H16" s="109"/>
      <c r="I16" s="113">
        <f t="shared" si="7"/>
        <v>0</v>
      </c>
      <c r="J16" s="164">
        <v>0.0</v>
      </c>
      <c r="K16" s="114">
        <f t="shared" si="8"/>
        <v>0</v>
      </c>
      <c r="L16" s="115">
        <f t="shared" si="9"/>
        <v>0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>
      <c r="A17" s="109" t="s">
        <v>181</v>
      </c>
      <c r="B17" s="111">
        <v>100000.0</v>
      </c>
      <c r="C17" s="111">
        <v>60000.0</v>
      </c>
      <c r="D17" s="109">
        <v>100000.0</v>
      </c>
      <c r="E17" s="109">
        <v>13962.0</v>
      </c>
      <c r="F17" s="112"/>
      <c r="G17" s="112"/>
      <c r="H17" s="109"/>
      <c r="I17" s="113">
        <f t="shared" si="7"/>
        <v>0</v>
      </c>
      <c r="J17" s="126">
        <f>IFERROR(__xludf.DUMMYFUNCTION("IMPORTRANGE(""https://docs.google.com/spreadsheets/d/1JJd44_6b1hsmD6e8liei_zzkkh-GYab6gE4K23IJPVI/edit?gid=0#gid=0&amp;range=J95"",""'Лист1'!AT303"")"),73961.775)</f>
        <v>73961.775</v>
      </c>
      <c r="K17" s="121">
        <f t="shared" si="8"/>
        <v>-0.225</v>
      </c>
      <c r="L17" s="115">
        <f t="shared" si="9"/>
        <v>4166.666667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>
      <c r="A18" s="109"/>
      <c r="B18" s="111">
        <v>0.0</v>
      </c>
      <c r="C18" s="119"/>
      <c r="D18" s="112"/>
      <c r="E18" s="112"/>
      <c r="F18" s="112"/>
      <c r="G18" s="112"/>
      <c r="H18" s="112"/>
      <c r="I18" s="113"/>
      <c r="J18" s="164">
        <v>0.0</v>
      </c>
      <c r="K18" s="165">
        <v>0.0</v>
      </c>
      <c r="L18" s="115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>
      <c r="A19" s="109" t="s">
        <v>186</v>
      </c>
      <c r="B19" s="111">
        <v>60000.0</v>
      </c>
      <c r="C19" s="111">
        <v>15000.0</v>
      </c>
      <c r="D19" s="109">
        <v>25000.0</v>
      </c>
      <c r="E19" s="109">
        <v>40000.0</v>
      </c>
      <c r="F19" s="112"/>
      <c r="G19" s="109"/>
      <c r="H19" s="112"/>
      <c r="I19" s="113">
        <f>L19*D61</f>
        <v>0</v>
      </c>
      <c r="J19" s="164">
        <v>20000.0</v>
      </c>
      <c r="K19" s="114">
        <f>B19-C19-D19-E19-F19-I19+J19-G19-H19</f>
        <v>0</v>
      </c>
      <c r="L19" s="115">
        <f>B19/B61</f>
        <v>2500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43" t="s">
        <v>182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18" t="s">
        <v>18</v>
      </c>
      <c r="B21" s="110">
        <v>150000.0</v>
      </c>
      <c r="C21" s="111"/>
      <c r="D21" s="112"/>
      <c r="E21" s="112"/>
      <c r="F21" s="112"/>
      <c r="G21" s="117"/>
      <c r="H21" s="112"/>
      <c r="I21" s="113">
        <f t="shared" ref="I21:I25" si="10">L21*D63</f>
        <v>0</v>
      </c>
      <c r="J21" s="114"/>
      <c r="K21" s="114">
        <f t="shared" ref="K21:K24" si="11">B21-C21-D21-E21-F21-I21+J21-G21-H21</f>
        <v>150000</v>
      </c>
      <c r="L21" s="115">
        <f t="shared" ref="L21:L25" si="12">B21/B63</f>
        <v>6250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187</v>
      </c>
      <c r="B22" s="122">
        <v>200000.0</v>
      </c>
      <c r="C22" s="111">
        <v>200000.0</v>
      </c>
      <c r="D22" s="112"/>
      <c r="E22" s="112"/>
      <c r="F22" s="112"/>
      <c r="G22" s="117"/>
      <c r="H22" s="112"/>
      <c r="I22" s="113">
        <f t="shared" si="10"/>
        <v>0</v>
      </c>
      <c r="J22" s="119"/>
      <c r="K22" s="121">
        <f t="shared" si="11"/>
        <v>0</v>
      </c>
      <c r="L22" s="115">
        <f t="shared" si="12"/>
        <v>11111.11111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 outlineLevel="1">
      <c r="A23" s="124" t="s">
        <v>39</v>
      </c>
      <c r="B23" s="122">
        <v>250000.0</v>
      </c>
      <c r="C23" s="111">
        <v>250000.0</v>
      </c>
      <c r="D23" s="112"/>
      <c r="E23" s="112"/>
      <c r="F23" s="112"/>
      <c r="G23" s="117"/>
      <c r="H23" s="112"/>
      <c r="I23" s="113">
        <f t="shared" si="10"/>
        <v>0</v>
      </c>
      <c r="J23" s="112"/>
      <c r="K23" s="114">
        <f t="shared" si="11"/>
        <v>0</v>
      </c>
      <c r="L23" s="115">
        <f t="shared" si="12"/>
        <v>13888.88889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 outlineLevel="1">
      <c r="A24" s="124" t="s">
        <v>67</v>
      </c>
      <c r="B24" s="110">
        <v>200000.0</v>
      </c>
      <c r="C24" s="111">
        <v>200000.0</v>
      </c>
      <c r="D24" s="112"/>
      <c r="E24" s="112"/>
      <c r="F24" s="112"/>
      <c r="G24" s="112"/>
      <c r="H24" s="112"/>
      <c r="I24" s="113">
        <f t="shared" si="10"/>
        <v>0</v>
      </c>
      <c r="J24" s="112"/>
      <c r="K24" s="114">
        <f t="shared" si="11"/>
        <v>0</v>
      </c>
      <c r="L24" s="115">
        <f t="shared" si="12"/>
        <v>11111.11111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8.0" customHeight="1" outlineLevel="1">
      <c r="A25" s="118" t="s">
        <v>41</v>
      </c>
      <c r="B25" s="110">
        <v>0.0</v>
      </c>
      <c r="C25" s="123"/>
      <c r="D25" s="112"/>
      <c r="E25" s="112"/>
      <c r="F25" s="112"/>
      <c r="G25" s="112"/>
      <c r="H25" s="112"/>
      <c r="I25" s="113">
        <f t="shared" si="10"/>
        <v>0</v>
      </c>
      <c r="J25" s="112"/>
      <c r="K25" s="165">
        <v>0.0</v>
      </c>
      <c r="L25" s="115">
        <f t="shared" si="12"/>
        <v>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8.0" customHeight="1" outlineLevel="1">
      <c r="A26" s="143" t="s">
        <v>183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5"/>
      <c r="L26" s="146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 outlineLevel="1">
      <c r="A27" s="109" t="s">
        <v>164</v>
      </c>
      <c r="B27" s="110">
        <v>200000.0</v>
      </c>
      <c r="C27" s="111">
        <v>30000.0</v>
      </c>
      <c r="D27" s="109">
        <v>5000.0</v>
      </c>
      <c r="E27" s="109">
        <v>140000.0</v>
      </c>
      <c r="F27" s="109">
        <v>25000.0</v>
      </c>
      <c r="G27" s="112"/>
      <c r="H27" s="112"/>
      <c r="I27" s="113">
        <f t="shared" ref="I27:I31" si="13">L27*D69</f>
        <v>0</v>
      </c>
      <c r="J27" s="112"/>
      <c r="K27" s="114">
        <f t="shared" ref="K27:K28" si="14">B27-C27-D27-E27-F27-I27+J27-G27-H27</f>
        <v>0</v>
      </c>
      <c r="L27" s="115">
        <f t="shared" ref="L27:L31" si="15">B27/B69</f>
        <v>8333.333333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24" t="s">
        <v>71</v>
      </c>
      <c r="B28" s="110">
        <v>150000.0</v>
      </c>
      <c r="C28" s="111"/>
      <c r="D28" s="109"/>
      <c r="E28" s="109"/>
      <c r="F28" s="112"/>
      <c r="G28" s="117"/>
      <c r="H28" s="112"/>
      <c r="I28" s="113">
        <f t="shared" si="13"/>
        <v>0</v>
      </c>
      <c r="J28" s="112"/>
      <c r="K28" s="114">
        <f t="shared" si="14"/>
        <v>150000</v>
      </c>
      <c r="L28" s="115">
        <f t="shared" si="15"/>
        <v>6250</v>
      </c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outlineLevel="1">
      <c r="A29" s="118" t="s">
        <v>70</v>
      </c>
      <c r="B29" s="110">
        <v>0.0</v>
      </c>
      <c r="C29" s="111"/>
      <c r="D29" s="112"/>
      <c r="E29" s="112"/>
      <c r="F29" s="117"/>
      <c r="G29" s="112"/>
      <c r="H29" s="112"/>
      <c r="I29" s="113">
        <f t="shared" si="13"/>
        <v>0</v>
      </c>
      <c r="J29" s="112"/>
      <c r="K29" s="165">
        <v>0.0</v>
      </c>
      <c r="L29" s="115">
        <f t="shared" si="15"/>
        <v>0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 outlineLevel="1">
      <c r="A30" s="109" t="s">
        <v>191</v>
      </c>
      <c r="B30" s="110">
        <v>80000.0</v>
      </c>
      <c r="C30" s="111">
        <v>40000.0</v>
      </c>
      <c r="D30" s="112"/>
      <c r="E30" s="112"/>
      <c r="F30" s="112"/>
      <c r="G30" s="112"/>
      <c r="H30" s="112"/>
      <c r="I30" s="113">
        <f t="shared" si="13"/>
        <v>40000</v>
      </c>
      <c r="J30" s="112"/>
      <c r="K30" s="121">
        <f t="shared" ref="K30:K31" si="16">B30-C30-D30-E30-F30-I30+J30-G30-H30</f>
        <v>0</v>
      </c>
      <c r="L30" s="115">
        <f t="shared" si="15"/>
        <v>3333.333333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109" t="s">
        <v>192</v>
      </c>
      <c r="B31" s="110">
        <v>80000.0</v>
      </c>
      <c r="C31" s="111">
        <v>33333.0</v>
      </c>
      <c r="D31" s="112"/>
      <c r="E31" s="112"/>
      <c r="F31" s="112"/>
      <c r="G31" s="112"/>
      <c r="H31" s="112"/>
      <c r="I31" s="113">
        <f t="shared" si="13"/>
        <v>46666.66667</v>
      </c>
      <c r="J31" s="112"/>
      <c r="K31" s="121">
        <f t="shared" si="16"/>
        <v>0.3333333333</v>
      </c>
      <c r="L31" s="115">
        <f t="shared" si="15"/>
        <v>3333.333333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18"/>
      <c r="B32" s="119"/>
      <c r="C32" s="119"/>
      <c r="D32" s="112"/>
      <c r="E32" s="112"/>
      <c r="F32" s="112"/>
      <c r="G32" s="112"/>
      <c r="H32" s="112"/>
      <c r="I32" s="112"/>
      <c r="J32" s="112"/>
      <c r="K32" s="126"/>
      <c r="L32" s="112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18" t="s">
        <v>26</v>
      </c>
      <c r="B33" s="119">
        <f>SUM(B2:B30)</f>
        <v>4265500</v>
      </c>
      <c r="C33" s="119"/>
      <c r="D33" s="112"/>
      <c r="E33" s="112"/>
      <c r="F33" s="112"/>
      <c r="G33" s="112"/>
      <c r="H33" s="112"/>
      <c r="I33" s="112"/>
      <c r="J33" s="112"/>
      <c r="K33" s="126">
        <f>SUM(K2:K31)</f>
        <v>650000.1833</v>
      </c>
      <c r="L33" s="112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3"/>
      <c r="L34" s="12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28"/>
      <c r="B36" s="128"/>
      <c r="C36" s="128"/>
      <c r="D36" s="129" t="s">
        <v>110</v>
      </c>
      <c r="E36" s="128"/>
      <c r="F36" s="128"/>
      <c r="G36" s="128"/>
      <c r="H36" s="128"/>
      <c r="I36" s="128"/>
      <c r="J36" s="128"/>
      <c r="K36" s="12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28"/>
      <c r="B37" s="128"/>
      <c r="C37" s="128"/>
      <c r="D37" s="130"/>
      <c r="E37" s="128"/>
      <c r="F37" s="128"/>
      <c r="G37" s="128"/>
      <c r="H37" s="128"/>
      <c r="I37" s="128"/>
      <c r="J37" s="128"/>
      <c r="K37" s="12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8"/>
      <c r="E38" s="128"/>
      <c r="F38" s="130"/>
      <c r="G38" s="128"/>
      <c r="H38" s="128"/>
      <c r="I38" s="128" t="str">
        <f>C3+#REF!+C8+C9+#REF!+C10+#REF!+C14+C19+C21+C23+C29</f>
        <v>#REF!</v>
      </c>
      <c r="J38" s="128"/>
      <c r="K38" s="12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18" t="s">
        <v>79</v>
      </c>
      <c r="B39" s="166" t="s">
        <v>28</v>
      </c>
      <c r="C39" s="167" t="s">
        <v>29</v>
      </c>
      <c r="D39" s="168" t="s">
        <v>80</v>
      </c>
      <c r="E39" s="118" t="s">
        <v>81</v>
      </c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09" t="s">
        <v>127</v>
      </c>
      <c r="B40" s="120">
        <v>18.0</v>
      </c>
      <c r="C40" s="115">
        <f t="shared" ref="C40:C41" si="17">B40-D40</f>
        <v>18</v>
      </c>
      <c r="D40" s="115">
        <v>0.0</v>
      </c>
      <c r="E40" s="135">
        <v>45327.0</v>
      </c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09" t="s">
        <v>128</v>
      </c>
      <c r="B41" s="120">
        <v>18.0</v>
      </c>
      <c r="C41" s="115">
        <f t="shared" si="17"/>
        <v>18</v>
      </c>
      <c r="D41" s="115">
        <v>0.0</v>
      </c>
      <c r="E41" s="135">
        <v>45327.0</v>
      </c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43" t="s">
        <v>174</v>
      </c>
      <c r="B42" s="144"/>
      <c r="C42" s="144"/>
      <c r="D42" s="144"/>
      <c r="E42" s="169"/>
      <c r="F42" s="128"/>
      <c r="G42" s="128"/>
      <c r="H42" s="128"/>
      <c r="I42" s="128"/>
      <c r="J42" s="128"/>
      <c r="K42" s="12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09" t="s">
        <v>129</v>
      </c>
      <c r="B43" s="120">
        <v>18.0</v>
      </c>
      <c r="C43" s="115">
        <f t="shared" ref="C43:C54" si="18">B43-D43</f>
        <v>18</v>
      </c>
      <c r="D43" s="115">
        <v>0.0</v>
      </c>
      <c r="E43" s="135">
        <v>45327.0</v>
      </c>
      <c r="F43" s="128"/>
      <c r="G43" s="128"/>
      <c r="H43" s="128"/>
      <c r="I43" s="128"/>
      <c r="J43" s="128"/>
      <c r="K43" s="12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18" t="s">
        <v>132</v>
      </c>
      <c r="B44" s="120">
        <v>18.0</v>
      </c>
      <c r="C44" s="115">
        <f t="shared" si="18"/>
        <v>18</v>
      </c>
      <c r="D44" s="115">
        <v>0.0</v>
      </c>
      <c r="E44" s="135">
        <v>45327.0</v>
      </c>
      <c r="F44" s="128"/>
      <c r="G44" s="128"/>
      <c r="H44" s="128"/>
      <c r="I44" s="128"/>
      <c r="J44" s="125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18" t="s">
        <v>75</v>
      </c>
      <c r="B45" s="120">
        <v>18.0</v>
      </c>
      <c r="C45" s="115">
        <f t="shared" si="18"/>
        <v>18</v>
      </c>
      <c r="D45" s="115">
        <v>0.0</v>
      </c>
      <c r="E45" s="135">
        <v>45327.0</v>
      </c>
      <c r="F45" s="128"/>
      <c r="G45" s="128"/>
      <c r="H45" s="128"/>
      <c r="I45" s="128"/>
      <c r="K45" s="12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24" t="s">
        <v>100</v>
      </c>
      <c r="B46" s="120">
        <v>18.0</v>
      </c>
      <c r="C46" s="115">
        <f t="shared" si="18"/>
        <v>18</v>
      </c>
      <c r="D46" s="120">
        <v>0.0</v>
      </c>
      <c r="E46" s="135">
        <v>45297.0</v>
      </c>
      <c r="F46" s="125"/>
      <c r="G46" s="128"/>
      <c r="H46" s="128"/>
      <c r="I46" s="128"/>
      <c r="J46" s="128"/>
      <c r="K46" s="12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18" t="s">
        <v>47</v>
      </c>
      <c r="B47" s="120">
        <v>18.0</v>
      </c>
      <c r="C47" s="115">
        <f t="shared" si="18"/>
        <v>18</v>
      </c>
      <c r="D47" s="120">
        <v>0.0</v>
      </c>
      <c r="E47" s="135">
        <v>45327.0</v>
      </c>
      <c r="F47" s="138"/>
      <c r="G47" s="128"/>
      <c r="H47" s="128"/>
      <c r="I47" s="128"/>
      <c r="J47" s="128"/>
      <c r="K47" s="12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24" t="s">
        <v>133</v>
      </c>
      <c r="B48" s="120">
        <v>18.0</v>
      </c>
      <c r="C48" s="115">
        <f t="shared" si="18"/>
        <v>18</v>
      </c>
      <c r="D48" s="136">
        <v>0.0</v>
      </c>
      <c r="E48" s="135">
        <v>45327.0</v>
      </c>
      <c r="F48" s="138"/>
      <c r="G48" s="128"/>
      <c r="H48" s="130"/>
      <c r="I48" s="128"/>
      <c r="J48" s="128"/>
      <c r="K48" s="12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175</v>
      </c>
      <c r="B49" s="120">
        <v>10.0</v>
      </c>
      <c r="C49" s="115">
        <f t="shared" si="18"/>
        <v>10</v>
      </c>
      <c r="D49" s="120">
        <v>0.0</v>
      </c>
      <c r="E49" s="135">
        <v>45327.0</v>
      </c>
      <c r="F49" s="130"/>
      <c r="G49" s="128"/>
      <c r="H49" s="128"/>
      <c r="I49" s="128"/>
      <c r="J49" s="128"/>
      <c r="K49" s="12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176</v>
      </c>
      <c r="B50" s="136">
        <v>18.0</v>
      </c>
      <c r="C50" s="115">
        <f t="shared" si="18"/>
        <v>18</v>
      </c>
      <c r="D50" s="136">
        <v>0.0</v>
      </c>
      <c r="E50" s="135">
        <v>45297.0</v>
      </c>
      <c r="F50" s="13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177</v>
      </c>
      <c r="B51" s="120">
        <v>10.0</v>
      </c>
      <c r="C51" s="115">
        <f t="shared" si="18"/>
        <v>10</v>
      </c>
      <c r="D51" s="120">
        <v>0.0</v>
      </c>
      <c r="E51" s="135">
        <v>45327.0</v>
      </c>
      <c r="F51" s="138"/>
      <c r="G51" s="116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145</v>
      </c>
      <c r="B52" s="120">
        <v>18.0</v>
      </c>
      <c r="C52" s="115">
        <f t="shared" si="18"/>
        <v>17</v>
      </c>
      <c r="D52" s="120">
        <v>1.0</v>
      </c>
      <c r="E52" s="135">
        <v>45327.0</v>
      </c>
      <c r="F52" s="138"/>
      <c r="G52" s="116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09" t="s">
        <v>162</v>
      </c>
      <c r="B53" s="120">
        <v>18.0</v>
      </c>
      <c r="C53" s="115">
        <f t="shared" si="18"/>
        <v>18</v>
      </c>
      <c r="D53" s="120">
        <v>0.0</v>
      </c>
      <c r="E53" s="135">
        <v>45327.0</v>
      </c>
      <c r="F53" s="138"/>
      <c r="G53" s="116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163</v>
      </c>
      <c r="B54" s="120">
        <v>18.0</v>
      </c>
      <c r="C54" s="115">
        <f t="shared" si="18"/>
        <v>18</v>
      </c>
      <c r="D54" s="120">
        <v>0.0</v>
      </c>
      <c r="E54" s="135">
        <v>45327.0</v>
      </c>
      <c r="F54" s="125"/>
      <c r="G54" s="116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43" t="s">
        <v>180</v>
      </c>
      <c r="B55" s="144"/>
      <c r="C55" s="144"/>
      <c r="D55" s="144"/>
      <c r="E55" s="169"/>
      <c r="F55" s="130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24" t="s">
        <v>115</v>
      </c>
      <c r="B56" s="120">
        <v>24.0</v>
      </c>
      <c r="C56" s="115">
        <f t="shared" ref="C56:C59" si="19">B56-D56</f>
        <v>23</v>
      </c>
      <c r="D56" s="120">
        <v>1.0</v>
      </c>
      <c r="E56" s="135">
        <v>45297.0</v>
      </c>
      <c r="F56" s="130"/>
      <c r="G56" s="128"/>
      <c r="H56" s="128"/>
      <c r="I56" s="128"/>
      <c r="J56" s="128"/>
      <c r="K56" s="12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24" t="s">
        <v>91</v>
      </c>
      <c r="B57" s="120">
        <v>24.0</v>
      </c>
      <c r="C57" s="115">
        <f t="shared" si="19"/>
        <v>23</v>
      </c>
      <c r="D57" s="120">
        <v>1.0</v>
      </c>
      <c r="E57" s="135">
        <v>45297.0</v>
      </c>
      <c r="F57" s="130"/>
      <c r="G57" s="128"/>
      <c r="H57" s="12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190</v>
      </c>
      <c r="B58" s="120">
        <v>24.0</v>
      </c>
      <c r="C58" s="115">
        <f t="shared" si="19"/>
        <v>10</v>
      </c>
      <c r="D58" s="120">
        <v>14.0</v>
      </c>
      <c r="E58" s="135">
        <v>45297.0</v>
      </c>
      <c r="F58" s="130"/>
      <c r="G58" s="128"/>
      <c r="H58" s="12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09" t="s">
        <v>166</v>
      </c>
      <c r="B59" s="120">
        <v>24.0</v>
      </c>
      <c r="C59" s="115">
        <f t="shared" si="19"/>
        <v>24</v>
      </c>
      <c r="D59" s="120">
        <v>0.0</v>
      </c>
      <c r="E59" s="135">
        <v>45297.0</v>
      </c>
      <c r="F59" s="130"/>
      <c r="G59" s="128"/>
      <c r="H59" s="12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09"/>
      <c r="B60" s="120"/>
      <c r="C60" s="115"/>
      <c r="D60" s="136"/>
      <c r="E60" s="135"/>
      <c r="F60" s="130"/>
      <c r="G60" s="128"/>
      <c r="H60" s="12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09" t="s">
        <v>186</v>
      </c>
      <c r="B61" s="120">
        <v>24.0</v>
      </c>
      <c r="C61" s="115">
        <f>B61-D61</f>
        <v>24</v>
      </c>
      <c r="D61" s="136">
        <v>0.0</v>
      </c>
      <c r="E61" s="135">
        <v>45297.0</v>
      </c>
      <c r="F61" s="130"/>
      <c r="G61" s="128"/>
      <c r="H61" s="128"/>
      <c r="I61" s="128"/>
      <c r="J61" s="128"/>
      <c r="K61" s="12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43" t="s">
        <v>182</v>
      </c>
      <c r="B62" s="144"/>
      <c r="C62" s="144"/>
      <c r="D62" s="144"/>
      <c r="E62" s="169"/>
      <c r="F62" s="130"/>
      <c r="G62" s="128"/>
      <c r="H62" s="12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18" t="s">
        <v>18</v>
      </c>
      <c r="B63" s="120">
        <v>24.0</v>
      </c>
      <c r="C63" s="115">
        <f t="shared" ref="C63:C67" si="20">B63-D63</f>
        <v>24</v>
      </c>
      <c r="D63" s="136">
        <v>0.0</v>
      </c>
      <c r="E63" s="135">
        <v>45297.0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18" t="s">
        <v>118</v>
      </c>
      <c r="B64" s="120">
        <v>18.0</v>
      </c>
      <c r="C64" s="115">
        <f t="shared" si="20"/>
        <v>18</v>
      </c>
      <c r="D64" s="120">
        <v>0.0</v>
      </c>
      <c r="E64" s="135">
        <v>45297.0</v>
      </c>
      <c r="F64" s="125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24" t="s">
        <v>39</v>
      </c>
      <c r="B65" s="120">
        <v>18.0</v>
      </c>
      <c r="C65" s="115">
        <f t="shared" si="20"/>
        <v>18</v>
      </c>
      <c r="D65" s="136">
        <v>0.0</v>
      </c>
      <c r="E65" s="135">
        <v>45327.0</v>
      </c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24" t="s">
        <v>67</v>
      </c>
      <c r="B66" s="120">
        <v>18.0</v>
      </c>
      <c r="C66" s="115">
        <f t="shared" si="20"/>
        <v>18</v>
      </c>
      <c r="D66" s="136">
        <v>0.0</v>
      </c>
      <c r="E66" s="135">
        <v>45327.0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41</v>
      </c>
      <c r="B67" s="120">
        <v>18.0</v>
      </c>
      <c r="C67" s="115">
        <f t="shared" si="20"/>
        <v>18</v>
      </c>
      <c r="D67" s="136">
        <v>0.0</v>
      </c>
      <c r="E67" s="135">
        <v>45327.0</v>
      </c>
      <c r="F67" s="130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70" t="s">
        <v>183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164</v>
      </c>
      <c r="B69" s="120">
        <v>24.0</v>
      </c>
      <c r="C69" s="115">
        <f t="shared" ref="C69:C73" si="21">B69-D69</f>
        <v>24</v>
      </c>
      <c r="D69" s="120">
        <v>0.0</v>
      </c>
      <c r="E69" s="135">
        <v>45297.0</v>
      </c>
      <c r="F69" s="125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24" t="s">
        <v>71</v>
      </c>
      <c r="B70" s="120">
        <v>24.0</v>
      </c>
      <c r="C70" s="115">
        <f t="shared" si="21"/>
        <v>24</v>
      </c>
      <c r="D70" s="120">
        <v>0.0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18" t="s">
        <v>70</v>
      </c>
      <c r="B71" s="120">
        <v>24.0</v>
      </c>
      <c r="C71" s="115">
        <f t="shared" si="21"/>
        <v>24</v>
      </c>
      <c r="D71" s="120">
        <v>0.0</v>
      </c>
      <c r="E71" s="135">
        <v>45327.0</v>
      </c>
      <c r="F71" s="130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09" t="s">
        <v>191</v>
      </c>
      <c r="B72" s="120">
        <v>24.0</v>
      </c>
      <c r="C72" s="115">
        <f t="shared" si="21"/>
        <v>12</v>
      </c>
      <c r="D72" s="120">
        <v>12.0</v>
      </c>
      <c r="E72" s="135">
        <v>45327.0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9" t="s">
        <v>193</v>
      </c>
      <c r="B73" s="120">
        <v>24.0</v>
      </c>
      <c r="C73" s="115">
        <f t="shared" si="21"/>
        <v>10</v>
      </c>
      <c r="D73" s="120">
        <v>14.0</v>
      </c>
      <c r="E73" s="135">
        <v>45327.0</v>
      </c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39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</row>
    <row r="1002">
      <c r="A1002" s="139"/>
      <c r="B1002" s="139"/>
      <c r="C1002" s="139"/>
      <c r="D1002" s="139"/>
      <c r="E1002" s="139"/>
      <c r="F1002" s="139"/>
      <c r="G1002" s="139"/>
      <c r="H1002" s="139"/>
      <c r="I1002" s="139"/>
      <c r="J1002" s="139"/>
      <c r="K1002" s="139"/>
      <c r="L1002" s="139"/>
      <c r="M1002" s="139"/>
      <c r="N1002" s="139"/>
      <c r="O1002" s="139"/>
      <c r="P1002" s="139"/>
      <c r="Q1002" s="139"/>
      <c r="R1002" s="139"/>
      <c r="S1002" s="139"/>
      <c r="T1002" s="139"/>
      <c r="U1002" s="139"/>
      <c r="V1002" s="139"/>
      <c r="W1002" s="139"/>
      <c r="X1002" s="139"/>
      <c r="Y1002" s="139"/>
      <c r="Z1002" s="139"/>
    </row>
    <row r="1003">
      <c r="A1003" s="139"/>
      <c r="B1003" s="139"/>
      <c r="C1003" s="139"/>
      <c r="D1003" s="139"/>
      <c r="E1003" s="139"/>
      <c r="F1003" s="139"/>
      <c r="G1003" s="139"/>
      <c r="H1003" s="139"/>
      <c r="I1003" s="139"/>
      <c r="J1003" s="139"/>
      <c r="K1003" s="139"/>
      <c r="L1003" s="139"/>
      <c r="M1003" s="139"/>
      <c r="N1003" s="139"/>
      <c r="O1003" s="139"/>
      <c r="P1003" s="139"/>
      <c r="Q1003" s="139"/>
      <c r="R1003" s="139"/>
      <c r="S1003" s="139"/>
      <c r="T1003" s="139"/>
      <c r="U1003" s="139"/>
      <c r="V1003" s="139"/>
      <c r="W1003" s="139"/>
      <c r="X1003" s="139"/>
      <c r="Y1003" s="139"/>
      <c r="Z1003" s="139"/>
    </row>
  </sheetData>
  <mergeCells count="8">
    <mergeCell ref="A4:J4"/>
    <mergeCell ref="A13:J13"/>
    <mergeCell ref="A20:J20"/>
    <mergeCell ref="A26:J26"/>
    <mergeCell ref="A42:E42"/>
    <mergeCell ref="A55:E55"/>
    <mergeCell ref="A62:E62"/>
    <mergeCell ref="A68:E6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  <col customWidth="1" min="14" max="14" width="13.56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0.0</v>
      </c>
      <c r="C2" s="111"/>
      <c r="D2" s="117"/>
      <c r="E2" s="117"/>
      <c r="F2" s="117"/>
      <c r="G2" s="117"/>
      <c r="H2" s="112"/>
      <c r="I2" s="113">
        <f t="shared" ref="I2:I3" si="1">L2*D36</f>
        <v>0</v>
      </c>
      <c r="J2" s="112"/>
      <c r="K2" s="114">
        <f>B2-C2-D2-E2-F2-I2+J2-G2-H2</f>
        <v>0</v>
      </c>
      <c r="L2" s="115">
        <f t="shared" ref="L2:L3" si="2">B2/B36</f>
        <v>0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0.0</v>
      </c>
      <c r="C3" s="111"/>
      <c r="D3" s="117"/>
      <c r="E3" s="117"/>
      <c r="F3" s="117"/>
      <c r="G3" s="117"/>
      <c r="H3" s="112"/>
      <c r="I3" s="113">
        <f t="shared" si="1"/>
        <v>0</v>
      </c>
      <c r="J3" s="112"/>
      <c r="K3" s="114">
        <f>B3-C3-D3-E3-F3-I3+J3-G3</f>
        <v>0</v>
      </c>
      <c r="L3" s="115">
        <f t="shared" si="2"/>
        <v>0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1000000.0</v>
      </c>
      <c r="C5" s="119"/>
      <c r="D5" s="117"/>
      <c r="E5" s="117"/>
      <c r="F5" s="117"/>
      <c r="G5" s="117"/>
      <c r="H5" s="112"/>
      <c r="I5" s="113">
        <f t="shared" ref="I5:I6" si="3">L5*D39</f>
        <v>0</v>
      </c>
      <c r="J5" s="112"/>
      <c r="K5" s="114">
        <f>B5-C5-D5-E5-F5-I5+J5-G5-H5</f>
        <v>1000000</v>
      </c>
      <c r="L5" s="115">
        <f t="shared" ref="L5:L6" si="4">B5/B39</f>
        <v>47619.04762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79500.0</v>
      </c>
      <c r="C6" s="111">
        <v>79500.0</v>
      </c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0</v>
      </c>
      <c r="L6" s="115">
        <f t="shared" si="4"/>
        <v>3785.714286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83" t="s">
        <v>34</v>
      </c>
      <c r="B7" s="165">
        <v>222000.0</v>
      </c>
      <c r="C7" s="172">
        <v>222000.0</v>
      </c>
      <c r="D7" s="183"/>
      <c r="E7" s="174"/>
      <c r="F7" s="174"/>
      <c r="G7" s="173"/>
      <c r="H7" s="174"/>
      <c r="I7" s="175">
        <f>L7*D45</f>
        <v>0</v>
      </c>
      <c r="J7" s="174"/>
      <c r="K7" s="121">
        <f>B7-C7-D7-E7-F7-I7+J7-G7-H7</f>
        <v>0</v>
      </c>
      <c r="L7" s="176">
        <f>B7/B45</f>
        <v>22200</v>
      </c>
      <c r="M7" s="177" t="s">
        <v>140</v>
      </c>
      <c r="N7" s="177" t="s">
        <v>142</v>
      </c>
      <c r="O7" s="177" t="s">
        <v>143</v>
      </c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 ht="20.25" customHeight="1" outlineLevel="1">
      <c r="A8" s="124" t="s">
        <v>133</v>
      </c>
      <c r="B8" s="110">
        <v>450000.0</v>
      </c>
      <c r="C8" s="111">
        <v>150000.0</v>
      </c>
      <c r="D8" s="109">
        <v>250000.0</v>
      </c>
      <c r="E8" s="109">
        <v>50000.0</v>
      </c>
      <c r="F8" s="112"/>
      <c r="G8" s="117"/>
      <c r="H8" s="112"/>
      <c r="I8" s="113">
        <f>L8*D44</f>
        <v>0</v>
      </c>
      <c r="J8" s="112"/>
      <c r="K8" s="114">
        <f>B8-C8-D8-E8-F8-I8+J8-G8</f>
        <v>0</v>
      </c>
      <c r="L8" s="115">
        <f>B8/B44</f>
        <v>21428.57143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15.75" customHeight="1" outlineLevel="1">
      <c r="A9" s="183" t="s">
        <v>176</v>
      </c>
      <c r="B9" s="165">
        <v>370000.0</v>
      </c>
      <c r="C9" s="172">
        <v>358000.0</v>
      </c>
      <c r="D9" s="183">
        <v>12000.0</v>
      </c>
      <c r="E9" s="174"/>
      <c r="F9" s="174"/>
      <c r="G9" s="173"/>
      <c r="H9" s="174"/>
      <c r="I9" s="175">
        <f>L9*D46</f>
        <v>0</v>
      </c>
      <c r="J9" s="174"/>
      <c r="K9" s="121">
        <f t="shared" ref="K9:K10" si="5">B9-C9-D9-E9-F9-I9+J9-G9-H9</f>
        <v>0</v>
      </c>
      <c r="L9" s="176">
        <f>B9/B46</f>
        <v>17619.04762</v>
      </c>
      <c r="M9" s="177" t="s">
        <v>140</v>
      </c>
      <c r="N9" s="177" t="s">
        <v>142</v>
      </c>
      <c r="O9" s="177" t="s">
        <v>143</v>
      </c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 ht="15.75" customHeight="1">
      <c r="A10" s="124" t="s">
        <v>91</v>
      </c>
      <c r="B10" s="110">
        <v>300000.0</v>
      </c>
      <c r="C10" s="111">
        <v>250000.0</v>
      </c>
      <c r="D10" s="109">
        <v>50000.0</v>
      </c>
      <c r="E10" s="112"/>
      <c r="F10" s="112"/>
      <c r="G10" s="117"/>
      <c r="H10" s="109"/>
      <c r="I10" s="113">
        <f>L10*D53</f>
        <v>0</v>
      </c>
      <c r="J10" s="164"/>
      <c r="K10" s="121">
        <f t="shared" si="5"/>
        <v>0</v>
      </c>
      <c r="L10" s="115">
        <f>B10/B53</f>
        <v>12000</v>
      </c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57" t="s">
        <v>194</v>
      </c>
      <c r="B11" s="158">
        <v>75000.0</v>
      </c>
      <c r="C11" s="159">
        <v>75000.0</v>
      </c>
      <c r="D11" s="160"/>
      <c r="E11" s="160"/>
      <c r="F11" s="160"/>
      <c r="G11" s="161"/>
      <c r="H11" s="157"/>
      <c r="I11" s="162"/>
      <c r="J11" s="194"/>
      <c r="K11" s="195"/>
      <c r="L11" s="163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6.5" customHeight="1">
      <c r="A12" s="143" t="s">
        <v>180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5"/>
      <c r="L12" s="146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>
      <c r="A13" s="124" t="s">
        <v>115</v>
      </c>
      <c r="B13" s="122">
        <v>200000.0</v>
      </c>
      <c r="C13" s="111">
        <v>137365.0</v>
      </c>
      <c r="D13" s="112"/>
      <c r="E13" s="112"/>
      <c r="F13" s="112"/>
      <c r="G13" s="117"/>
      <c r="H13" s="112"/>
      <c r="I13" s="113">
        <f>L13*D52</f>
        <v>88000</v>
      </c>
      <c r="J13" s="126">
        <f>IFERROR(__xludf.DUMMYFUNCTION("IMPORTRANGE(""https://docs.google.com/spreadsheets/d/1JJd44_6b1hsmD6e8liei_zzkkh-GYab6gE4K23IJPVI/edit?gid=0#gid=0&amp;range=J95"",""'Лист1'!J330"")"),25364.54250000006)</f>
        <v>25364.5425</v>
      </c>
      <c r="K13" s="114">
        <f t="shared" ref="K13:K15" si="6">B13-C13-D13-E13-F13-I13+J13-G13-H13</f>
        <v>-0.4574999999</v>
      </c>
      <c r="L13" s="115">
        <f>B13/B52</f>
        <v>8000</v>
      </c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>
      <c r="A14" s="109" t="s">
        <v>190</v>
      </c>
      <c r="B14" s="110">
        <v>300000.0</v>
      </c>
      <c r="C14" s="111">
        <v>204000.0</v>
      </c>
      <c r="D14" s="112"/>
      <c r="E14" s="112"/>
      <c r="F14" s="112"/>
      <c r="G14" s="117"/>
      <c r="H14" s="109"/>
      <c r="I14" s="113">
        <f t="shared" ref="I14:I15" si="7">L14*D54</f>
        <v>96000</v>
      </c>
      <c r="J14" s="164">
        <v>0.0</v>
      </c>
      <c r="K14" s="114">
        <f t="shared" si="6"/>
        <v>0</v>
      </c>
      <c r="L14" s="115">
        <f t="shared" ref="L14:L15" si="8">B14/B54</f>
        <v>12000</v>
      </c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>
      <c r="A15" s="109" t="s">
        <v>181</v>
      </c>
      <c r="B15" s="111">
        <v>100000.0</v>
      </c>
      <c r="C15" s="111">
        <v>66038.0</v>
      </c>
      <c r="D15" s="109">
        <v>10000.0</v>
      </c>
      <c r="E15" s="109">
        <v>23962.0</v>
      </c>
      <c r="F15" s="112"/>
      <c r="G15" s="112"/>
      <c r="H15" s="109"/>
      <c r="I15" s="113">
        <f t="shared" si="7"/>
        <v>0</v>
      </c>
      <c r="J15" s="164">
        <v>0.0</v>
      </c>
      <c r="K15" s="114">
        <f t="shared" si="6"/>
        <v>0</v>
      </c>
      <c r="L15" s="115">
        <f t="shared" si="8"/>
        <v>4000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>
      <c r="A16" s="109"/>
      <c r="B16" s="111"/>
      <c r="C16" s="119"/>
      <c r="D16" s="112"/>
      <c r="E16" s="112"/>
      <c r="F16" s="112"/>
      <c r="G16" s="112"/>
      <c r="H16" s="112"/>
      <c r="I16" s="113"/>
      <c r="J16" s="126">
        <f>IFERROR(__xludf.DUMMYFUNCTION("IMPORTRANGE(""https://docs.google.com/spreadsheets/d/1JJd44_6b1hsmD6e8liei_zzkkh-GYab6gE4K23IJPVI/edit?gid=0#gid=0&amp;range=J95"",""'Лист1'!J330"")"),25364.54250000006)</f>
        <v>25364.5425</v>
      </c>
      <c r="K16" s="110">
        <v>0.0</v>
      </c>
      <c r="L16" s="115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>
      <c r="A17" s="109" t="s">
        <v>186</v>
      </c>
      <c r="B17" s="111">
        <v>100000.0</v>
      </c>
      <c r="C17" s="111">
        <v>56000.0</v>
      </c>
      <c r="D17" s="112"/>
      <c r="E17" s="112"/>
      <c r="F17" s="112"/>
      <c r="G17" s="109"/>
      <c r="H17" s="112"/>
      <c r="I17" s="113">
        <f>L17*D57+27209</f>
        <v>47209</v>
      </c>
      <c r="J17" s="126">
        <f>IFERROR(__xludf.DUMMYFUNCTION("IMPORTRANGE(""https://docs.google.com/spreadsheets/d/1JJd44_6b1hsmD6e8liei_zzkkh-GYab6gE4K23IJPVI/edit?gid=0#gid=0&amp;range=J95"",""'Лист1'!BF330"")"),3209.2200000000025)</f>
        <v>3209.22</v>
      </c>
      <c r="K17" s="114">
        <f>B17-C17-D17-E17-F17-I17+J17-G17-H17</f>
        <v>0.22</v>
      </c>
      <c r="L17" s="115">
        <f>B17/B57</f>
        <v>4000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>
      <c r="A18" s="143" t="s">
        <v>182</v>
      </c>
      <c r="B18" s="144"/>
      <c r="C18" s="144"/>
      <c r="D18" s="144"/>
      <c r="E18" s="144"/>
      <c r="F18" s="144"/>
      <c r="G18" s="144"/>
      <c r="H18" s="144"/>
      <c r="I18" s="144"/>
      <c r="J18" s="144"/>
      <c r="K18" s="145"/>
      <c r="L18" s="146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>
      <c r="A19" s="118" t="s">
        <v>18</v>
      </c>
      <c r="B19" s="110">
        <v>150000.0</v>
      </c>
      <c r="C19" s="111"/>
      <c r="D19" s="112"/>
      <c r="E19" s="112"/>
      <c r="F19" s="112"/>
      <c r="G19" s="117"/>
      <c r="H19" s="112"/>
      <c r="I19" s="113">
        <f t="shared" ref="I19:I22" si="9">L19*D59</f>
        <v>0</v>
      </c>
      <c r="J19" s="114"/>
      <c r="K19" s="114">
        <f t="shared" ref="K19:K22" si="10">B19-C19-D19-E19-F19-I19+J19-G19-H19</f>
        <v>150000</v>
      </c>
      <c r="L19" s="115">
        <f t="shared" ref="L19:L22" si="11">B19/B59</f>
        <v>6250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09" t="s">
        <v>187</v>
      </c>
      <c r="B20" s="122">
        <v>200000.0</v>
      </c>
      <c r="C20" s="111">
        <v>100000.0</v>
      </c>
      <c r="D20" s="109">
        <v>100000.0</v>
      </c>
      <c r="E20" s="112"/>
      <c r="F20" s="112"/>
      <c r="G20" s="117"/>
      <c r="H20" s="112"/>
      <c r="I20" s="113">
        <f t="shared" si="9"/>
        <v>0</v>
      </c>
      <c r="J20" s="119"/>
      <c r="K20" s="114">
        <f t="shared" si="10"/>
        <v>0</v>
      </c>
      <c r="L20" s="115">
        <f t="shared" si="11"/>
        <v>9523.809524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 outlineLevel="1">
      <c r="A21" s="124" t="s">
        <v>39</v>
      </c>
      <c r="B21" s="110">
        <v>0.0</v>
      </c>
      <c r="C21" s="111"/>
      <c r="D21" s="112"/>
      <c r="E21" s="112"/>
      <c r="F21" s="112"/>
      <c r="G21" s="117"/>
      <c r="H21" s="112"/>
      <c r="I21" s="113">
        <f t="shared" si="9"/>
        <v>0</v>
      </c>
      <c r="J21" s="112"/>
      <c r="K21" s="114">
        <f t="shared" si="10"/>
        <v>0</v>
      </c>
      <c r="L21" s="115">
        <f t="shared" si="11"/>
        <v>0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 outlineLevel="1">
      <c r="A22" s="124" t="s">
        <v>67</v>
      </c>
      <c r="B22" s="110">
        <v>200000.0</v>
      </c>
      <c r="C22" s="111">
        <v>100000.0</v>
      </c>
      <c r="D22" s="109">
        <v>100000.0</v>
      </c>
      <c r="E22" s="112"/>
      <c r="F22" s="112"/>
      <c r="G22" s="112"/>
      <c r="H22" s="112"/>
      <c r="I22" s="113">
        <f t="shared" si="9"/>
        <v>0</v>
      </c>
      <c r="J22" s="112"/>
      <c r="K22" s="114">
        <f t="shared" si="10"/>
        <v>0</v>
      </c>
      <c r="L22" s="115">
        <f t="shared" si="11"/>
        <v>9523.809524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8.0" customHeight="1" outlineLevel="1">
      <c r="A23" s="143" t="s">
        <v>183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5"/>
      <c r="L23" s="146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 outlineLevel="1">
      <c r="A24" s="109" t="s">
        <v>164</v>
      </c>
      <c r="B24" s="110">
        <v>200000.0</v>
      </c>
      <c r="C24" s="111">
        <v>100000.0</v>
      </c>
      <c r="D24" s="109">
        <v>100000.0</v>
      </c>
      <c r="E24" s="112"/>
      <c r="F24" s="112"/>
      <c r="G24" s="112"/>
      <c r="H24" s="112"/>
      <c r="I24" s="113">
        <f t="shared" ref="I24:I25" si="12">L24*D65</f>
        <v>0</v>
      </c>
      <c r="J24" s="112"/>
      <c r="K24" s="114">
        <f t="shared" ref="K24:K25" si="13">B24-C24-D24-E24-F24-I24+J24-G24-H24</f>
        <v>0</v>
      </c>
      <c r="L24" s="115">
        <f t="shared" ref="L24:L25" si="14">B24/B65</f>
        <v>8000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24" t="s">
        <v>71</v>
      </c>
      <c r="B25" s="110">
        <v>150000.0</v>
      </c>
      <c r="C25" s="119"/>
      <c r="D25" s="117"/>
      <c r="E25" s="112"/>
      <c r="F25" s="112"/>
      <c r="G25" s="117"/>
      <c r="H25" s="112"/>
      <c r="I25" s="113">
        <f t="shared" si="12"/>
        <v>0</v>
      </c>
      <c r="J25" s="112"/>
      <c r="K25" s="114">
        <f t="shared" si="13"/>
        <v>150000</v>
      </c>
      <c r="L25" s="115">
        <f t="shared" si="14"/>
        <v>6250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 outlineLevel="1">
      <c r="A26" s="109"/>
      <c r="B26" s="110"/>
      <c r="C26" s="111"/>
      <c r="D26" s="112"/>
      <c r="E26" s="112"/>
      <c r="F26" s="112"/>
      <c r="G26" s="112"/>
      <c r="H26" s="112"/>
      <c r="I26" s="113"/>
      <c r="J26" s="112"/>
      <c r="K26" s="114"/>
      <c r="L26" s="115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83" t="s">
        <v>192</v>
      </c>
      <c r="B27" s="165">
        <v>80000.0</v>
      </c>
      <c r="C27" s="172">
        <v>80000.0</v>
      </c>
      <c r="D27" s="174"/>
      <c r="E27" s="174"/>
      <c r="F27" s="174"/>
      <c r="G27" s="174"/>
      <c r="H27" s="174"/>
      <c r="I27" s="175">
        <f>L27*D69</f>
        <v>0</v>
      </c>
      <c r="J27" s="174"/>
      <c r="K27" s="121">
        <f>B27-C27-D27-E27-F27-I27+J27-G27-H27</f>
        <v>0</v>
      </c>
      <c r="L27" s="176">
        <f>B27/B69</f>
        <v>3200</v>
      </c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</row>
    <row r="28" ht="15.75" customHeight="1">
      <c r="A28" s="118"/>
      <c r="B28" s="119"/>
      <c r="C28" s="119"/>
      <c r="D28" s="112"/>
      <c r="E28" s="112"/>
      <c r="F28" s="112"/>
      <c r="G28" s="112"/>
      <c r="H28" s="112"/>
      <c r="I28" s="112"/>
      <c r="J28" s="112"/>
      <c r="K28" s="126"/>
      <c r="L28" s="112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>
      <c r="A29" s="118" t="s">
        <v>26</v>
      </c>
      <c r="B29" s="119">
        <f>SUM(B2:B26)</f>
        <v>4096500</v>
      </c>
      <c r="C29" s="119">
        <f>B29+J13+J17</f>
        <v>4125073.763</v>
      </c>
      <c r="D29" s="112"/>
      <c r="E29" s="112"/>
      <c r="F29" s="112"/>
      <c r="G29" s="112"/>
      <c r="H29" s="112"/>
      <c r="I29" s="112"/>
      <c r="J29" s="112"/>
      <c r="K29" s="126">
        <f>SUM(K2:K27)</f>
        <v>1299999.763</v>
      </c>
      <c r="L29" s="112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3"/>
      <c r="L30" s="12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28"/>
      <c r="B32" s="128"/>
      <c r="C32" s="128"/>
      <c r="D32" s="129" t="s">
        <v>110</v>
      </c>
      <c r="E32" s="128"/>
      <c r="F32" s="128"/>
      <c r="G32" s="128"/>
      <c r="H32" s="128"/>
      <c r="I32" s="128"/>
      <c r="J32" s="128"/>
      <c r="K32" s="12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8"/>
      <c r="B33" s="128"/>
      <c r="C33" s="128"/>
      <c r="D33" s="130"/>
      <c r="E33" s="128"/>
      <c r="F33" s="128"/>
      <c r="G33" s="128"/>
      <c r="H33" s="128"/>
      <c r="I33" s="128"/>
      <c r="J33" s="128"/>
      <c r="K33" s="12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28"/>
      <c r="B34" s="128"/>
      <c r="C34" s="128"/>
      <c r="D34" s="128"/>
      <c r="E34" s="128"/>
      <c r="F34" s="130"/>
      <c r="G34" s="128"/>
      <c r="H34" s="128"/>
      <c r="I34" s="128" t="str">
        <f>C3+#REF!+C8+C9+#REF!+#REF!+#REF!+C13+C17+C19+C21+#REF!</f>
        <v>#REF!</v>
      </c>
      <c r="J34" s="128"/>
      <c r="K34" s="12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18" t="s">
        <v>79</v>
      </c>
      <c r="B35" s="166" t="s">
        <v>28</v>
      </c>
      <c r="C35" s="167" t="s">
        <v>29</v>
      </c>
      <c r="D35" s="168" t="s">
        <v>80</v>
      </c>
      <c r="E35" s="118" t="s">
        <v>81</v>
      </c>
      <c r="F35" s="128"/>
      <c r="G35" s="128"/>
      <c r="H35" s="128"/>
      <c r="I35" s="128"/>
      <c r="J35" s="128"/>
      <c r="K35" s="12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09" t="s">
        <v>127</v>
      </c>
      <c r="B36" s="120">
        <v>18.0</v>
      </c>
      <c r="C36" s="115">
        <f t="shared" ref="C36:C37" si="15">B36-D36</f>
        <v>18</v>
      </c>
      <c r="D36" s="115">
        <v>0.0</v>
      </c>
      <c r="E36" s="135">
        <v>45327.0</v>
      </c>
      <c r="F36" s="128"/>
      <c r="G36" s="128"/>
      <c r="H36" s="128"/>
      <c r="I36" s="128"/>
      <c r="J36" s="128"/>
      <c r="K36" s="12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09" t="s">
        <v>128</v>
      </c>
      <c r="B37" s="120">
        <v>18.0</v>
      </c>
      <c r="C37" s="115">
        <f t="shared" si="15"/>
        <v>18</v>
      </c>
      <c r="D37" s="115">
        <v>0.0</v>
      </c>
      <c r="E37" s="135">
        <v>45327.0</v>
      </c>
      <c r="F37" s="128"/>
      <c r="G37" s="128"/>
      <c r="H37" s="128"/>
      <c r="I37" s="128"/>
      <c r="J37" s="128"/>
      <c r="K37" s="12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43" t="s">
        <v>174</v>
      </c>
      <c r="B38" s="144"/>
      <c r="C38" s="144"/>
      <c r="D38" s="144"/>
      <c r="E38" s="169"/>
      <c r="F38" s="128"/>
      <c r="G38" s="128"/>
      <c r="H38" s="128"/>
      <c r="I38" s="128"/>
      <c r="J38" s="128"/>
      <c r="K38" s="12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09" t="s">
        <v>129</v>
      </c>
      <c r="B39" s="120">
        <v>21.0</v>
      </c>
      <c r="C39" s="115">
        <f t="shared" ref="C39:C50" si="16">B39-D39</f>
        <v>21</v>
      </c>
      <c r="D39" s="115">
        <v>0.0</v>
      </c>
      <c r="E39" s="135">
        <v>45327.0</v>
      </c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18" t="s">
        <v>132</v>
      </c>
      <c r="B40" s="120">
        <v>21.0</v>
      </c>
      <c r="C40" s="115">
        <f t="shared" si="16"/>
        <v>21</v>
      </c>
      <c r="D40" s="115">
        <v>0.0</v>
      </c>
      <c r="E40" s="135">
        <v>45327.0</v>
      </c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18" t="s">
        <v>75</v>
      </c>
      <c r="B41" s="120">
        <v>21.0</v>
      </c>
      <c r="C41" s="115">
        <f t="shared" si="16"/>
        <v>21</v>
      </c>
      <c r="D41" s="115">
        <v>0.0</v>
      </c>
      <c r="E41" s="135">
        <v>45327.0</v>
      </c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24" t="s">
        <v>100</v>
      </c>
      <c r="B42" s="120">
        <v>21.0</v>
      </c>
      <c r="C42" s="115">
        <f t="shared" si="16"/>
        <v>21</v>
      </c>
      <c r="D42" s="120">
        <v>0.0</v>
      </c>
      <c r="E42" s="135">
        <v>45297.0</v>
      </c>
      <c r="F42" s="125"/>
      <c r="G42" s="128"/>
      <c r="H42" s="128"/>
      <c r="I42" s="128"/>
      <c r="J42" s="128"/>
      <c r="K42" s="12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47</v>
      </c>
      <c r="B43" s="120">
        <v>21.0</v>
      </c>
      <c r="C43" s="115">
        <f t="shared" si="16"/>
        <v>21</v>
      </c>
      <c r="D43" s="120">
        <v>0.0</v>
      </c>
      <c r="E43" s="135">
        <v>45327.0</v>
      </c>
      <c r="F43" s="138"/>
      <c r="G43" s="128"/>
      <c r="H43" s="128"/>
      <c r="I43" s="128"/>
      <c r="J43" s="128"/>
      <c r="K43" s="12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24" t="s">
        <v>133</v>
      </c>
      <c r="B44" s="120">
        <v>21.0</v>
      </c>
      <c r="C44" s="115">
        <f t="shared" si="16"/>
        <v>21</v>
      </c>
      <c r="D44" s="136">
        <v>0.0</v>
      </c>
      <c r="E44" s="135">
        <v>45327.0</v>
      </c>
      <c r="F44" s="138"/>
      <c r="G44" s="128"/>
      <c r="H44" s="130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175</v>
      </c>
      <c r="B45" s="120">
        <v>10.0</v>
      </c>
      <c r="C45" s="115">
        <f t="shared" si="16"/>
        <v>10</v>
      </c>
      <c r="D45" s="120">
        <v>0.0</v>
      </c>
      <c r="E45" s="135">
        <v>45327.0</v>
      </c>
      <c r="F45" s="130"/>
      <c r="G45" s="128"/>
      <c r="H45" s="128"/>
      <c r="I45" s="128"/>
      <c r="J45" s="128"/>
      <c r="K45" s="12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09" t="s">
        <v>176</v>
      </c>
      <c r="B46" s="120">
        <v>21.0</v>
      </c>
      <c r="C46" s="115">
        <f t="shared" si="16"/>
        <v>21</v>
      </c>
      <c r="D46" s="136">
        <v>0.0</v>
      </c>
      <c r="E46" s="135">
        <v>45297.0</v>
      </c>
      <c r="F46" s="13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177</v>
      </c>
      <c r="B47" s="120">
        <v>10.0</v>
      </c>
      <c r="C47" s="115">
        <f t="shared" si="16"/>
        <v>10</v>
      </c>
      <c r="D47" s="120">
        <v>0.0</v>
      </c>
      <c r="E47" s="135">
        <v>45327.0</v>
      </c>
      <c r="F47" s="138"/>
      <c r="G47" s="116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09" t="s">
        <v>145</v>
      </c>
      <c r="B48" s="120">
        <v>18.0</v>
      </c>
      <c r="C48" s="115">
        <f t="shared" si="16"/>
        <v>18</v>
      </c>
      <c r="D48" s="120">
        <v>0.0</v>
      </c>
      <c r="E48" s="135">
        <v>45327.0</v>
      </c>
      <c r="F48" s="138"/>
      <c r="G48" s="116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162</v>
      </c>
      <c r="B49" s="120">
        <v>18.0</v>
      </c>
      <c r="C49" s="115">
        <f t="shared" si="16"/>
        <v>18</v>
      </c>
      <c r="D49" s="120">
        <v>0.0</v>
      </c>
      <c r="E49" s="135">
        <v>45327.0</v>
      </c>
      <c r="F49" s="138"/>
      <c r="G49" s="116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163</v>
      </c>
      <c r="B50" s="120">
        <v>18.0</v>
      </c>
      <c r="C50" s="115">
        <f t="shared" si="16"/>
        <v>18</v>
      </c>
      <c r="D50" s="120">
        <v>0.0</v>
      </c>
      <c r="E50" s="135">
        <v>45327.0</v>
      </c>
      <c r="F50" s="125"/>
      <c r="G50" s="116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43" t="s">
        <v>180</v>
      </c>
      <c r="B51" s="144"/>
      <c r="C51" s="144"/>
      <c r="D51" s="144"/>
      <c r="E51" s="169"/>
      <c r="F51" s="130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24" t="s">
        <v>115</v>
      </c>
      <c r="B52" s="120">
        <v>25.0</v>
      </c>
      <c r="C52" s="115">
        <f t="shared" ref="C52:C55" si="17">B52-D52</f>
        <v>14</v>
      </c>
      <c r="D52" s="120">
        <v>11.0</v>
      </c>
      <c r="E52" s="135">
        <v>45297.0</v>
      </c>
      <c r="F52" s="130"/>
      <c r="G52" s="128"/>
      <c r="H52" s="128"/>
      <c r="I52" s="128"/>
      <c r="J52" s="128"/>
      <c r="K52" s="12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24" t="s">
        <v>91</v>
      </c>
      <c r="B53" s="120">
        <v>25.0</v>
      </c>
      <c r="C53" s="115">
        <f t="shared" si="17"/>
        <v>25</v>
      </c>
      <c r="D53" s="120">
        <v>0.0</v>
      </c>
      <c r="E53" s="135">
        <v>45297.0</v>
      </c>
      <c r="F53" s="130"/>
      <c r="G53" s="128"/>
      <c r="H53" s="12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190</v>
      </c>
      <c r="B54" s="120">
        <v>25.0</v>
      </c>
      <c r="C54" s="115">
        <f t="shared" si="17"/>
        <v>17</v>
      </c>
      <c r="D54" s="120">
        <v>8.0</v>
      </c>
      <c r="E54" s="135">
        <v>45297.0</v>
      </c>
      <c r="F54" s="130"/>
      <c r="G54" s="128"/>
      <c r="H54" s="12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166</v>
      </c>
      <c r="B55" s="120">
        <v>25.0</v>
      </c>
      <c r="C55" s="115">
        <f t="shared" si="17"/>
        <v>25</v>
      </c>
      <c r="D55" s="120">
        <v>0.0</v>
      </c>
      <c r="E55" s="135">
        <v>45297.0</v>
      </c>
      <c r="F55" s="130"/>
      <c r="G55" s="128"/>
      <c r="H55" s="12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/>
      <c r="B56" s="120"/>
      <c r="C56" s="115"/>
      <c r="D56" s="136"/>
      <c r="E56" s="135"/>
      <c r="F56" s="130"/>
      <c r="G56" s="128"/>
      <c r="H56" s="12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186</v>
      </c>
      <c r="B57" s="120">
        <v>25.0</v>
      </c>
      <c r="C57" s="115">
        <f>B57-D57</f>
        <v>20</v>
      </c>
      <c r="D57" s="120">
        <v>5.0</v>
      </c>
      <c r="E57" s="135">
        <v>45297.0</v>
      </c>
      <c r="F57" s="130"/>
      <c r="G57" s="128"/>
      <c r="H57" s="128"/>
      <c r="I57" s="128"/>
      <c r="J57" s="128"/>
      <c r="K57" s="12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43" t="s">
        <v>182</v>
      </c>
      <c r="B58" s="144"/>
      <c r="C58" s="144"/>
      <c r="D58" s="144"/>
      <c r="E58" s="169"/>
      <c r="F58" s="130"/>
      <c r="G58" s="128"/>
      <c r="H58" s="12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18" t="s">
        <v>18</v>
      </c>
      <c r="B59" s="120">
        <v>24.0</v>
      </c>
      <c r="C59" s="115">
        <f t="shared" ref="C59:C63" si="18">B59-D59</f>
        <v>24</v>
      </c>
      <c r="D59" s="136">
        <v>0.0</v>
      </c>
      <c r="E59" s="135">
        <v>45297.0</v>
      </c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09" t="s">
        <v>195</v>
      </c>
      <c r="B60" s="120">
        <v>21.0</v>
      </c>
      <c r="C60" s="115">
        <f t="shared" si="18"/>
        <v>21</v>
      </c>
      <c r="D60" s="120">
        <v>0.0</v>
      </c>
      <c r="E60" s="135">
        <v>45297.0</v>
      </c>
      <c r="F60" s="125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24" t="s">
        <v>39</v>
      </c>
      <c r="B61" s="120">
        <v>21.0</v>
      </c>
      <c r="C61" s="115">
        <f t="shared" si="18"/>
        <v>21</v>
      </c>
      <c r="D61" s="136">
        <v>0.0</v>
      </c>
      <c r="E61" s="135">
        <v>45327.0</v>
      </c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24" t="s">
        <v>67</v>
      </c>
      <c r="B62" s="120">
        <v>21.0</v>
      </c>
      <c r="C62" s="115">
        <f t="shared" si="18"/>
        <v>21</v>
      </c>
      <c r="D62" s="136">
        <v>0.0</v>
      </c>
      <c r="E62" s="135">
        <v>45327.0</v>
      </c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18" t="s">
        <v>41</v>
      </c>
      <c r="B63" s="120">
        <v>21.0</v>
      </c>
      <c r="C63" s="115">
        <f t="shared" si="18"/>
        <v>21</v>
      </c>
      <c r="D63" s="136">
        <v>0.0</v>
      </c>
      <c r="E63" s="135">
        <v>45327.0</v>
      </c>
      <c r="F63" s="130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70" t="s">
        <v>183</v>
      </c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9" t="s">
        <v>164</v>
      </c>
      <c r="B65" s="120">
        <v>25.0</v>
      </c>
      <c r="C65" s="115">
        <f t="shared" ref="C65:C69" si="19">B65-D65</f>
        <v>25</v>
      </c>
      <c r="D65" s="120">
        <v>0.0</v>
      </c>
      <c r="E65" s="135">
        <v>45297.0</v>
      </c>
      <c r="F65" s="125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24" t="s">
        <v>71</v>
      </c>
      <c r="B66" s="120">
        <v>24.0</v>
      </c>
      <c r="C66" s="115">
        <f t="shared" si="19"/>
        <v>24</v>
      </c>
      <c r="D66" s="120">
        <v>0.0</v>
      </c>
      <c r="E66" s="135">
        <v>45327.0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70</v>
      </c>
      <c r="B67" s="120">
        <v>24.0</v>
      </c>
      <c r="C67" s="115">
        <f t="shared" si="19"/>
        <v>24</v>
      </c>
      <c r="D67" s="120">
        <v>0.0</v>
      </c>
      <c r="E67" s="135">
        <v>45327.0</v>
      </c>
      <c r="F67" s="130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9" t="s">
        <v>191</v>
      </c>
      <c r="B68" s="120">
        <v>25.0</v>
      </c>
      <c r="C68" s="115">
        <f t="shared" si="19"/>
        <v>25</v>
      </c>
      <c r="D68" s="120">
        <v>0.0</v>
      </c>
      <c r="E68" s="135">
        <v>45327.0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193</v>
      </c>
      <c r="B69" s="120">
        <v>25.0</v>
      </c>
      <c r="C69" s="115">
        <f t="shared" si="19"/>
        <v>25</v>
      </c>
      <c r="D69" s="120">
        <v>0.0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39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</row>
    <row r="998">
      <c r="A998" s="139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</row>
    <row r="999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</sheetData>
  <mergeCells count="8">
    <mergeCell ref="A4:J4"/>
    <mergeCell ref="A12:J12"/>
    <mergeCell ref="A18:J18"/>
    <mergeCell ref="A23:J23"/>
    <mergeCell ref="A38:E38"/>
    <mergeCell ref="A51:E51"/>
    <mergeCell ref="A58:E58"/>
    <mergeCell ref="A64:E6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385000.0</v>
      </c>
      <c r="C2" s="111">
        <v>250000.0</v>
      </c>
      <c r="D2" s="109">
        <v>35000.0</v>
      </c>
      <c r="E2" s="109">
        <v>100000.0</v>
      </c>
      <c r="F2" s="117"/>
      <c r="G2" s="117"/>
      <c r="H2" s="112"/>
      <c r="I2" s="113">
        <f t="shared" ref="I2:I3" si="1">L2*D38</f>
        <v>0</v>
      </c>
      <c r="J2" s="112"/>
      <c r="K2" s="114">
        <f>B2-C2-D2-E2-F2-I2+J2-G2-H2</f>
        <v>0</v>
      </c>
      <c r="L2" s="115">
        <f t="shared" ref="L2:L3" si="2">B2/B38</f>
        <v>21388.88889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285000.0</v>
      </c>
      <c r="C3" s="111">
        <v>250000.0</v>
      </c>
      <c r="D3" s="109">
        <v>35000.0</v>
      </c>
      <c r="E3" s="117"/>
      <c r="F3" s="117"/>
      <c r="G3" s="117"/>
      <c r="H3" s="112"/>
      <c r="I3" s="113">
        <f t="shared" si="1"/>
        <v>0</v>
      </c>
      <c r="J3" s="112"/>
      <c r="K3" s="114">
        <f>B3-C3-D3-E3-F3-I3+J3-G3</f>
        <v>0</v>
      </c>
      <c r="L3" s="115">
        <f t="shared" si="2"/>
        <v>15833.33333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250000.0</v>
      </c>
      <c r="C5" s="111">
        <v>100000.0</v>
      </c>
      <c r="D5" s="109">
        <v>100000.0</v>
      </c>
      <c r="E5" s="109">
        <v>35000.0</v>
      </c>
      <c r="F5" s="109">
        <v>15000.0</v>
      </c>
      <c r="G5" s="117"/>
      <c r="H5" s="112"/>
      <c r="I5" s="113">
        <f t="shared" ref="I5:I6" si="3">L5*D41</f>
        <v>0</v>
      </c>
      <c r="J5" s="112"/>
      <c r="K5" s="114">
        <f>B5-C5-D5-E5-F5-I5+J5-G5-H5</f>
        <v>0</v>
      </c>
      <c r="L5" s="115">
        <f t="shared" ref="L5:L6" si="4">B5/B41</f>
        <v>11904.7619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71" t="s">
        <v>132</v>
      </c>
      <c r="B6" s="165">
        <v>132000.0</v>
      </c>
      <c r="C6" s="172">
        <v>132000.0</v>
      </c>
      <c r="D6" s="173"/>
      <c r="E6" s="173"/>
      <c r="F6" s="173"/>
      <c r="G6" s="173"/>
      <c r="H6" s="174"/>
      <c r="I6" s="175">
        <f t="shared" si="3"/>
        <v>0</v>
      </c>
      <c r="J6" s="174"/>
      <c r="K6" s="121">
        <f>B6-C6-D6-E6-F6-I6+J6-G6</f>
        <v>0</v>
      </c>
      <c r="L6" s="176">
        <f t="shared" si="4"/>
        <v>6285.714286</v>
      </c>
      <c r="M6" s="177" t="s">
        <v>131</v>
      </c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</row>
    <row r="7" ht="15.75" customHeight="1" outlineLevel="1">
      <c r="A7" s="183" t="s">
        <v>34</v>
      </c>
      <c r="B7" s="165">
        <v>219000.0</v>
      </c>
      <c r="C7" s="172">
        <v>219000.0</v>
      </c>
      <c r="D7" s="183"/>
      <c r="E7" s="174"/>
      <c r="F7" s="174"/>
      <c r="G7" s="173"/>
      <c r="H7" s="174"/>
      <c r="I7" s="175">
        <f>L7*D47</f>
        <v>0</v>
      </c>
      <c r="J7" s="174"/>
      <c r="K7" s="121">
        <f>B7-C7-D7-E7-F7-I7+J7-G7-H7</f>
        <v>0</v>
      </c>
      <c r="L7" s="176">
        <f>B7/B47</f>
        <v>21900</v>
      </c>
      <c r="M7" s="177" t="s">
        <v>140</v>
      </c>
      <c r="N7" s="177" t="s">
        <v>142</v>
      </c>
      <c r="O7" s="177" t="s">
        <v>143</v>
      </c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 ht="16.5" customHeight="1" outlineLevel="1">
      <c r="A8" s="183" t="s">
        <v>196</v>
      </c>
      <c r="B8" s="165">
        <v>99000.0</v>
      </c>
      <c r="C8" s="172">
        <v>99000.0</v>
      </c>
      <c r="D8" s="174"/>
      <c r="E8" s="174"/>
      <c r="F8" s="174"/>
      <c r="G8" s="174"/>
      <c r="H8" s="174"/>
      <c r="I8" s="175">
        <f t="shared" ref="I8:I9" si="5">L8*D45</f>
        <v>0</v>
      </c>
      <c r="J8" s="174"/>
      <c r="K8" s="121">
        <f>B8-C8-D8-E8-F8-I8+J8-G8</f>
        <v>0</v>
      </c>
      <c r="L8" s="176">
        <f t="shared" ref="L8:L9" si="6">B8/B45</f>
        <v>4714.285714</v>
      </c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</row>
    <row r="9" ht="20.25" customHeight="1" outlineLevel="1">
      <c r="A9" s="182" t="s">
        <v>133</v>
      </c>
      <c r="B9" s="165"/>
      <c r="C9" s="172"/>
      <c r="D9" s="174"/>
      <c r="E9" s="174"/>
      <c r="F9" s="174"/>
      <c r="G9" s="173"/>
      <c r="H9" s="174"/>
      <c r="I9" s="175">
        <f t="shared" si="5"/>
        <v>0</v>
      </c>
      <c r="J9" s="174"/>
      <c r="K9" s="165">
        <v>0.0</v>
      </c>
      <c r="L9" s="176">
        <f t="shared" si="6"/>
        <v>0</v>
      </c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 ht="15.75" customHeight="1" outlineLevel="1">
      <c r="A10" s="183" t="s">
        <v>176</v>
      </c>
      <c r="B10" s="165">
        <v>416500.0</v>
      </c>
      <c r="C10" s="172">
        <v>416500.0</v>
      </c>
      <c r="D10" s="174"/>
      <c r="E10" s="174"/>
      <c r="F10" s="174"/>
      <c r="G10" s="173"/>
      <c r="H10" s="174"/>
      <c r="I10" s="175">
        <f>L10*D48</f>
        <v>0</v>
      </c>
      <c r="J10" s="174"/>
      <c r="K10" s="121">
        <f t="shared" ref="K10:K11" si="7">B10-C10-D10-E10-F10-I10+J10-G10-H10</f>
        <v>0</v>
      </c>
      <c r="L10" s="176">
        <f>B10/B48</f>
        <v>19833.33333</v>
      </c>
      <c r="M10" s="177" t="s">
        <v>140</v>
      </c>
      <c r="N10" s="177" t="s">
        <v>142</v>
      </c>
      <c r="O10" s="177" t="s">
        <v>143</v>
      </c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 ht="15.75" customHeight="1">
      <c r="A11" s="182" t="s">
        <v>91</v>
      </c>
      <c r="B11" s="165">
        <v>300000.0</v>
      </c>
      <c r="C11" s="172">
        <v>250000.0</v>
      </c>
      <c r="D11" s="183">
        <v>38462.0</v>
      </c>
      <c r="E11" s="174"/>
      <c r="F11" s="174"/>
      <c r="G11" s="173"/>
      <c r="H11" s="183"/>
      <c r="I11" s="175">
        <f>L11*D55</f>
        <v>11538.46154</v>
      </c>
      <c r="J11" s="165"/>
      <c r="K11" s="121">
        <f t="shared" si="7"/>
        <v>-0.4615384615</v>
      </c>
      <c r="L11" s="176">
        <f>B11/B55</f>
        <v>11538.46154</v>
      </c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 ht="15.75" customHeight="1" outlineLevel="1">
      <c r="A12" s="183" t="s">
        <v>194</v>
      </c>
      <c r="B12" s="165">
        <v>75000.0</v>
      </c>
      <c r="C12" s="172">
        <v>75000.0</v>
      </c>
      <c r="D12" s="174"/>
      <c r="E12" s="174"/>
      <c r="F12" s="174"/>
      <c r="G12" s="173"/>
      <c r="H12" s="174"/>
      <c r="I12" s="175">
        <f>L12*D50</f>
        <v>0</v>
      </c>
      <c r="J12" s="174"/>
      <c r="K12" s="121">
        <f>B12-C12-D12-E12-F12-I12+J12-G12</f>
        <v>0</v>
      </c>
      <c r="L12" s="176">
        <f>B12/B50</f>
        <v>4166.666667</v>
      </c>
      <c r="M12" s="177" t="s">
        <v>140</v>
      </c>
      <c r="N12" s="177" t="s">
        <v>142</v>
      </c>
      <c r="O12" s="177" t="s">
        <v>143</v>
      </c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 ht="15.75" customHeight="1" outlineLevel="1">
      <c r="A13" s="109"/>
      <c r="B13" s="110"/>
      <c r="C13" s="111"/>
      <c r="D13" s="112"/>
      <c r="E13" s="112"/>
      <c r="F13" s="112"/>
      <c r="G13" s="117"/>
      <c r="H13" s="112"/>
      <c r="I13" s="113">
        <f>L13*D52</f>
        <v>0</v>
      </c>
      <c r="J13" s="112"/>
      <c r="K13" s="114">
        <f>B13-C13-D13-E13-F13-I13+J13-G13-H13</f>
        <v>0</v>
      </c>
      <c r="L13" s="115">
        <f>B13/B52</f>
        <v>0</v>
      </c>
      <c r="M13" s="116" t="s">
        <v>140</v>
      </c>
      <c r="N13" s="116" t="s">
        <v>142</v>
      </c>
      <c r="O13" s="116" t="s">
        <v>143</v>
      </c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6.5" customHeight="1">
      <c r="A14" s="143" t="s">
        <v>180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5"/>
      <c r="L14" s="146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>
      <c r="A15" s="124" t="s">
        <v>115</v>
      </c>
      <c r="B15" s="110">
        <v>100000.0</v>
      </c>
      <c r="C15" s="111">
        <v>150000.0</v>
      </c>
      <c r="D15" s="109">
        <v>50000.0</v>
      </c>
      <c r="E15" s="109">
        <v>34372.0</v>
      </c>
      <c r="F15" s="112"/>
      <c r="G15" s="117"/>
      <c r="H15" s="112"/>
      <c r="I15" s="113"/>
      <c r="J15" s="126">
        <f>IFERROR(__xludf.DUMMYFUNCTION("IMPORTRANGE(""https://docs.google.com/spreadsheets/d/1JJd44_6b1hsmD6e8liei_zzkkh-GYab6gE4K23IJPVI/edit?gid=0#gid=0&amp;range=J95"",""'Лист1'!K367"")"),134372.47500000062)</f>
        <v>134372.475</v>
      </c>
      <c r="K15" s="114">
        <f t="shared" ref="K15:K17" si="8">B15-C15-D15-E15-F15-I15+J15-G15-H15</f>
        <v>0.4750000006</v>
      </c>
      <c r="L15" s="115">
        <f>B15/B54</f>
        <v>3846.153846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>
      <c r="A16" s="109" t="s">
        <v>190</v>
      </c>
      <c r="B16" s="110">
        <v>0.0</v>
      </c>
      <c r="C16" s="119"/>
      <c r="D16" s="112"/>
      <c r="E16" s="112"/>
      <c r="F16" s="112"/>
      <c r="G16" s="117"/>
      <c r="H16" s="109"/>
      <c r="I16" s="113">
        <f t="shared" ref="I16:I17" si="9">L16*D56</f>
        <v>0</v>
      </c>
      <c r="J16" s="164">
        <v>0.0</v>
      </c>
      <c r="K16" s="114">
        <f t="shared" si="8"/>
        <v>0</v>
      </c>
      <c r="L16" s="115">
        <f t="shared" ref="L16:L17" si="10">B16/B56</f>
        <v>0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>
      <c r="A17" s="109" t="s">
        <v>181</v>
      </c>
      <c r="B17" s="111">
        <v>100000.0</v>
      </c>
      <c r="C17" s="111">
        <v>100000.0</v>
      </c>
      <c r="D17" s="109">
        <v>6038.0</v>
      </c>
      <c r="E17" s="109">
        <v>35000.0</v>
      </c>
      <c r="F17" s="109">
        <f>255000+18524</f>
        <v>273524</v>
      </c>
      <c r="G17" s="112"/>
      <c r="H17" s="109"/>
      <c r="I17" s="113">
        <f t="shared" si="9"/>
        <v>0</v>
      </c>
      <c r="J17" s="126">
        <f>IFERROR(__xludf.DUMMYFUNCTION("IMPORTRANGE(""https://docs.google.com/spreadsheets/d/1JJd44_6b1hsmD6e8liei_zzkkh-GYab6gE4K23IJPVI/edit?gid=0#gid=0&amp;range=J95"",""'Лист1'!W357"")+18000"),314561.925)</f>
        <v>314561.925</v>
      </c>
      <c r="K17" s="114">
        <f t="shared" si="8"/>
        <v>-0.07500000001</v>
      </c>
      <c r="L17" s="115">
        <f t="shared" si="10"/>
        <v>3846.153846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>
      <c r="A18" s="109"/>
      <c r="B18" s="111"/>
      <c r="C18" s="119"/>
      <c r="D18" s="112"/>
      <c r="E18" s="112"/>
      <c r="F18" s="112"/>
      <c r="G18" s="112"/>
      <c r="H18" s="112"/>
      <c r="I18" s="113"/>
      <c r="J18" s="126" t="str">
        <f>IFERROR(__xludf.DUMMYFUNCTION("IMPORTRANGE(""https://docs.google.com/spreadsheets/d/1JJd44_6b1hsmD6e8liei_zzkkh-GYab6gE4K23IJPVI/edit?gid=0#gid=0&amp;range=J95"",""'Лист1'!V358"")"),"")</f>
        <v/>
      </c>
      <c r="K18" s="110">
        <v>0.0</v>
      </c>
      <c r="L18" s="115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>
      <c r="A19" s="109" t="s">
        <v>186</v>
      </c>
      <c r="B19" s="111"/>
      <c r="C19" s="111"/>
      <c r="D19" s="112"/>
      <c r="E19" s="112"/>
      <c r="F19" s="112"/>
      <c r="G19" s="109"/>
      <c r="H19" s="112"/>
      <c r="I19" s="113">
        <f>L19*D59</f>
        <v>0</v>
      </c>
      <c r="J19" s="126" t="str">
        <f>IFERROR(__xludf.DUMMYFUNCTION("IMPORTRANGE(""https://docs.google.com/spreadsheets/d/1JJd44_6b1hsmD6e8liei_zzkkh-GYab6gE4K23IJPVI/edit?gid=0#gid=0&amp;range=J95"",""'Лист1'!BF331"")"),"")</f>
        <v/>
      </c>
      <c r="K19" s="114">
        <f>B19-C19-D19-E19-F19-I19+J19-G19-H19</f>
        <v>0</v>
      </c>
      <c r="L19" s="115">
        <f>B19/B59</f>
        <v>0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43" t="s">
        <v>182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18" t="s">
        <v>18</v>
      </c>
      <c r="B21" s="110">
        <v>0.0</v>
      </c>
      <c r="C21" s="111"/>
      <c r="D21" s="112"/>
      <c r="E21" s="112"/>
      <c r="F21" s="112"/>
      <c r="G21" s="117"/>
      <c r="H21" s="112"/>
      <c r="I21" s="113">
        <f t="shared" ref="I21:I24" si="11">L21*D61</f>
        <v>0</v>
      </c>
      <c r="J21" s="114"/>
      <c r="K21" s="114">
        <f t="shared" ref="K21:K24" si="12">B21-C21-D21-E21-F21-I21+J21-G21-H21</f>
        <v>0</v>
      </c>
      <c r="L21" s="115">
        <f t="shared" ref="L21:L24" si="13">B21/B61</f>
        <v>0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187</v>
      </c>
      <c r="B22" s="122"/>
      <c r="C22" s="119"/>
      <c r="D22" s="112"/>
      <c r="E22" s="112"/>
      <c r="F22" s="112"/>
      <c r="G22" s="117"/>
      <c r="H22" s="112"/>
      <c r="I22" s="113">
        <f t="shared" si="11"/>
        <v>0</v>
      </c>
      <c r="J22" s="119"/>
      <c r="K22" s="114">
        <f t="shared" si="12"/>
        <v>0</v>
      </c>
      <c r="L22" s="115">
        <f t="shared" si="13"/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 outlineLevel="1">
      <c r="A23" s="124" t="s">
        <v>39</v>
      </c>
      <c r="B23" s="122"/>
      <c r="C23" s="111"/>
      <c r="D23" s="112"/>
      <c r="E23" s="112"/>
      <c r="F23" s="112"/>
      <c r="G23" s="117"/>
      <c r="H23" s="112"/>
      <c r="I23" s="113">
        <f t="shared" si="11"/>
        <v>0</v>
      </c>
      <c r="J23" s="112"/>
      <c r="K23" s="114">
        <f t="shared" si="12"/>
        <v>0</v>
      </c>
      <c r="L23" s="115">
        <f t="shared" si="13"/>
        <v>0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 outlineLevel="1">
      <c r="A24" s="124" t="s">
        <v>67</v>
      </c>
      <c r="B24" s="110">
        <v>0.0</v>
      </c>
      <c r="C24" s="119"/>
      <c r="D24" s="112"/>
      <c r="E24" s="112"/>
      <c r="F24" s="112"/>
      <c r="G24" s="112"/>
      <c r="H24" s="112"/>
      <c r="I24" s="113">
        <f t="shared" si="11"/>
        <v>0</v>
      </c>
      <c r="J24" s="112"/>
      <c r="K24" s="114">
        <f t="shared" si="12"/>
        <v>0</v>
      </c>
      <c r="L24" s="115">
        <f t="shared" si="13"/>
        <v>0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8.0" customHeight="1" outlineLevel="1">
      <c r="A25" s="143" t="s">
        <v>183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5"/>
      <c r="L25" s="146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 outlineLevel="1">
      <c r="A26" s="109" t="s">
        <v>164</v>
      </c>
      <c r="B26" s="110">
        <v>200000.0</v>
      </c>
      <c r="C26" s="111">
        <v>15000.0</v>
      </c>
      <c r="D26" s="109">
        <v>170000.0</v>
      </c>
      <c r="E26" s="112"/>
      <c r="F26" s="112"/>
      <c r="G26" s="112"/>
      <c r="H26" s="112"/>
      <c r="I26" s="113">
        <f t="shared" ref="I26:I27" si="14">L26*D67</f>
        <v>15384.61538</v>
      </c>
      <c r="J26" s="112"/>
      <c r="K26" s="114">
        <f t="shared" ref="K26:K27" si="15">B26-C26-D26-E26-F26-I26+J26-G26-H26</f>
        <v>-384.6153846</v>
      </c>
      <c r="L26" s="115">
        <f t="shared" ref="L26:L27" si="16">B26/B67</f>
        <v>7692.307692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24" t="s">
        <v>71</v>
      </c>
      <c r="B27" s="110">
        <v>150000.0</v>
      </c>
      <c r="C27" s="119"/>
      <c r="D27" s="117"/>
      <c r="E27" s="112"/>
      <c r="F27" s="112"/>
      <c r="G27" s="117"/>
      <c r="H27" s="112"/>
      <c r="I27" s="113">
        <f t="shared" si="14"/>
        <v>0</v>
      </c>
      <c r="J27" s="112"/>
      <c r="K27" s="114">
        <f t="shared" si="15"/>
        <v>150000</v>
      </c>
      <c r="L27" s="115">
        <f t="shared" si="16"/>
        <v>5769.230769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 outlineLevel="1">
      <c r="A28" s="109"/>
      <c r="B28" s="110"/>
      <c r="C28" s="111"/>
      <c r="D28" s="112"/>
      <c r="E28" s="112"/>
      <c r="F28" s="112"/>
      <c r="G28" s="112"/>
      <c r="H28" s="112"/>
      <c r="I28" s="113"/>
      <c r="J28" s="112"/>
      <c r="K28" s="114"/>
      <c r="L28" s="115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>
      <c r="A29" s="109" t="s">
        <v>192</v>
      </c>
      <c r="B29" s="110">
        <v>80000.0</v>
      </c>
      <c r="C29" s="111">
        <v>73600.0</v>
      </c>
      <c r="D29" s="112"/>
      <c r="E29" s="112"/>
      <c r="F29" s="112"/>
      <c r="G29" s="112"/>
      <c r="H29" s="112"/>
      <c r="I29" s="113">
        <f>L29*D71</f>
        <v>6400</v>
      </c>
      <c r="J29" s="112"/>
      <c r="K29" s="114">
        <f>B29-C29-D29-E29-F29-I29+J29-G29-H29</f>
        <v>0</v>
      </c>
      <c r="L29" s="115">
        <f>B29/B71</f>
        <v>3200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>
      <c r="A30" s="118"/>
      <c r="B30" s="119"/>
      <c r="C30" s="119"/>
      <c r="D30" s="112"/>
      <c r="E30" s="112"/>
      <c r="F30" s="112"/>
      <c r="G30" s="112"/>
      <c r="H30" s="112"/>
      <c r="I30" s="112"/>
      <c r="J30" s="112"/>
      <c r="K30" s="126"/>
      <c r="L30" s="112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118" t="s">
        <v>26</v>
      </c>
      <c r="B31" s="119">
        <f>SUM(B2:B28)</f>
        <v>2711500</v>
      </c>
      <c r="C31" s="119">
        <f>B31+J15+J17</f>
        <v>3160434.4</v>
      </c>
      <c r="D31" s="112"/>
      <c r="E31" s="112"/>
      <c r="F31" s="112"/>
      <c r="G31" s="112"/>
      <c r="H31" s="112"/>
      <c r="I31" s="112"/>
      <c r="J31" s="112"/>
      <c r="K31" s="126">
        <f>SUM(K2:K29)</f>
        <v>149615.3231</v>
      </c>
      <c r="L31" s="112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3"/>
      <c r="L32" s="12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28"/>
      <c r="B34" s="128"/>
      <c r="C34" s="128"/>
      <c r="D34" s="129" t="s">
        <v>110</v>
      </c>
      <c r="E34" s="128"/>
      <c r="F34" s="128"/>
      <c r="G34" s="128"/>
      <c r="H34" s="128"/>
      <c r="I34" s="128"/>
      <c r="J34" s="128"/>
      <c r="K34" s="12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28"/>
      <c r="B35" s="128"/>
      <c r="C35" s="128"/>
      <c r="D35" s="130"/>
      <c r="E35" s="128"/>
      <c r="F35" s="128"/>
      <c r="G35" s="128"/>
      <c r="H35" s="128"/>
      <c r="I35" s="128"/>
      <c r="J35" s="128"/>
      <c r="K35" s="12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28"/>
      <c r="B36" s="128"/>
      <c r="C36" s="128"/>
      <c r="D36" s="128"/>
      <c r="E36" s="128"/>
      <c r="F36" s="130"/>
      <c r="G36" s="128"/>
      <c r="H36" s="128"/>
      <c r="I36" s="128" t="str">
        <f>C3+#REF!+C9+C10+#REF!+C12+#REF!+C15+C19+C21+C23+#REF!</f>
        <v>#REF!</v>
      </c>
      <c r="J36" s="128"/>
      <c r="K36" s="12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79</v>
      </c>
      <c r="B37" s="166" t="s">
        <v>28</v>
      </c>
      <c r="C37" s="167" t="s">
        <v>29</v>
      </c>
      <c r="D37" s="168" t="s">
        <v>80</v>
      </c>
      <c r="E37" s="118" t="s">
        <v>81</v>
      </c>
      <c r="F37" s="128"/>
      <c r="G37" s="128"/>
      <c r="H37" s="128"/>
      <c r="I37" s="128"/>
      <c r="J37" s="128"/>
      <c r="K37" s="12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09" t="s">
        <v>127</v>
      </c>
      <c r="B38" s="120">
        <v>18.0</v>
      </c>
      <c r="C38" s="115">
        <f t="shared" ref="C38:C39" si="17">B38-D38</f>
        <v>18</v>
      </c>
      <c r="D38" s="115">
        <v>0.0</v>
      </c>
      <c r="E38" s="135">
        <v>45327.0</v>
      </c>
      <c r="F38" s="128"/>
      <c r="G38" s="128"/>
      <c r="H38" s="128"/>
      <c r="I38" s="128"/>
      <c r="J38" s="128"/>
      <c r="K38" s="12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09" t="s">
        <v>128</v>
      </c>
      <c r="B39" s="120">
        <v>18.0</v>
      </c>
      <c r="C39" s="115">
        <f t="shared" si="17"/>
        <v>18</v>
      </c>
      <c r="D39" s="115">
        <v>0.0</v>
      </c>
      <c r="E39" s="135">
        <v>45327.0</v>
      </c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43" t="s">
        <v>174</v>
      </c>
      <c r="B40" s="144"/>
      <c r="C40" s="144"/>
      <c r="D40" s="144"/>
      <c r="E40" s="169"/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09" t="s">
        <v>129</v>
      </c>
      <c r="B41" s="120">
        <v>21.0</v>
      </c>
      <c r="C41" s="115">
        <f t="shared" ref="C41:C52" si="18">B41-D41</f>
        <v>21</v>
      </c>
      <c r="D41" s="115">
        <v>0.0</v>
      </c>
      <c r="E41" s="135">
        <v>45327.0</v>
      </c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18" t="s">
        <v>132</v>
      </c>
      <c r="B42" s="120">
        <v>21.0</v>
      </c>
      <c r="C42" s="115">
        <f t="shared" si="18"/>
        <v>21</v>
      </c>
      <c r="D42" s="115">
        <v>0.0</v>
      </c>
      <c r="E42" s="135">
        <v>45327.0</v>
      </c>
      <c r="F42" s="128"/>
      <c r="G42" s="128"/>
      <c r="H42" s="128"/>
      <c r="I42" s="128"/>
      <c r="J42" s="128"/>
      <c r="K42" s="12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75</v>
      </c>
      <c r="B43" s="120">
        <v>21.0</v>
      </c>
      <c r="C43" s="115">
        <f t="shared" si="18"/>
        <v>21</v>
      </c>
      <c r="D43" s="115">
        <v>0.0</v>
      </c>
      <c r="E43" s="135">
        <v>45327.0</v>
      </c>
      <c r="F43" s="128"/>
      <c r="G43" s="128"/>
      <c r="H43" s="128"/>
      <c r="I43" s="128"/>
      <c r="J43" s="128"/>
      <c r="K43" s="12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24" t="s">
        <v>100</v>
      </c>
      <c r="B44" s="120">
        <v>21.0</v>
      </c>
      <c r="C44" s="115">
        <f t="shared" si="18"/>
        <v>21</v>
      </c>
      <c r="D44" s="120">
        <v>0.0</v>
      </c>
      <c r="E44" s="135">
        <v>45297.0</v>
      </c>
      <c r="F44" s="125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18" t="s">
        <v>47</v>
      </c>
      <c r="B45" s="120">
        <v>21.0</v>
      </c>
      <c r="C45" s="115">
        <f t="shared" si="18"/>
        <v>21</v>
      </c>
      <c r="D45" s="120">
        <v>0.0</v>
      </c>
      <c r="E45" s="135">
        <v>45327.0</v>
      </c>
      <c r="F45" s="138"/>
      <c r="G45" s="128"/>
      <c r="H45" s="128"/>
      <c r="I45" s="128"/>
      <c r="J45" s="128"/>
      <c r="K45" s="12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24" t="s">
        <v>133</v>
      </c>
      <c r="B46" s="120">
        <v>26.0</v>
      </c>
      <c r="C46" s="115">
        <f t="shared" si="18"/>
        <v>12</v>
      </c>
      <c r="D46" s="120">
        <v>14.0</v>
      </c>
      <c r="E46" s="135">
        <v>45327.0</v>
      </c>
      <c r="F46" s="138"/>
      <c r="G46" s="128"/>
      <c r="H46" s="130"/>
      <c r="I46" s="128"/>
      <c r="J46" s="128"/>
      <c r="K46" s="12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175</v>
      </c>
      <c r="B47" s="120">
        <v>10.0</v>
      </c>
      <c r="C47" s="115">
        <f t="shared" si="18"/>
        <v>10</v>
      </c>
      <c r="D47" s="120">
        <v>0.0</v>
      </c>
      <c r="E47" s="135">
        <v>45327.0</v>
      </c>
      <c r="F47" s="130"/>
      <c r="G47" s="128"/>
      <c r="H47" s="128"/>
      <c r="I47" s="128"/>
      <c r="J47" s="128"/>
      <c r="K47" s="12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09" t="s">
        <v>176</v>
      </c>
      <c r="B48" s="120">
        <v>21.0</v>
      </c>
      <c r="C48" s="115">
        <f t="shared" si="18"/>
        <v>21</v>
      </c>
      <c r="D48" s="136">
        <v>0.0</v>
      </c>
      <c r="E48" s="135">
        <v>45297.0</v>
      </c>
      <c r="F48" s="13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177</v>
      </c>
      <c r="B49" s="120">
        <v>10.0</v>
      </c>
      <c r="C49" s="115">
        <f t="shared" si="18"/>
        <v>10</v>
      </c>
      <c r="D49" s="120">
        <v>0.0</v>
      </c>
      <c r="E49" s="135">
        <v>45327.0</v>
      </c>
      <c r="F49" s="138"/>
      <c r="G49" s="116"/>
      <c r="H49" s="108"/>
      <c r="I49" s="108"/>
      <c r="J49" s="108"/>
      <c r="K49" s="108"/>
      <c r="L49" s="123">
        <f>K6+K7+K10+K11+K12+K29+K5+K8</f>
        <v>-0.4615384615</v>
      </c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145</v>
      </c>
      <c r="B50" s="120">
        <v>18.0</v>
      </c>
      <c r="C50" s="115">
        <f t="shared" si="18"/>
        <v>18</v>
      </c>
      <c r="D50" s="120">
        <v>0.0</v>
      </c>
      <c r="E50" s="135">
        <v>45327.0</v>
      </c>
      <c r="F50" s="138"/>
      <c r="G50" s="125">
        <v>260.0</v>
      </c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162</v>
      </c>
      <c r="B51" s="120">
        <v>18.0</v>
      </c>
      <c r="C51" s="115">
        <f t="shared" si="18"/>
        <v>18</v>
      </c>
      <c r="D51" s="120">
        <v>0.0</v>
      </c>
      <c r="E51" s="135">
        <v>45327.0</v>
      </c>
      <c r="F51" s="138"/>
      <c r="G51" s="125">
        <v>146.0</v>
      </c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163</v>
      </c>
      <c r="B52" s="120">
        <v>18.0</v>
      </c>
      <c r="C52" s="115">
        <f t="shared" si="18"/>
        <v>18</v>
      </c>
      <c r="D52" s="120">
        <v>0.0</v>
      </c>
      <c r="E52" s="135">
        <v>45327.0</v>
      </c>
      <c r="F52" s="125"/>
      <c r="G52" s="116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43" t="s">
        <v>180</v>
      </c>
      <c r="B53" s="144"/>
      <c r="C53" s="144"/>
      <c r="D53" s="144"/>
      <c r="E53" s="169"/>
      <c r="F53" s="130"/>
      <c r="G53" s="108"/>
      <c r="H53" s="125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24" t="s">
        <v>115</v>
      </c>
      <c r="B54" s="120">
        <v>26.0</v>
      </c>
      <c r="C54" s="115">
        <f t="shared" ref="C54:C57" si="19">B54-D54</f>
        <v>26</v>
      </c>
      <c r="D54" s="120"/>
      <c r="E54" s="135">
        <v>45297.0</v>
      </c>
      <c r="F54" s="130"/>
      <c r="G54" s="128"/>
      <c r="H54" s="125"/>
      <c r="I54" s="128"/>
      <c r="J54" s="128"/>
      <c r="K54" s="12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24" t="s">
        <v>91</v>
      </c>
      <c r="B55" s="120">
        <v>26.0</v>
      </c>
      <c r="C55" s="115">
        <f t="shared" si="19"/>
        <v>25</v>
      </c>
      <c r="D55" s="120">
        <v>1.0</v>
      </c>
      <c r="E55" s="135">
        <v>45297.0</v>
      </c>
      <c r="F55" s="130"/>
      <c r="G55" s="128"/>
      <c r="H55" s="125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190</v>
      </c>
      <c r="B56" s="120">
        <v>26.0</v>
      </c>
      <c r="C56" s="115">
        <f t="shared" si="19"/>
        <v>26</v>
      </c>
      <c r="D56" s="120">
        <v>0.0</v>
      </c>
      <c r="E56" s="135">
        <v>45297.0</v>
      </c>
      <c r="F56" s="130"/>
      <c r="G56" s="128"/>
      <c r="H56" s="12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166</v>
      </c>
      <c r="B57" s="120">
        <v>26.0</v>
      </c>
      <c r="C57" s="115">
        <f t="shared" si="19"/>
        <v>26</v>
      </c>
      <c r="D57" s="120">
        <v>0.0</v>
      </c>
      <c r="E57" s="135">
        <v>45297.0</v>
      </c>
      <c r="F57" s="130"/>
      <c r="G57" s="128"/>
      <c r="H57" s="12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/>
      <c r="B58" s="120"/>
      <c r="C58" s="115"/>
      <c r="D58" s="136"/>
      <c r="E58" s="135"/>
      <c r="F58" s="130"/>
      <c r="G58" s="128"/>
      <c r="H58" s="12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09" t="s">
        <v>186</v>
      </c>
      <c r="B59" s="120">
        <v>26.0</v>
      </c>
      <c r="C59" s="115">
        <f>B59-D59</f>
        <v>26</v>
      </c>
      <c r="D59" s="120">
        <v>0.0</v>
      </c>
      <c r="E59" s="135">
        <v>45297.0</v>
      </c>
      <c r="F59" s="130"/>
      <c r="G59" s="128"/>
      <c r="H59" s="128"/>
      <c r="I59" s="128"/>
      <c r="J59" s="128"/>
      <c r="K59" s="12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43" t="s">
        <v>182</v>
      </c>
      <c r="B60" s="144"/>
      <c r="C60" s="144"/>
      <c r="D60" s="144"/>
      <c r="E60" s="169"/>
      <c r="F60" s="130"/>
      <c r="G60" s="128"/>
      <c r="H60" s="12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18" t="s">
        <v>18</v>
      </c>
      <c r="B61" s="120">
        <v>26.0</v>
      </c>
      <c r="C61" s="115">
        <f t="shared" ref="C61:C65" si="20">B61-D61</f>
        <v>26</v>
      </c>
      <c r="D61" s="136">
        <v>0.0</v>
      </c>
      <c r="E61" s="135">
        <v>45297.0</v>
      </c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195</v>
      </c>
      <c r="B62" s="120">
        <v>21.0</v>
      </c>
      <c r="C62" s="115">
        <f t="shared" si="20"/>
        <v>21</v>
      </c>
      <c r="D62" s="120">
        <v>0.0</v>
      </c>
      <c r="E62" s="135">
        <v>45297.0</v>
      </c>
      <c r="F62" s="125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24" t="s">
        <v>39</v>
      </c>
      <c r="B63" s="120">
        <v>21.0</v>
      </c>
      <c r="C63" s="115">
        <f t="shared" si="20"/>
        <v>21</v>
      </c>
      <c r="D63" s="136">
        <v>0.0</v>
      </c>
      <c r="E63" s="135">
        <v>45327.0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24" t="s">
        <v>67</v>
      </c>
      <c r="B64" s="120">
        <v>21.0</v>
      </c>
      <c r="C64" s="115">
        <f t="shared" si="20"/>
        <v>21</v>
      </c>
      <c r="D64" s="136">
        <v>0.0</v>
      </c>
      <c r="E64" s="135">
        <v>45327.0</v>
      </c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18" t="s">
        <v>41</v>
      </c>
      <c r="B65" s="120">
        <v>21.0</v>
      </c>
      <c r="C65" s="115">
        <f t="shared" si="20"/>
        <v>21</v>
      </c>
      <c r="D65" s="136">
        <v>0.0</v>
      </c>
      <c r="E65" s="135">
        <v>45327.0</v>
      </c>
      <c r="F65" s="130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70" t="s">
        <v>183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09" t="s">
        <v>164</v>
      </c>
      <c r="B67" s="120">
        <v>26.0</v>
      </c>
      <c r="C67" s="115">
        <f t="shared" ref="C67:C71" si="21">B67-D67</f>
        <v>24</v>
      </c>
      <c r="D67" s="120">
        <v>2.0</v>
      </c>
      <c r="E67" s="135">
        <v>45297.0</v>
      </c>
      <c r="F67" s="125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24" t="s">
        <v>71</v>
      </c>
      <c r="B68" s="120">
        <v>26.0</v>
      </c>
      <c r="C68" s="115">
        <f t="shared" si="21"/>
        <v>26</v>
      </c>
      <c r="D68" s="120">
        <v>0.0</v>
      </c>
      <c r="E68" s="135">
        <v>45327.0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18" t="s">
        <v>70</v>
      </c>
      <c r="B69" s="120">
        <v>24.0</v>
      </c>
      <c r="C69" s="115">
        <f t="shared" si="21"/>
        <v>24</v>
      </c>
      <c r="D69" s="120">
        <v>0.0</v>
      </c>
      <c r="E69" s="135">
        <v>45327.0</v>
      </c>
      <c r="F69" s="130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09" t="s">
        <v>191</v>
      </c>
      <c r="B70" s="120">
        <v>25.0</v>
      </c>
      <c r="C70" s="115">
        <f t="shared" si="21"/>
        <v>25</v>
      </c>
      <c r="D70" s="120">
        <v>0.0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09" t="s">
        <v>193</v>
      </c>
      <c r="B71" s="120">
        <v>25.0</v>
      </c>
      <c r="C71" s="115">
        <f t="shared" si="21"/>
        <v>23</v>
      </c>
      <c r="D71" s="120">
        <v>2.0</v>
      </c>
      <c r="E71" s="135">
        <v>45327.0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  <row r="1000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</row>
    <row r="1001">
      <c r="A1001" s="139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</row>
  </sheetData>
  <mergeCells count="8">
    <mergeCell ref="A4:J4"/>
    <mergeCell ref="A14:J14"/>
    <mergeCell ref="A20:J20"/>
    <mergeCell ref="A25:J25"/>
    <mergeCell ref="A40:E40"/>
    <mergeCell ref="A53:E53"/>
    <mergeCell ref="A60:E60"/>
    <mergeCell ref="A66:E6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700000.0</v>
      </c>
      <c r="C2" s="111">
        <v>700000.0</v>
      </c>
      <c r="D2" s="117"/>
      <c r="E2" s="117"/>
      <c r="F2" s="117"/>
      <c r="G2" s="117"/>
      <c r="H2" s="112"/>
      <c r="I2" s="113">
        <f t="shared" ref="I2:I3" si="1">L2*D38</f>
        <v>0</v>
      </c>
      <c r="J2" s="112"/>
      <c r="K2" s="114">
        <f>B2-C2-D2-E2-F2-I2+J2-G2-H2</f>
        <v>0</v>
      </c>
      <c r="L2" s="115">
        <f t="shared" ref="L2:L3" si="2">B2/B38</f>
        <v>38888.88889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530000.0</v>
      </c>
      <c r="C3" s="111">
        <v>50000.0</v>
      </c>
      <c r="D3" s="109">
        <v>75000.0</v>
      </c>
      <c r="E3" s="109">
        <v>105000.0</v>
      </c>
      <c r="F3" s="109">
        <v>281500.0</v>
      </c>
      <c r="G3" s="109">
        <v>10000.0</v>
      </c>
      <c r="H3" s="112"/>
      <c r="I3" s="113">
        <f t="shared" si="1"/>
        <v>0</v>
      </c>
      <c r="J3" s="112"/>
      <c r="K3" s="114">
        <f>B3-C3-D3-E3-F3-I3+J3-G3</f>
        <v>8500</v>
      </c>
      <c r="L3" s="115">
        <f t="shared" si="2"/>
        <v>29444.44444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250000.0</v>
      </c>
      <c r="C5" s="111">
        <v>185000.0</v>
      </c>
      <c r="D5" s="109">
        <v>59307.0</v>
      </c>
      <c r="E5" s="109">
        <v>5000.0</v>
      </c>
      <c r="F5" s="117"/>
      <c r="G5" s="117"/>
      <c r="H5" s="112"/>
      <c r="I5" s="113">
        <f t="shared" ref="I5:I6" si="3">L5*D41</f>
        <v>0</v>
      </c>
      <c r="J5" s="112"/>
      <c r="K5" s="114">
        <f>B5-C5-D5-E5-F5-I5+J5-G5-H5</f>
        <v>693</v>
      </c>
      <c r="L5" s="115">
        <f t="shared" ref="L5:L6" si="4">B5/B41</f>
        <v>11904.7619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141000.0</v>
      </c>
      <c r="C6" s="111">
        <v>141000.0</v>
      </c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0</v>
      </c>
      <c r="L6" s="115">
        <f t="shared" si="4"/>
        <v>6714.285714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34</v>
      </c>
      <c r="B7" s="110">
        <v>252000.0</v>
      </c>
      <c r="C7" s="111">
        <v>200000.0</v>
      </c>
      <c r="D7" s="109">
        <v>50000.0</v>
      </c>
      <c r="E7" s="112"/>
      <c r="F7" s="112"/>
      <c r="G7" s="109">
        <v>2000.0</v>
      </c>
      <c r="H7" s="112"/>
      <c r="I7" s="113">
        <f>L7*D47</f>
        <v>0</v>
      </c>
      <c r="J7" s="112"/>
      <c r="K7" s="114">
        <f>B7-C7-D7-E7-F7-I7+J7-G7-H7</f>
        <v>0</v>
      </c>
      <c r="L7" s="115">
        <f>B7/B47</f>
        <v>25200</v>
      </c>
      <c r="M7" s="116" t="s">
        <v>140</v>
      </c>
      <c r="N7" s="116" t="s">
        <v>142</v>
      </c>
      <c r="O7" s="116" t="s">
        <v>143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196</v>
      </c>
      <c r="B8" s="110">
        <v>132000.0</v>
      </c>
      <c r="C8" s="111">
        <v>130000.0</v>
      </c>
      <c r="D8" s="109">
        <v>2000.0</v>
      </c>
      <c r="E8" s="112"/>
      <c r="F8" s="112"/>
      <c r="G8" s="112"/>
      <c r="H8" s="112"/>
      <c r="I8" s="113">
        <f t="shared" ref="I8:I9" si="5">L8*D45</f>
        <v>0</v>
      </c>
      <c r="J8" s="112"/>
      <c r="K8" s="114">
        <f t="shared" ref="K8:K9" si="6">B8-C8-D8-E8-F8-I8+J8-G8</f>
        <v>0</v>
      </c>
      <c r="L8" s="115">
        <f t="shared" ref="L8:L9" si="7">B8/B45</f>
        <v>6285.714286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200000.0</v>
      </c>
      <c r="C9" s="111">
        <v>200000.0</v>
      </c>
      <c r="D9" s="112"/>
      <c r="E9" s="112"/>
      <c r="F9" s="112"/>
      <c r="G9" s="117"/>
      <c r="H9" s="112"/>
      <c r="I9" s="113">
        <f t="shared" si="5"/>
        <v>0</v>
      </c>
      <c r="J9" s="112"/>
      <c r="K9" s="114">
        <f t="shared" si="6"/>
        <v>0</v>
      </c>
      <c r="L9" s="115">
        <f t="shared" si="7"/>
        <v>7692.307692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176</v>
      </c>
      <c r="B10" s="110">
        <v>435000.0</v>
      </c>
      <c r="C10" s="111">
        <v>433000.0</v>
      </c>
      <c r="D10" s="112"/>
      <c r="E10" s="112"/>
      <c r="F10" s="112"/>
      <c r="G10" s="109">
        <v>2000.0</v>
      </c>
      <c r="H10" s="112"/>
      <c r="I10" s="113">
        <f>L10*D48</f>
        <v>0</v>
      </c>
      <c r="J10" s="112"/>
      <c r="K10" s="114">
        <f t="shared" ref="K10:K11" si="8">B10-C10-D10-E10-F10-I10+J10-G10-H10</f>
        <v>0</v>
      </c>
      <c r="L10" s="115">
        <f>B10/B48</f>
        <v>20714.28571</v>
      </c>
      <c r="M10" s="116" t="s">
        <v>140</v>
      </c>
      <c r="N10" s="116" t="s">
        <v>142</v>
      </c>
      <c r="O10" s="116" t="s">
        <v>143</v>
      </c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09" t="s">
        <v>198</v>
      </c>
      <c r="B11" s="110">
        <v>300000.0</v>
      </c>
      <c r="C11" s="111">
        <v>200000.0</v>
      </c>
      <c r="D11" s="109">
        <v>85462.0</v>
      </c>
      <c r="E11" s="112"/>
      <c r="F11" s="112"/>
      <c r="G11" s="109">
        <v>3000.0</v>
      </c>
      <c r="H11" s="109"/>
      <c r="I11" s="113">
        <f>L11*D55</f>
        <v>11538.46154</v>
      </c>
      <c r="J11" s="164"/>
      <c r="K11" s="114">
        <f t="shared" si="8"/>
        <v>-0.4615384615</v>
      </c>
      <c r="L11" s="115">
        <f>B11/B55</f>
        <v>11538.46154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199</v>
      </c>
      <c r="B12" s="110">
        <v>70000.0</v>
      </c>
      <c r="C12" s="111">
        <v>70000.0</v>
      </c>
      <c r="D12" s="112"/>
      <c r="E12" s="112"/>
      <c r="F12" s="112"/>
      <c r="G12" s="117"/>
      <c r="H12" s="112"/>
      <c r="I12" s="113">
        <f>L12*D50</f>
        <v>0</v>
      </c>
      <c r="J12" s="112"/>
      <c r="K12" s="114">
        <f>B12-C12-D12-E12-F12-I12+J12-G12</f>
        <v>0</v>
      </c>
      <c r="L12" s="115">
        <f>B12/B50</f>
        <v>3888.888889</v>
      </c>
      <c r="M12" s="116" t="s">
        <v>140</v>
      </c>
      <c r="N12" s="116" t="s">
        <v>142</v>
      </c>
      <c r="O12" s="116" t="s">
        <v>143</v>
      </c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189</v>
      </c>
      <c r="B13" s="110">
        <v>150000.0</v>
      </c>
      <c r="C13" s="111">
        <v>150000.0</v>
      </c>
      <c r="D13" s="112"/>
      <c r="E13" s="112"/>
      <c r="F13" s="112"/>
      <c r="G13" s="117"/>
      <c r="H13" s="112"/>
      <c r="I13" s="113">
        <f>L13*D52</f>
        <v>0</v>
      </c>
      <c r="J13" s="112"/>
      <c r="K13" s="114">
        <f>B13-C13-D13-E13-F13-I13+J13-G13-H13</f>
        <v>0</v>
      </c>
      <c r="L13" s="115">
        <f>B13/B52</f>
        <v>8333.333333</v>
      </c>
      <c r="M13" s="116" t="s">
        <v>140</v>
      </c>
      <c r="N13" s="116" t="s">
        <v>142</v>
      </c>
      <c r="O13" s="116" t="s">
        <v>143</v>
      </c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6.5" customHeight="1">
      <c r="A14" s="143" t="s">
        <v>180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5"/>
      <c r="L14" s="146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>
      <c r="A15" s="124" t="s">
        <v>115</v>
      </c>
      <c r="B15" s="110">
        <v>200000.0</v>
      </c>
      <c r="C15" s="111">
        <v>200000.0</v>
      </c>
      <c r="D15" s="109">
        <v>150000.0</v>
      </c>
      <c r="E15" s="109">
        <v>190128.0</v>
      </c>
      <c r="F15" s="112"/>
      <c r="G15" s="117"/>
      <c r="H15" s="112"/>
      <c r="I15" s="113">
        <f t="shared" ref="I15:I17" si="9">L15*D55</f>
        <v>7692.307692</v>
      </c>
      <c r="J15" s="126">
        <f>IFERROR(__xludf.DUMMYFUNCTION("IMPORTRANGE(""https://docs.google.com/spreadsheets/d/1JJd44_6b1hsmD6e8liei_zzkkh-GYab6gE4K23IJPVI/edit?gid=0#gid=0&amp;range=J95"",""'Лист1'!K394"")"),197820.42299999978)</f>
        <v>197820.423</v>
      </c>
      <c r="K15" s="114">
        <f>B15-C15-D15-E15-F15-I15+J15-G15-H15+50000+100000</f>
        <v>0.1153076921</v>
      </c>
      <c r="L15" s="115">
        <f>B15/B54</f>
        <v>7692.307692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>
      <c r="A16" s="109" t="s">
        <v>190</v>
      </c>
      <c r="B16" s="110"/>
      <c r="C16" s="119"/>
      <c r="D16" s="112"/>
      <c r="E16" s="112"/>
      <c r="F16" s="112"/>
      <c r="G16" s="117"/>
      <c r="H16" s="109"/>
      <c r="I16" s="113">
        <f t="shared" si="9"/>
        <v>0</v>
      </c>
      <c r="J16" s="164">
        <v>0.0</v>
      </c>
      <c r="K16" s="114">
        <f>B16-C16-D16-E16-F16-I16+J16-G16-H16</f>
        <v>0</v>
      </c>
      <c r="L16" s="115">
        <f t="shared" ref="L16:L17" si="10">B16/B56</f>
        <v>0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>
      <c r="A17" s="109" t="s">
        <v>181</v>
      </c>
      <c r="B17" s="111">
        <v>100000.0</v>
      </c>
      <c r="C17" s="111">
        <v>200000.0</v>
      </c>
      <c r="D17" s="109">
        <v>100000.0</v>
      </c>
      <c r="E17" s="109">
        <v>39911.0</v>
      </c>
      <c r="F17" s="112"/>
      <c r="G17" s="109">
        <v>3000.0</v>
      </c>
      <c r="H17" s="109">
        <v>10000.0</v>
      </c>
      <c r="I17" s="113">
        <f t="shared" si="9"/>
        <v>7692.307692</v>
      </c>
      <c r="J17" s="126">
        <f>IFERROR(__xludf.DUMMYFUNCTION("IMPORTRANGE(""https://docs.google.com/spreadsheets/d/1JJd44_6b1hsmD6e8liei_zzkkh-GYab6gE4K23IJPVI/edit?gid=0#gid=0&amp;range=J95"",""'Лист1'!W384"")"),280603.125)</f>
        <v>280603.125</v>
      </c>
      <c r="K17" s="114">
        <f>B17-C17-D17-E17-F17-I17+J17-G17-H17-50000+30000</f>
        <v>-0.1826923077</v>
      </c>
      <c r="L17" s="115">
        <f t="shared" si="10"/>
        <v>3846.153846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>
      <c r="A18" s="109"/>
      <c r="B18" s="111"/>
      <c r="C18" s="119"/>
      <c r="D18" s="112"/>
      <c r="E18" s="112"/>
      <c r="F18" s="112"/>
      <c r="G18" s="112"/>
      <c r="H18" s="112"/>
      <c r="I18" s="113"/>
      <c r="J18" s="126"/>
      <c r="K18" s="110">
        <v>0.0</v>
      </c>
      <c r="L18" s="115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>
      <c r="A19" s="109" t="s">
        <v>186</v>
      </c>
      <c r="B19" s="111"/>
      <c r="C19" s="111"/>
      <c r="D19" s="112"/>
      <c r="E19" s="112"/>
      <c r="F19" s="112"/>
      <c r="G19" s="109"/>
      <c r="H19" s="112"/>
      <c r="I19" s="113">
        <f>L19*D59</f>
        <v>0</v>
      </c>
      <c r="J19" s="126"/>
      <c r="K19" s="110">
        <v>0.0</v>
      </c>
      <c r="L19" s="115">
        <f>B19/B59</f>
        <v>0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43" t="s">
        <v>182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18" t="s">
        <v>18</v>
      </c>
      <c r="B21" s="110">
        <v>0.0</v>
      </c>
      <c r="C21" s="111"/>
      <c r="D21" s="112"/>
      <c r="E21" s="112"/>
      <c r="F21" s="112"/>
      <c r="G21" s="117"/>
      <c r="H21" s="112"/>
      <c r="I21" s="113">
        <f t="shared" ref="I21:I24" si="11">L21*D61</f>
        <v>0</v>
      </c>
      <c r="J21" s="114"/>
      <c r="K21" s="114">
        <f t="shared" ref="K21:K24" si="12">B21-C21-D21-E21-F21-I21+J21-G21-H21</f>
        <v>0</v>
      </c>
      <c r="L21" s="115">
        <f t="shared" ref="L21:L24" si="13">B21/B61</f>
        <v>0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187</v>
      </c>
      <c r="B22" s="122"/>
      <c r="C22" s="119"/>
      <c r="D22" s="112"/>
      <c r="E22" s="112"/>
      <c r="F22" s="112"/>
      <c r="G22" s="117"/>
      <c r="H22" s="112"/>
      <c r="I22" s="113">
        <f t="shared" si="11"/>
        <v>0</v>
      </c>
      <c r="J22" s="119"/>
      <c r="K22" s="114">
        <f t="shared" si="12"/>
        <v>0</v>
      </c>
      <c r="L22" s="115">
        <f t="shared" si="13"/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 outlineLevel="1">
      <c r="A23" s="124" t="s">
        <v>39</v>
      </c>
      <c r="B23" s="122"/>
      <c r="C23" s="111"/>
      <c r="D23" s="112"/>
      <c r="E23" s="112"/>
      <c r="F23" s="112"/>
      <c r="G23" s="117"/>
      <c r="H23" s="112"/>
      <c r="I23" s="113">
        <f t="shared" si="11"/>
        <v>0</v>
      </c>
      <c r="J23" s="112"/>
      <c r="K23" s="114">
        <f t="shared" si="12"/>
        <v>0</v>
      </c>
      <c r="L23" s="115">
        <f t="shared" si="13"/>
        <v>0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 outlineLevel="1">
      <c r="A24" s="124" t="s">
        <v>67</v>
      </c>
      <c r="B24" s="110">
        <v>0.0</v>
      </c>
      <c r="C24" s="119"/>
      <c r="D24" s="112"/>
      <c r="E24" s="112"/>
      <c r="F24" s="112"/>
      <c r="G24" s="112"/>
      <c r="H24" s="112"/>
      <c r="I24" s="113">
        <f t="shared" si="11"/>
        <v>0</v>
      </c>
      <c r="J24" s="112"/>
      <c r="K24" s="114">
        <f t="shared" si="12"/>
        <v>0</v>
      </c>
      <c r="L24" s="115">
        <f t="shared" si="13"/>
        <v>0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8.0" customHeight="1" outlineLevel="1">
      <c r="A25" s="143" t="s">
        <v>183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5"/>
      <c r="L25" s="146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 outlineLevel="1">
      <c r="A26" s="109" t="s">
        <v>164</v>
      </c>
      <c r="B26" s="110">
        <v>200000.0</v>
      </c>
      <c r="C26" s="111">
        <v>20000.0</v>
      </c>
      <c r="D26" s="109">
        <v>20000.0</v>
      </c>
      <c r="E26" s="109">
        <v>90000.0</v>
      </c>
      <c r="F26" s="109">
        <v>34000.0</v>
      </c>
      <c r="G26" s="109">
        <v>3000.0</v>
      </c>
      <c r="H26" s="112"/>
      <c r="I26" s="113">
        <f t="shared" ref="I26:I27" si="14">L26*D67</f>
        <v>23076.92308</v>
      </c>
      <c r="J26" s="112"/>
      <c r="K26" s="114">
        <f t="shared" ref="K26:K27" si="15">B26-C26-D26-E26-F26-I26+J26-G26-H26</f>
        <v>9923.076923</v>
      </c>
      <c r="L26" s="115">
        <f t="shared" ref="L26:L27" si="16">B26/B67</f>
        <v>7692.307692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24" t="s">
        <v>71</v>
      </c>
      <c r="B27" s="110">
        <v>150000.0</v>
      </c>
      <c r="C27" s="119"/>
      <c r="D27" s="117"/>
      <c r="E27" s="112"/>
      <c r="F27" s="112"/>
      <c r="G27" s="117"/>
      <c r="H27" s="112"/>
      <c r="I27" s="113">
        <f t="shared" si="14"/>
        <v>0</v>
      </c>
      <c r="J27" s="112"/>
      <c r="K27" s="114">
        <f t="shared" si="15"/>
        <v>150000</v>
      </c>
      <c r="L27" s="115">
        <f t="shared" si="16"/>
        <v>5769.230769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 outlineLevel="1">
      <c r="A28" s="109"/>
      <c r="B28" s="110"/>
      <c r="C28" s="111"/>
      <c r="D28" s="112"/>
      <c r="E28" s="112"/>
      <c r="F28" s="112"/>
      <c r="G28" s="112"/>
      <c r="H28" s="112"/>
      <c r="I28" s="113"/>
      <c r="J28" s="112"/>
      <c r="K28" s="114"/>
      <c r="L28" s="115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>
      <c r="A29" s="109" t="s">
        <v>192</v>
      </c>
      <c r="B29" s="110">
        <v>80000.0</v>
      </c>
      <c r="C29" s="111">
        <v>80000.0</v>
      </c>
      <c r="D29" s="112"/>
      <c r="E29" s="112"/>
      <c r="F29" s="112"/>
      <c r="G29" s="112"/>
      <c r="H29" s="112"/>
      <c r="I29" s="113">
        <f>L29*D71</f>
        <v>9600</v>
      </c>
      <c r="J29" s="112"/>
      <c r="K29" s="114">
        <f>B29-C29-D29-E29-F29-I29+J29-G29-H29</f>
        <v>-9600</v>
      </c>
      <c r="L29" s="115">
        <f>B29/B71</f>
        <v>3200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>
      <c r="A30" s="118"/>
      <c r="B30" s="119"/>
      <c r="C30" s="119"/>
      <c r="D30" s="112"/>
      <c r="E30" s="112"/>
      <c r="F30" s="112"/>
      <c r="G30" s="112"/>
      <c r="H30" s="112"/>
      <c r="I30" s="112"/>
      <c r="J30" s="112"/>
      <c r="K30" s="126"/>
      <c r="L30" s="112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118" t="s">
        <v>26</v>
      </c>
      <c r="B31" s="119">
        <f>SUM(B2:B28)</f>
        <v>3810000</v>
      </c>
      <c r="C31" s="119">
        <f>B31+J15+J17</f>
        <v>4288423.548</v>
      </c>
      <c r="D31" s="112"/>
      <c r="E31" s="112"/>
      <c r="F31" s="112"/>
      <c r="G31" s="112"/>
      <c r="H31" s="112"/>
      <c r="I31" s="112"/>
      <c r="J31" s="112"/>
      <c r="K31" s="126">
        <f>SUM(K2:K29)</f>
        <v>159515.548</v>
      </c>
      <c r="L31" s="112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3"/>
      <c r="L32" s="12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28"/>
      <c r="B34" s="128"/>
      <c r="C34" s="128"/>
      <c r="D34" s="129" t="s">
        <v>110</v>
      </c>
      <c r="E34" s="128"/>
      <c r="F34" s="128"/>
      <c r="G34" s="128"/>
      <c r="H34" s="128"/>
      <c r="I34" s="128"/>
      <c r="J34" s="128"/>
      <c r="K34" s="12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28"/>
      <c r="B35" s="128"/>
      <c r="C35" s="128"/>
      <c r="D35" s="130"/>
      <c r="E35" s="128"/>
      <c r="F35" s="128"/>
      <c r="G35" s="128"/>
      <c r="H35" s="128"/>
      <c r="I35" s="128"/>
      <c r="J35" s="128"/>
      <c r="K35" s="12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28"/>
      <c r="B36" s="128"/>
      <c r="C36" s="128"/>
      <c r="D36" s="128"/>
      <c r="E36" s="128"/>
      <c r="F36" s="130"/>
      <c r="G36" s="128"/>
      <c r="H36" s="128"/>
      <c r="I36" s="128"/>
      <c r="J36" s="128"/>
      <c r="K36" s="12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79</v>
      </c>
      <c r="B37" s="166" t="s">
        <v>28</v>
      </c>
      <c r="C37" s="167" t="s">
        <v>29</v>
      </c>
      <c r="D37" s="168" t="s">
        <v>80</v>
      </c>
      <c r="E37" s="118" t="s">
        <v>81</v>
      </c>
      <c r="F37" s="128"/>
      <c r="G37" s="128"/>
      <c r="H37" s="128"/>
      <c r="I37" s="128"/>
      <c r="J37" s="125" t="s">
        <v>200</v>
      </c>
      <c r="K37" s="123">
        <f>'Февраль'!K34+'Март'!K38+'Апрель'!K35+'Май'!K33+'Июнь 2025'!K29+'Июль 2025'!K31+K31</f>
        <v>2659130.345</v>
      </c>
      <c r="L37" s="123">
        <f>K37-'Февраль'!K4-'Март'!K5-'Апрель'!K5-'Май'!K5-'Июнь 2025'!K5-'Июль 2025'!K5-K5</f>
        <v>1278437.345</v>
      </c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09" t="s">
        <v>127</v>
      </c>
      <c r="B38" s="120">
        <v>18.0</v>
      </c>
      <c r="C38" s="115">
        <f t="shared" ref="C38:C39" si="17">B38-D38</f>
        <v>18</v>
      </c>
      <c r="D38" s="115">
        <v>0.0</v>
      </c>
      <c r="E38" s="135">
        <v>45327.0</v>
      </c>
      <c r="F38" s="128"/>
      <c r="G38" s="128"/>
      <c r="H38" s="128"/>
      <c r="I38" s="128"/>
      <c r="J38" s="128"/>
      <c r="K38" s="12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09" t="s">
        <v>128</v>
      </c>
      <c r="B39" s="120">
        <v>18.0</v>
      </c>
      <c r="C39" s="115">
        <f t="shared" si="17"/>
        <v>18</v>
      </c>
      <c r="D39" s="115">
        <v>0.0</v>
      </c>
      <c r="E39" s="135">
        <v>45327.0</v>
      </c>
      <c r="F39" s="128"/>
      <c r="G39" s="128"/>
      <c r="H39" s="128"/>
      <c r="I39" s="128"/>
      <c r="J39" s="125" t="s">
        <v>201</v>
      </c>
      <c r="K39" s="128">
        <f>K40+K41+K42+K43</f>
        <v>9032189</v>
      </c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43" t="s">
        <v>174</v>
      </c>
      <c r="B40" s="144"/>
      <c r="C40" s="144"/>
      <c r="D40" s="144"/>
      <c r="E40" s="169"/>
      <c r="F40" s="128"/>
      <c r="G40" s="128"/>
      <c r="H40" s="128"/>
      <c r="I40" s="128"/>
      <c r="J40" s="125" t="s">
        <v>202</v>
      </c>
      <c r="K40" s="125">
        <v>400000.0</v>
      </c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09" t="s">
        <v>129</v>
      </c>
      <c r="B41" s="120">
        <v>21.0</v>
      </c>
      <c r="C41" s="115">
        <f t="shared" ref="C41:C52" si="18">B41-D41</f>
        <v>21</v>
      </c>
      <c r="D41" s="115">
        <v>0.0</v>
      </c>
      <c r="E41" s="135">
        <v>45327.0</v>
      </c>
      <c r="F41" s="128"/>
      <c r="G41" s="128"/>
      <c r="H41" s="128"/>
      <c r="I41" s="128"/>
      <c r="J41" s="125" t="s">
        <v>127</v>
      </c>
      <c r="K41" s="128">
        <f>4632189-700000-300000</f>
        <v>3632189</v>
      </c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18" t="s">
        <v>132</v>
      </c>
      <c r="B42" s="120">
        <v>21.0</v>
      </c>
      <c r="C42" s="115">
        <f t="shared" si="18"/>
        <v>21</v>
      </c>
      <c r="D42" s="115">
        <v>0.0</v>
      </c>
      <c r="E42" s="135">
        <v>45327.0</v>
      </c>
      <c r="F42" s="128"/>
      <c r="G42" s="128"/>
      <c r="H42" s="128"/>
      <c r="I42" s="128"/>
      <c r="J42" s="125" t="s">
        <v>128</v>
      </c>
      <c r="K42" s="125">
        <v>2000000.0</v>
      </c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75</v>
      </c>
      <c r="B43" s="120">
        <v>21.0</v>
      </c>
      <c r="C43" s="115">
        <f t="shared" si="18"/>
        <v>21</v>
      </c>
      <c r="D43" s="115">
        <v>0.0</v>
      </c>
      <c r="E43" s="135">
        <v>45327.0</v>
      </c>
      <c r="F43" s="128"/>
      <c r="G43" s="128"/>
      <c r="H43" s="128"/>
      <c r="I43" s="128"/>
      <c r="J43" s="125" t="s">
        <v>129</v>
      </c>
      <c r="K43" s="125">
        <v>3000000.0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24" t="s">
        <v>100</v>
      </c>
      <c r="B44" s="120">
        <v>21.0</v>
      </c>
      <c r="C44" s="115">
        <f t="shared" si="18"/>
        <v>21</v>
      </c>
      <c r="D44" s="120">
        <v>0.0</v>
      </c>
      <c r="E44" s="135">
        <v>45297.0</v>
      </c>
      <c r="F44" s="125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18" t="s">
        <v>47</v>
      </c>
      <c r="B45" s="120">
        <v>21.0</v>
      </c>
      <c r="C45" s="115">
        <f t="shared" si="18"/>
        <v>21</v>
      </c>
      <c r="D45" s="120">
        <v>0.0</v>
      </c>
      <c r="E45" s="135">
        <v>45327.0</v>
      </c>
      <c r="F45" s="138"/>
      <c r="G45" s="128"/>
      <c r="H45" s="128"/>
      <c r="I45" s="128"/>
      <c r="J45" s="125" t="s">
        <v>203</v>
      </c>
      <c r="K45" s="125">
        <v>1500000.0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24" t="s">
        <v>133</v>
      </c>
      <c r="B46" s="120">
        <v>26.0</v>
      </c>
      <c r="C46" s="115">
        <f t="shared" si="18"/>
        <v>26</v>
      </c>
      <c r="D46" s="120"/>
      <c r="E46" s="135">
        <v>45327.0</v>
      </c>
      <c r="F46" s="138"/>
      <c r="G46" s="128"/>
      <c r="H46" s="130"/>
      <c r="I46" s="128"/>
      <c r="J46" s="128"/>
      <c r="K46" s="12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175</v>
      </c>
      <c r="B47" s="120">
        <v>10.0</v>
      </c>
      <c r="C47" s="115">
        <f t="shared" si="18"/>
        <v>10</v>
      </c>
      <c r="D47" s="120">
        <v>0.0</v>
      </c>
      <c r="E47" s="135">
        <v>45327.0</v>
      </c>
      <c r="F47" s="130"/>
      <c r="G47" s="128"/>
      <c r="H47" s="128"/>
      <c r="I47" s="128"/>
      <c r="J47" s="128"/>
      <c r="K47" s="12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09" t="s">
        <v>176</v>
      </c>
      <c r="B48" s="120">
        <v>21.0</v>
      </c>
      <c r="C48" s="115">
        <f t="shared" si="18"/>
        <v>21</v>
      </c>
      <c r="D48" s="136">
        <v>0.0</v>
      </c>
      <c r="E48" s="135">
        <v>45297.0</v>
      </c>
      <c r="F48" s="13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177</v>
      </c>
      <c r="B49" s="120">
        <v>10.0</v>
      </c>
      <c r="C49" s="115">
        <f t="shared" si="18"/>
        <v>10</v>
      </c>
      <c r="D49" s="120">
        <v>0.0</v>
      </c>
      <c r="E49" s="135">
        <v>45327.0</v>
      </c>
      <c r="F49" s="138"/>
      <c r="G49" s="116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145</v>
      </c>
      <c r="B50" s="120">
        <v>18.0</v>
      </c>
      <c r="C50" s="115">
        <f t="shared" si="18"/>
        <v>18</v>
      </c>
      <c r="D50" s="120">
        <v>0.0</v>
      </c>
      <c r="E50" s="135">
        <v>45327.0</v>
      </c>
      <c r="F50" s="138"/>
      <c r="G50" s="116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162</v>
      </c>
      <c r="B51" s="120">
        <v>18.0</v>
      </c>
      <c r="C51" s="115">
        <f t="shared" si="18"/>
        <v>18</v>
      </c>
      <c r="D51" s="120">
        <v>0.0</v>
      </c>
      <c r="E51" s="135">
        <v>45327.0</v>
      </c>
      <c r="F51" s="138"/>
      <c r="G51" s="116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163</v>
      </c>
      <c r="B52" s="120">
        <v>18.0</v>
      </c>
      <c r="C52" s="115">
        <f t="shared" si="18"/>
        <v>18</v>
      </c>
      <c r="D52" s="120">
        <v>0.0</v>
      </c>
      <c r="E52" s="135">
        <v>45327.0</v>
      </c>
      <c r="F52" s="125"/>
      <c r="G52" s="116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43" t="s">
        <v>180</v>
      </c>
      <c r="B53" s="144"/>
      <c r="C53" s="144"/>
      <c r="D53" s="144"/>
      <c r="E53" s="169"/>
      <c r="F53" s="130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24" t="s">
        <v>115</v>
      </c>
      <c r="B54" s="120">
        <v>26.0</v>
      </c>
      <c r="C54" s="115">
        <f t="shared" ref="C54:C57" si="19">B54-D54</f>
        <v>23</v>
      </c>
      <c r="D54" s="120">
        <v>3.0</v>
      </c>
      <c r="E54" s="135">
        <v>45297.0</v>
      </c>
      <c r="F54" s="130"/>
      <c r="G54" s="128"/>
      <c r="H54" s="128"/>
      <c r="I54" s="128"/>
      <c r="J54" s="128"/>
      <c r="K54" s="12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24" t="s">
        <v>91</v>
      </c>
      <c r="B55" s="120">
        <v>26.0</v>
      </c>
      <c r="C55" s="115">
        <f t="shared" si="19"/>
        <v>25</v>
      </c>
      <c r="D55" s="120">
        <v>1.0</v>
      </c>
      <c r="E55" s="135">
        <v>45297.0</v>
      </c>
      <c r="F55" s="130"/>
      <c r="G55" s="128"/>
      <c r="H55" s="12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190</v>
      </c>
      <c r="B56" s="120">
        <v>26.0</v>
      </c>
      <c r="C56" s="115">
        <f t="shared" si="19"/>
        <v>26</v>
      </c>
      <c r="D56" s="120">
        <v>0.0</v>
      </c>
      <c r="E56" s="135">
        <v>45297.0</v>
      </c>
      <c r="F56" s="130"/>
      <c r="G56" s="128"/>
      <c r="H56" s="12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166</v>
      </c>
      <c r="B57" s="120">
        <v>26.0</v>
      </c>
      <c r="C57" s="115">
        <f t="shared" si="19"/>
        <v>24</v>
      </c>
      <c r="D57" s="120">
        <v>2.0</v>
      </c>
      <c r="E57" s="135">
        <v>45297.0</v>
      </c>
      <c r="F57" s="130"/>
      <c r="G57" s="128"/>
      <c r="H57" s="12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/>
      <c r="B58" s="120"/>
      <c r="C58" s="115"/>
      <c r="D58" s="136"/>
      <c r="E58" s="135"/>
      <c r="F58" s="130"/>
      <c r="G58" s="128"/>
      <c r="H58" s="12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09" t="s">
        <v>186</v>
      </c>
      <c r="B59" s="120">
        <v>26.0</v>
      </c>
      <c r="C59" s="115">
        <f>B59-D59</f>
        <v>26</v>
      </c>
      <c r="D59" s="120">
        <v>0.0</v>
      </c>
      <c r="E59" s="135">
        <v>45297.0</v>
      </c>
      <c r="F59" s="130"/>
      <c r="G59" s="128"/>
      <c r="H59" s="128"/>
      <c r="I59" s="128"/>
      <c r="J59" s="128"/>
      <c r="K59" s="12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43" t="s">
        <v>182</v>
      </c>
      <c r="B60" s="144"/>
      <c r="C60" s="144"/>
      <c r="D60" s="144"/>
      <c r="E60" s="169"/>
      <c r="F60" s="130"/>
      <c r="G60" s="128"/>
      <c r="H60" s="12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18" t="s">
        <v>18</v>
      </c>
      <c r="B61" s="120">
        <v>26.0</v>
      </c>
      <c r="C61" s="115">
        <f t="shared" ref="C61:C65" si="20">B61-D61</f>
        <v>26</v>
      </c>
      <c r="D61" s="136">
        <v>0.0</v>
      </c>
      <c r="E61" s="135">
        <v>45297.0</v>
      </c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195</v>
      </c>
      <c r="B62" s="120">
        <v>21.0</v>
      </c>
      <c r="C62" s="115">
        <f t="shared" si="20"/>
        <v>21</v>
      </c>
      <c r="D62" s="120">
        <v>0.0</v>
      </c>
      <c r="E62" s="135">
        <v>45297.0</v>
      </c>
      <c r="F62" s="125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24" t="s">
        <v>39</v>
      </c>
      <c r="B63" s="120">
        <v>21.0</v>
      </c>
      <c r="C63" s="115">
        <f t="shared" si="20"/>
        <v>21</v>
      </c>
      <c r="D63" s="136">
        <v>0.0</v>
      </c>
      <c r="E63" s="135">
        <v>45327.0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24" t="s">
        <v>67</v>
      </c>
      <c r="B64" s="120">
        <v>21.0</v>
      </c>
      <c r="C64" s="115">
        <f t="shared" si="20"/>
        <v>21</v>
      </c>
      <c r="D64" s="136">
        <v>0.0</v>
      </c>
      <c r="E64" s="135">
        <v>45327.0</v>
      </c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18" t="s">
        <v>41</v>
      </c>
      <c r="B65" s="120">
        <v>21.0</v>
      </c>
      <c r="C65" s="115">
        <f t="shared" si="20"/>
        <v>21</v>
      </c>
      <c r="D65" s="136">
        <v>0.0</v>
      </c>
      <c r="E65" s="135">
        <v>45327.0</v>
      </c>
      <c r="F65" s="130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70" t="s">
        <v>183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09" t="s">
        <v>164</v>
      </c>
      <c r="B67" s="120">
        <v>26.0</v>
      </c>
      <c r="C67" s="115">
        <f t="shared" ref="C67:C71" si="21">B67-D67</f>
        <v>23</v>
      </c>
      <c r="D67" s="120">
        <v>3.0</v>
      </c>
      <c r="E67" s="135">
        <v>45297.0</v>
      </c>
      <c r="F67" s="125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24" t="s">
        <v>71</v>
      </c>
      <c r="B68" s="120">
        <v>26.0</v>
      </c>
      <c r="C68" s="115">
        <f t="shared" si="21"/>
        <v>26</v>
      </c>
      <c r="D68" s="120"/>
      <c r="E68" s="135">
        <v>45327.0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18" t="s">
        <v>70</v>
      </c>
      <c r="B69" s="120">
        <v>24.0</v>
      </c>
      <c r="C69" s="115">
        <f t="shared" si="21"/>
        <v>24</v>
      </c>
      <c r="D69" s="120"/>
      <c r="E69" s="135">
        <v>45327.0</v>
      </c>
      <c r="F69" s="130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09" t="s">
        <v>191</v>
      </c>
      <c r="B70" s="120">
        <v>25.0</v>
      </c>
      <c r="C70" s="115">
        <f t="shared" si="21"/>
        <v>25</v>
      </c>
      <c r="D70" s="120"/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09" t="s">
        <v>193</v>
      </c>
      <c r="B71" s="120">
        <v>25.0</v>
      </c>
      <c r="C71" s="115">
        <f t="shared" si="21"/>
        <v>22</v>
      </c>
      <c r="D71" s="120">
        <v>3.0</v>
      </c>
      <c r="E71" s="135">
        <v>45327.0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  <row r="1000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</row>
    <row r="1001">
      <c r="A1001" s="139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</row>
  </sheetData>
  <mergeCells count="8">
    <mergeCell ref="A4:J4"/>
    <mergeCell ref="A14:J14"/>
    <mergeCell ref="A20:J20"/>
    <mergeCell ref="A25:J25"/>
    <mergeCell ref="A40:E40"/>
    <mergeCell ref="A53:E53"/>
    <mergeCell ref="A60:E60"/>
    <mergeCell ref="A66:E6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1000000.0</v>
      </c>
      <c r="C2" s="111">
        <v>300000.0</v>
      </c>
      <c r="D2" s="109">
        <v>700000.0</v>
      </c>
      <c r="E2" s="117"/>
      <c r="F2" s="117"/>
      <c r="G2" s="117"/>
      <c r="H2" s="112"/>
      <c r="I2" s="113">
        <f t="shared" ref="I2:I3" si="1">L2*D38</f>
        <v>0</v>
      </c>
      <c r="J2" s="112"/>
      <c r="K2" s="114">
        <f>B2-C2-D2-E2-F2-I2+J2-G2-H2</f>
        <v>0</v>
      </c>
      <c r="L2" s="115">
        <f t="shared" ref="L2:L3" si="2">B2/B38</f>
        <v>55555.55556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1002678.0</v>
      </c>
      <c r="C3" s="110">
        <v>927678.0</v>
      </c>
      <c r="D3" s="109">
        <v>75000.0</v>
      </c>
      <c r="E3" s="117"/>
      <c r="F3" s="117"/>
      <c r="G3" s="109"/>
      <c r="H3" s="112"/>
      <c r="I3" s="113">
        <f t="shared" si="1"/>
        <v>0</v>
      </c>
      <c r="J3" s="112"/>
      <c r="K3" s="114">
        <f>B3-C3-D3-E3-F3-I3+J3-G3</f>
        <v>0</v>
      </c>
      <c r="L3" s="115">
        <f t="shared" si="2"/>
        <v>55704.33333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500000.0</v>
      </c>
      <c r="C5" s="111">
        <v>500000.0</v>
      </c>
      <c r="D5" s="117"/>
      <c r="E5" s="117"/>
      <c r="F5" s="117"/>
      <c r="G5" s="117"/>
      <c r="H5" s="109"/>
      <c r="I5" s="113">
        <f t="shared" ref="I5:I6" si="3">L5*D41</f>
        <v>0</v>
      </c>
      <c r="J5" s="109">
        <v>18720.0</v>
      </c>
      <c r="K5" s="114">
        <f>B5-C5-D5-E5-F5-I5+J5-G5-H5</f>
        <v>18720</v>
      </c>
      <c r="L5" s="115">
        <f t="shared" ref="L5:L6" si="4">B5/B41</f>
        <v>23809.52381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94500.0</v>
      </c>
      <c r="C6" s="111">
        <v>94500.0</v>
      </c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0</v>
      </c>
      <c r="L6" s="115">
        <f t="shared" si="4"/>
        <v>4500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34</v>
      </c>
      <c r="B7" s="110">
        <v>222000.0</v>
      </c>
      <c r="C7" s="111">
        <v>222000.0</v>
      </c>
      <c r="D7" s="109"/>
      <c r="E7" s="112"/>
      <c r="F7" s="112"/>
      <c r="G7" s="109"/>
      <c r="H7" s="112"/>
      <c r="I7" s="113">
        <f>L7*D47</f>
        <v>0</v>
      </c>
      <c r="J7" s="112"/>
      <c r="K7" s="114">
        <f>B7-C7-D7-E7-F7-I7+J7-G7-H7</f>
        <v>0</v>
      </c>
      <c r="L7" s="115">
        <f>B7/B47</f>
        <v>22200</v>
      </c>
      <c r="M7" s="116" t="s">
        <v>140</v>
      </c>
      <c r="N7" s="116" t="s">
        <v>142</v>
      </c>
      <c r="O7" s="116" t="s">
        <v>143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196</v>
      </c>
      <c r="B8" s="110">
        <v>129000.0</v>
      </c>
      <c r="C8" s="111">
        <v>129000.0</v>
      </c>
      <c r="D8" s="112"/>
      <c r="E8" s="112"/>
      <c r="F8" s="112"/>
      <c r="G8" s="112"/>
      <c r="H8" s="112"/>
      <c r="I8" s="113">
        <f t="shared" ref="I8:I9" si="5">L8*D45</f>
        <v>0</v>
      </c>
      <c r="J8" s="112"/>
      <c r="K8" s="114">
        <f t="shared" ref="K8:K9" si="6">B8-C8-D8-E8-F8-I8+J8-G8</f>
        <v>0</v>
      </c>
      <c r="L8" s="115">
        <f t="shared" ref="L8:L9" si="7">B8/B45</f>
        <v>6142.857143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300000.0</v>
      </c>
      <c r="C9" s="111">
        <v>300000.0</v>
      </c>
      <c r="D9" s="112"/>
      <c r="E9" s="112"/>
      <c r="F9" s="112"/>
      <c r="G9" s="117"/>
      <c r="H9" s="112"/>
      <c r="I9" s="113">
        <f t="shared" si="5"/>
        <v>0</v>
      </c>
      <c r="J9" s="112"/>
      <c r="K9" s="114">
        <f t="shared" si="6"/>
        <v>0</v>
      </c>
      <c r="L9" s="115">
        <f t="shared" si="7"/>
        <v>11538.46154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176</v>
      </c>
      <c r="B10" s="110">
        <v>343000.0</v>
      </c>
      <c r="C10" s="111">
        <v>60500.0</v>
      </c>
      <c r="D10" s="109">
        <v>280500.0</v>
      </c>
      <c r="E10" s="112"/>
      <c r="F10" s="112"/>
      <c r="G10" s="109"/>
      <c r="H10" s="109">
        <v>2000.0</v>
      </c>
      <c r="I10" s="113">
        <f>L10*D48</f>
        <v>0</v>
      </c>
      <c r="J10" s="112"/>
      <c r="K10" s="114">
        <f t="shared" ref="K10:K11" si="8">B10-C10-D10-E10-F10-I10+J10-G10-H10</f>
        <v>0</v>
      </c>
      <c r="L10" s="115">
        <f>B10/B48</f>
        <v>16333.33333</v>
      </c>
      <c r="M10" s="116" t="s">
        <v>140</v>
      </c>
      <c r="N10" s="116" t="s">
        <v>142</v>
      </c>
      <c r="O10" s="116" t="s">
        <v>143</v>
      </c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24" t="s">
        <v>91</v>
      </c>
      <c r="B11" s="110">
        <v>300000.0</v>
      </c>
      <c r="C11" s="111">
        <v>300000.0</v>
      </c>
      <c r="D11" s="112"/>
      <c r="E11" s="112"/>
      <c r="F11" s="112"/>
      <c r="G11" s="109"/>
      <c r="H11" s="109"/>
      <c r="I11" s="113">
        <f>L11*D55</f>
        <v>0</v>
      </c>
      <c r="J11" s="164"/>
      <c r="K11" s="114">
        <f t="shared" si="8"/>
        <v>0</v>
      </c>
      <c r="L11" s="115">
        <f>B11/B55</f>
        <v>11538.46154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199</v>
      </c>
      <c r="B12" s="110">
        <v>130000.0</v>
      </c>
      <c r="C12" s="111">
        <v>130000.0</v>
      </c>
      <c r="D12" s="112"/>
      <c r="E12" s="112"/>
      <c r="F12" s="112"/>
      <c r="G12" s="117"/>
      <c r="H12" s="112"/>
      <c r="I12" s="113">
        <f>L12*D50</f>
        <v>0</v>
      </c>
      <c r="J12" s="112"/>
      <c r="K12" s="114">
        <f>B12-C12-D12-E12-F12-I12+J12-G12</f>
        <v>0</v>
      </c>
      <c r="L12" s="115">
        <f>B12/B50</f>
        <v>7222.222222</v>
      </c>
      <c r="M12" s="116" t="s">
        <v>140</v>
      </c>
      <c r="N12" s="116" t="s">
        <v>142</v>
      </c>
      <c r="O12" s="116" t="s">
        <v>143</v>
      </c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204</v>
      </c>
      <c r="B13" s="110">
        <v>37500.0</v>
      </c>
      <c r="C13" s="111">
        <v>37500.0</v>
      </c>
      <c r="D13" s="112"/>
      <c r="E13" s="112"/>
      <c r="F13" s="112"/>
      <c r="G13" s="117"/>
      <c r="H13" s="112"/>
      <c r="I13" s="113">
        <f>L13*D52</f>
        <v>0</v>
      </c>
      <c r="J13" s="112"/>
      <c r="K13" s="114">
        <f>B13-C13-D13-E13-F13-I13+J13-G13-H13</f>
        <v>0</v>
      </c>
      <c r="L13" s="115">
        <f>B13/B52</f>
        <v>2083.333333</v>
      </c>
      <c r="M13" s="116" t="s">
        <v>140</v>
      </c>
      <c r="N13" s="116" t="s">
        <v>142</v>
      </c>
      <c r="O13" s="116" t="s">
        <v>143</v>
      </c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6.5" customHeight="1">
      <c r="A14" s="143" t="s">
        <v>180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5"/>
      <c r="L14" s="146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>
      <c r="A15" s="124" t="s">
        <v>115</v>
      </c>
      <c r="B15" s="110">
        <v>200000.0</v>
      </c>
      <c r="C15" s="111">
        <v>641878.0</v>
      </c>
      <c r="D15" s="112"/>
      <c r="E15" s="112"/>
      <c r="F15" s="112"/>
      <c r="G15" s="117"/>
      <c r="H15" s="109">
        <v>5000.0</v>
      </c>
      <c r="I15" s="113">
        <f>L15*D54</f>
        <v>7692.307692</v>
      </c>
      <c r="J15" s="126">
        <f>IFERROR(__xludf.DUMMYFUNCTION("IMPORTRANGE(""https://docs.google.com/spreadsheets/d/1JJd44_6b1hsmD6e8liei_zzkkh-GYab6gE4K23IJPVI/edit?gid=0#gid=0&amp;range=J95"",""'Лист1'!K421"")"),374570.6085000004)</f>
        <v>374570.6085</v>
      </c>
      <c r="K15" s="114">
        <f>B15-C15-D15-E15-F15-I15+J15-G15-H15+80000</f>
        <v>0.3008076927</v>
      </c>
      <c r="L15" s="115">
        <f>B15/B54</f>
        <v>7692.307692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>
      <c r="A16" s="109" t="s">
        <v>205</v>
      </c>
      <c r="B16" s="111"/>
      <c r="C16" s="119"/>
      <c r="D16" s="112"/>
      <c r="E16" s="112"/>
      <c r="F16" s="112"/>
      <c r="G16" s="117"/>
      <c r="H16" s="109"/>
      <c r="I16" s="113">
        <f t="shared" ref="I16:I17" si="9">L16*D56</f>
        <v>0</v>
      </c>
      <c r="J16" s="164">
        <v>0.0</v>
      </c>
      <c r="K16" s="114">
        <f>B16-C16-D16-E16-F16-I16+J16-G16-H16</f>
        <v>0</v>
      </c>
      <c r="L16" s="115">
        <f t="shared" ref="L16:L17" si="10">B16/B56</f>
        <v>0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>
      <c r="A17" s="109" t="s">
        <v>181</v>
      </c>
      <c r="B17" s="111">
        <v>100000.0</v>
      </c>
      <c r="C17" s="111">
        <v>192000.0</v>
      </c>
      <c r="D17" s="109">
        <v>100000.0</v>
      </c>
      <c r="E17" s="109">
        <v>170000.0</v>
      </c>
      <c r="F17" s="109">
        <v>70929.0</v>
      </c>
      <c r="G17" s="109"/>
      <c r="H17" s="109">
        <v>23000.0</v>
      </c>
      <c r="I17" s="113">
        <f t="shared" si="9"/>
        <v>3846.153846</v>
      </c>
      <c r="J17" s="126">
        <f>IFERROR(__xludf.DUMMYFUNCTION("IMPORTRANGE(""https://docs.google.com/spreadsheets/d/1JJd44_6b1hsmD6e8liei_zzkkh-GYab6gE4K23IJPVI/edit?gid=0#gid=0&amp;range=J95"",""'Лист1'!X411"")"),539775.1799999994)</f>
        <v>539775.18</v>
      </c>
      <c r="K17" s="114">
        <f>B17-C17-D17-E17-F17-I17+J17-G17-H17-80000</f>
        <v>0.02615384548</v>
      </c>
      <c r="L17" s="115">
        <f t="shared" si="10"/>
        <v>3846.153846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>
      <c r="A18" s="109"/>
      <c r="B18" s="111"/>
      <c r="C18" s="119"/>
      <c r="D18" s="112"/>
      <c r="E18" s="112"/>
      <c r="F18" s="112"/>
      <c r="G18" s="112"/>
      <c r="H18" s="112"/>
      <c r="I18" s="113"/>
      <c r="J18" s="126"/>
      <c r="K18" s="110">
        <v>0.0</v>
      </c>
      <c r="L18" s="115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>
      <c r="A19" s="109" t="s">
        <v>186</v>
      </c>
      <c r="B19" s="111"/>
      <c r="C19" s="111"/>
      <c r="D19" s="112"/>
      <c r="E19" s="112"/>
      <c r="F19" s="112"/>
      <c r="G19" s="109"/>
      <c r="H19" s="112"/>
      <c r="I19" s="113">
        <f>L19*D59</f>
        <v>0</v>
      </c>
      <c r="J19" s="126"/>
      <c r="K19" s="110">
        <v>0.0</v>
      </c>
      <c r="L19" s="115">
        <f>B19/B59</f>
        <v>0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43" t="s">
        <v>182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18" t="s">
        <v>18</v>
      </c>
      <c r="B21" s="110">
        <v>0.0</v>
      </c>
      <c r="C21" s="111"/>
      <c r="D21" s="112"/>
      <c r="E21" s="112"/>
      <c r="F21" s="112"/>
      <c r="G21" s="117"/>
      <c r="H21" s="112"/>
      <c r="I21" s="113">
        <f t="shared" ref="I21:I24" si="11">L21*D61</f>
        <v>0</v>
      </c>
      <c r="J21" s="114"/>
      <c r="K21" s="114">
        <f t="shared" ref="K21:K24" si="12">B21-C21-D21-E21-F21-I21+J21-G21-H21</f>
        <v>0</v>
      </c>
      <c r="L21" s="115">
        <f t="shared" ref="L21:L24" si="13">B21/B61</f>
        <v>0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187</v>
      </c>
      <c r="B22" s="122"/>
      <c r="C22" s="119"/>
      <c r="D22" s="112"/>
      <c r="E22" s="112"/>
      <c r="F22" s="112"/>
      <c r="G22" s="117"/>
      <c r="H22" s="112"/>
      <c r="I22" s="113">
        <f t="shared" si="11"/>
        <v>0</v>
      </c>
      <c r="J22" s="119"/>
      <c r="K22" s="114">
        <f t="shared" si="12"/>
        <v>0</v>
      </c>
      <c r="L22" s="115">
        <f t="shared" si="13"/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 outlineLevel="1">
      <c r="A23" s="109" t="s">
        <v>206</v>
      </c>
      <c r="B23" s="110">
        <v>0.0</v>
      </c>
      <c r="C23" s="111"/>
      <c r="D23" s="112"/>
      <c r="E23" s="112"/>
      <c r="F23" s="112"/>
      <c r="G23" s="117"/>
      <c r="H23" s="112"/>
      <c r="I23" s="113">
        <f t="shared" si="11"/>
        <v>0</v>
      </c>
      <c r="J23" s="112"/>
      <c r="K23" s="114">
        <f t="shared" si="12"/>
        <v>0</v>
      </c>
      <c r="L23" s="115">
        <f t="shared" si="13"/>
        <v>0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 outlineLevel="1">
      <c r="A24" s="124" t="s">
        <v>67</v>
      </c>
      <c r="B24" s="110">
        <v>0.0</v>
      </c>
      <c r="C24" s="119"/>
      <c r="D24" s="112"/>
      <c r="E24" s="112"/>
      <c r="F24" s="112"/>
      <c r="G24" s="112"/>
      <c r="H24" s="112"/>
      <c r="I24" s="113">
        <f t="shared" si="11"/>
        <v>0</v>
      </c>
      <c r="J24" s="112"/>
      <c r="K24" s="114">
        <f t="shared" si="12"/>
        <v>0</v>
      </c>
      <c r="L24" s="115">
        <f t="shared" si="13"/>
        <v>0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8.0" customHeight="1" outlineLevel="1">
      <c r="A25" s="143" t="s">
        <v>183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5"/>
      <c r="L25" s="146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 outlineLevel="1">
      <c r="A26" s="109" t="s">
        <v>164</v>
      </c>
      <c r="B26" s="110">
        <v>250000.0</v>
      </c>
      <c r="C26" s="111">
        <v>187000.0</v>
      </c>
      <c r="D26" s="109">
        <v>50000.0</v>
      </c>
      <c r="E26" s="112"/>
      <c r="F26" s="112"/>
      <c r="G26" s="109"/>
      <c r="H26" s="109">
        <v>13000.0</v>
      </c>
      <c r="I26" s="113">
        <f t="shared" ref="I26:I27" si="14">L26*D67</f>
        <v>0</v>
      </c>
      <c r="J26" s="112"/>
      <c r="K26" s="114">
        <f t="shared" ref="K26:K27" si="15">B26-C26-D26-E26-F26-I26+J26-G26-H26</f>
        <v>0</v>
      </c>
      <c r="L26" s="115">
        <f t="shared" ref="L26:L27" si="16">B26/B67</f>
        <v>9615.384615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24" t="s">
        <v>71</v>
      </c>
      <c r="B27" s="110">
        <v>150000.0</v>
      </c>
      <c r="C27" s="111">
        <v>150000.0</v>
      </c>
      <c r="D27" s="117"/>
      <c r="E27" s="112"/>
      <c r="F27" s="112"/>
      <c r="G27" s="117"/>
      <c r="H27" s="112"/>
      <c r="I27" s="113">
        <f t="shared" si="14"/>
        <v>0</v>
      </c>
      <c r="J27" s="112"/>
      <c r="K27" s="114">
        <f t="shared" si="15"/>
        <v>0</v>
      </c>
      <c r="L27" s="115">
        <f t="shared" si="16"/>
        <v>5769.230769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 outlineLevel="1">
      <c r="A28" s="109"/>
      <c r="B28" s="110"/>
      <c r="C28" s="111"/>
      <c r="D28" s="112"/>
      <c r="E28" s="112"/>
      <c r="F28" s="112"/>
      <c r="G28" s="112"/>
      <c r="H28" s="112"/>
      <c r="I28" s="113"/>
      <c r="J28" s="112"/>
      <c r="K28" s="114"/>
      <c r="L28" s="115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>
      <c r="A29" s="109" t="s">
        <v>192</v>
      </c>
      <c r="B29" s="110">
        <v>80000.0</v>
      </c>
      <c r="C29" s="111">
        <v>43077.0</v>
      </c>
      <c r="D29" s="112"/>
      <c r="E29" s="112"/>
      <c r="F29" s="112"/>
      <c r="G29" s="112"/>
      <c r="H29" s="112"/>
      <c r="I29" s="113">
        <f t="shared" ref="I29:I30" si="17">L29*D71</f>
        <v>36923.07692</v>
      </c>
      <c r="J29" s="112"/>
      <c r="K29" s="114">
        <f t="shared" ref="K29:K30" si="18">B29-C29-D29-E29-F29-I29+J29-G29-H29</f>
        <v>-0.07692307692</v>
      </c>
      <c r="L29" s="115">
        <f t="shared" ref="L29:L30" si="19">B29/B71</f>
        <v>3076.923077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>
      <c r="A30" s="109" t="s">
        <v>207</v>
      </c>
      <c r="B30" s="110">
        <v>80000.0</v>
      </c>
      <c r="C30" s="111">
        <v>36923.0</v>
      </c>
      <c r="D30" s="112"/>
      <c r="E30" s="112"/>
      <c r="F30" s="112"/>
      <c r="G30" s="112"/>
      <c r="H30" s="112"/>
      <c r="I30" s="113">
        <f t="shared" si="17"/>
        <v>43076.92308</v>
      </c>
      <c r="J30" s="112"/>
      <c r="K30" s="114">
        <f t="shared" si="18"/>
        <v>0.07692307692</v>
      </c>
      <c r="L30" s="115">
        <f t="shared" si="19"/>
        <v>3076.923077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118" t="s">
        <v>26</v>
      </c>
      <c r="B31" s="119">
        <f>SUM(B2:B28)</f>
        <v>4758678</v>
      </c>
      <c r="C31" s="119">
        <f>B31+J15+J17</f>
        <v>5673023.789</v>
      </c>
      <c r="D31" s="112"/>
      <c r="E31" s="112"/>
      <c r="F31" s="112"/>
      <c r="G31" s="112"/>
      <c r="H31" s="112"/>
      <c r="I31" s="112"/>
      <c r="J31" s="112"/>
      <c r="K31" s="126">
        <f>SUM(K2:K29)</f>
        <v>18720.25004</v>
      </c>
      <c r="L31" s="112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3"/>
      <c r="L32" s="12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28"/>
      <c r="B34" s="128"/>
      <c r="C34" s="128"/>
      <c r="D34" s="129" t="s">
        <v>110</v>
      </c>
      <c r="E34" s="128"/>
      <c r="F34" s="128"/>
      <c r="G34" s="128"/>
      <c r="H34" s="128"/>
      <c r="I34" s="128"/>
      <c r="J34" s="128"/>
      <c r="K34" s="12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28"/>
      <c r="B35" s="128"/>
      <c r="C35" s="128"/>
      <c r="D35" s="130"/>
      <c r="E35" s="128"/>
      <c r="F35" s="128"/>
      <c r="G35" s="128"/>
      <c r="H35" s="128"/>
      <c r="I35" s="128"/>
      <c r="J35" s="128"/>
      <c r="K35" s="12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28"/>
      <c r="B36" s="128"/>
      <c r="C36" s="128"/>
      <c r="D36" s="128"/>
      <c r="E36" s="128"/>
      <c r="F36" s="130"/>
      <c r="G36" s="128"/>
      <c r="H36" s="128"/>
      <c r="I36" s="128"/>
      <c r="J36" s="128"/>
      <c r="K36" s="12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79</v>
      </c>
      <c r="B37" s="166" t="s">
        <v>28</v>
      </c>
      <c r="C37" s="167" t="s">
        <v>29</v>
      </c>
      <c r="D37" s="168" t="s">
        <v>80</v>
      </c>
      <c r="E37" s="118" t="s">
        <v>81</v>
      </c>
      <c r="F37" s="128"/>
      <c r="G37" s="128"/>
      <c r="H37" s="128"/>
      <c r="I37" s="128"/>
      <c r="J37" s="125" t="s">
        <v>200</v>
      </c>
      <c r="K37" s="123">
        <f>'Февраль'!K34+'Март'!K38+'Апрель'!K35+'Май'!K33+'Июнь 2025'!K29+'Июль 2025'!K31+K31+'Август 2025'!K31</f>
        <v>2677850.595</v>
      </c>
      <c r="L37" s="123">
        <f>K37-'Февраль'!K4-'Март'!K5-'Апрель'!K5-'Май'!K5-'Июнь 2025'!K5-'Июль 2025'!K5-K5</f>
        <v>1279130.595</v>
      </c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09" t="s">
        <v>127</v>
      </c>
      <c r="B38" s="120">
        <v>18.0</v>
      </c>
      <c r="C38" s="115">
        <f t="shared" ref="C38:C39" si="20">B38-D38</f>
        <v>18</v>
      </c>
      <c r="D38" s="115">
        <v>0.0</v>
      </c>
      <c r="E38" s="135">
        <v>45327.0</v>
      </c>
      <c r="F38" s="128"/>
      <c r="G38" s="128"/>
      <c r="H38" s="128"/>
      <c r="I38" s="128"/>
      <c r="J38" s="128"/>
      <c r="K38" s="12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09" t="s">
        <v>128</v>
      </c>
      <c r="B39" s="120">
        <v>18.0</v>
      </c>
      <c r="C39" s="115">
        <f t="shared" si="20"/>
        <v>18</v>
      </c>
      <c r="D39" s="115">
        <v>0.0</v>
      </c>
      <c r="E39" s="135">
        <v>45327.0</v>
      </c>
      <c r="F39" s="128"/>
      <c r="G39" s="128"/>
      <c r="H39" s="128"/>
      <c r="I39" s="128"/>
      <c r="J39" s="125" t="s">
        <v>201</v>
      </c>
      <c r="K39" s="128">
        <f>K40+K41+K42+K43</f>
        <v>9432189</v>
      </c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43" t="s">
        <v>174</v>
      </c>
      <c r="B40" s="144"/>
      <c r="C40" s="144"/>
      <c r="D40" s="144"/>
      <c r="E40" s="169"/>
      <c r="F40" s="128"/>
      <c r="G40" s="128"/>
      <c r="H40" s="128"/>
      <c r="I40" s="128"/>
      <c r="J40" s="125" t="s">
        <v>202</v>
      </c>
      <c r="K40" s="125">
        <v>1500000.0</v>
      </c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09" t="s">
        <v>129</v>
      </c>
      <c r="B41" s="120">
        <v>21.0</v>
      </c>
      <c r="C41" s="115">
        <f t="shared" ref="C41:C52" si="21">B41-D41</f>
        <v>21</v>
      </c>
      <c r="D41" s="115">
        <v>0.0</v>
      </c>
      <c r="E41" s="135">
        <v>45327.0</v>
      </c>
      <c r="F41" s="128"/>
      <c r="G41" s="128"/>
      <c r="H41" s="128"/>
      <c r="I41" s="128"/>
      <c r="J41" s="125" t="s">
        <v>127</v>
      </c>
      <c r="K41" s="128">
        <f>4632189-700000-300000-700000</f>
        <v>2932189</v>
      </c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18" t="s">
        <v>132</v>
      </c>
      <c r="B42" s="120">
        <v>21.0</v>
      </c>
      <c r="C42" s="115">
        <f t="shared" si="21"/>
        <v>21</v>
      </c>
      <c r="D42" s="115">
        <v>0.0</v>
      </c>
      <c r="E42" s="135">
        <v>45327.0</v>
      </c>
      <c r="F42" s="128"/>
      <c r="G42" s="128"/>
      <c r="H42" s="128"/>
      <c r="I42" s="128"/>
      <c r="J42" s="125" t="s">
        <v>128</v>
      </c>
      <c r="K42" s="125">
        <v>2000000.0</v>
      </c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75</v>
      </c>
      <c r="B43" s="120">
        <v>21.0</v>
      </c>
      <c r="C43" s="115">
        <f t="shared" si="21"/>
        <v>21</v>
      </c>
      <c r="D43" s="115">
        <v>0.0</v>
      </c>
      <c r="E43" s="135">
        <v>45327.0</v>
      </c>
      <c r="F43" s="128"/>
      <c r="G43" s="128"/>
      <c r="H43" s="128"/>
      <c r="I43" s="128"/>
      <c r="J43" s="125" t="s">
        <v>129</v>
      </c>
      <c r="K43" s="125">
        <v>3000000.0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24" t="s">
        <v>100</v>
      </c>
      <c r="B44" s="120">
        <v>21.0</v>
      </c>
      <c r="C44" s="115">
        <f t="shared" si="21"/>
        <v>21</v>
      </c>
      <c r="D44" s="120">
        <v>0.0</v>
      </c>
      <c r="E44" s="135">
        <v>45297.0</v>
      </c>
      <c r="F44" s="125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18" t="s">
        <v>47</v>
      </c>
      <c r="B45" s="120">
        <v>21.0</v>
      </c>
      <c r="C45" s="115">
        <f t="shared" si="21"/>
        <v>21</v>
      </c>
      <c r="D45" s="120">
        <v>0.0</v>
      </c>
      <c r="E45" s="135">
        <v>45327.0</v>
      </c>
      <c r="F45" s="138"/>
      <c r="G45" s="128"/>
      <c r="H45" s="128"/>
      <c r="I45" s="128"/>
      <c r="J45" s="125" t="s">
        <v>203</v>
      </c>
      <c r="K45" s="125">
        <v>1500000.0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24" t="s">
        <v>133</v>
      </c>
      <c r="B46" s="120">
        <v>26.0</v>
      </c>
      <c r="C46" s="115">
        <f t="shared" si="21"/>
        <v>26</v>
      </c>
      <c r="D46" s="120"/>
      <c r="E46" s="135">
        <v>45327.0</v>
      </c>
      <c r="F46" s="138"/>
      <c r="G46" s="128"/>
      <c r="H46" s="130"/>
      <c r="I46" s="128"/>
      <c r="J46" s="128"/>
      <c r="K46" s="12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175</v>
      </c>
      <c r="B47" s="120">
        <v>10.0</v>
      </c>
      <c r="C47" s="115">
        <f t="shared" si="21"/>
        <v>10</v>
      </c>
      <c r="D47" s="120">
        <v>0.0</v>
      </c>
      <c r="E47" s="135">
        <v>45327.0</v>
      </c>
      <c r="F47" s="130"/>
      <c r="G47" s="128"/>
      <c r="H47" s="128"/>
      <c r="I47" s="128"/>
      <c r="J47" s="128"/>
      <c r="K47" s="12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09" t="s">
        <v>176</v>
      </c>
      <c r="B48" s="120">
        <v>21.0</v>
      </c>
      <c r="C48" s="115">
        <f t="shared" si="21"/>
        <v>21</v>
      </c>
      <c r="D48" s="136">
        <v>0.0</v>
      </c>
      <c r="E48" s="135">
        <v>45297.0</v>
      </c>
      <c r="F48" s="13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177</v>
      </c>
      <c r="B49" s="120">
        <v>10.0</v>
      </c>
      <c r="C49" s="115">
        <f t="shared" si="21"/>
        <v>10</v>
      </c>
      <c r="D49" s="120">
        <v>0.0</v>
      </c>
      <c r="E49" s="135">
        <v>45327.0</v>
      </c>
      <c r="F49" s="138"/>
      <c r="G49" s="116"/>
      <c r="H49" s="108"/>
      <c r="I49" s="108"/>
      <c r="J49" s="125" t="s">
        <v>208</v>
      </c>
      <c r="K49" s="108">
        <f>SUM(K50:K53)</f>
        <v>0</v>
      </c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145</v>
      </c>
      <c r="B50" s="120">
        <v>18.0</v>
      </c>
      <c r="C50" s="115">
        <f t="shared" si="21"/>
        <v>18</v>
      </c>
      <c r="D50" s="120">
        <v>0.0</v>
      </c>
      <c r="E50" s="135">
        <v>45327.0</v>
      </c>
      <c r="F50" s="138"/>
      <c r="G50" s="116"/>
      <c r="H50" s="108"/>
      <c r="I50" s="108"/>
      <c r="J50" s="125" t="s">
        <v>209</v>
      </c>
      <c r="K50" s="125">
        <f>600000-200000-400000</f>
        <v>0</v>
      </c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162</v>
      </c>
      <c r="B51" s="120">
        <v>18.0</v>
      </c>
      <c r="C51" s="115">
        <f t="shared" si="21"/>
        <v>18</v>
      </c>
      <c r="D51" s="120">
        <v>0.0</v>
      </c>
      <c r="E51" s="135">
        <v>45327.0</v>
      </c>
      <c r="F51" s="138"/>
      <c r="G51" s="116"/>
      <c r="H51" s="108"/>
      <c r="I51" s="108"/>
      <c r="J51" s="125" t="s">
        <v>210</v>
      </c>
      <c r="K51" s="125">
        <f>645000-645000</f>
        <v>0</v>
      </c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163</v>
      </c>
      <c r="B52" s="120">
        <v>18.0</v>
      </c>
      <c r="C52" s="115">
        <f t="shared" si="21"/>
        <v>18</v>
      </c>
      <c r="D52" s="120">
        <v>0.0</v>
      </c>
      <c r="E52" s="135">
        <v>45327.0</v>
      </c>
      <c r="F52" s="125"/>
      <c r="G52" s="116"/>
      <c r="H52" s="108"/>
      <c r="I52" s="108"/>
      <c r="J52" s="125" t="s">
        <v>211</v>
      </c>
      <c r="K52" s="125">
        <f>330000-330000</f>
        <v>0</v>
      </c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43" t="s">
        <v>180</v>
      </c>
      <c r="B53" s="144"/>
      <c r="C53" s="144"/>
      <c r="D53" s="144"/>
      <c r="E53" s="169"/>
      <c r="F53" s="130"/>
      <c r="G53" s="108"/>
      <c r="H53" s="108"/>
      <c r="I53" s="108"/>
      <c r="J53" s="125" t="s">
        <v>212</v>
      </c>
      <c r="K53" s="125">
        <f>750000-750000</f>
        <v>0</v>
      </c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24" t="s">
        <v>115</v>
      </c>
      <c r="B54" s="120">
        <v>26.0</v>
      </c>
      <c r="C54" s="115">
        <f t="shared" ref="C54:C57" si="22">B54-D54</f>
        <v>25</v>
      </c>
      <c r="D54" s="120">
        <v>1.0</v>
      </c>
      <c r="E54" s="135">
        <v>45297.0</v>
      </c>
      <c r="F54" s="130"/>
      <c r="G54" s="128"/>
      <c r="H54" s="128"/>
      <c r="I54" s="128"/>
      <c r="J54" s="128"/>
      <c r="K54" s="12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24" t="s">
        <v>91</v>
      </c>
      <c r="B55" s="120">
        <v>26.0</v>
      </c>
      <c r="C55" s="115">
        <f t="shared" si="22"/>
        <v>26</v>
      </c>
      <c r="D55" s="120"/>
      <c r="E55" s="135">
        <v>45297.0</v>
      </c>
      <c r="F55" s="130"/>
      <c r="G55" s="128"/>
      <c r="H55" s="12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205</v>
      </c>
      <c r="B56" s="120">
        <v>26.0</v>
      </c>
      <c r="C56" s="115">
        <f t="shared" si="22"/>
        <v>21</v>
      </c>
      <c r="D56" s="120">
        <v>5.0</v>
      </c>
      <c r="E56" s="135">
        <v>45297.0</v>
      </c>
      <c r="F56" s="130"/>
      <c r="G56" s="128"/>
      <c r="H56" s="12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166</v>
      </c>
      <c r="B57" s="120">
        <v>26.0</v>
      </c>
      <c r="C57" s="115">
        <f t="shared" si="22"/>
        <v>25</v>
      </c>
      <c r="D57" s="120">
        <v>1.0</v>
      </c>
      <c r="E57" s="135">
        <v>45297.0</v>
      </c>
      <c r="F57" s="130"/>
      <c r="G57" s="128"/>
      <c r="H57" s="12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/>
      <c r="B58" s="120"/>
      <c r="C58" s="115"/>
      <c r="D58" s="136"/>
      <c r="E58" s="135"/>
      <c r="F58" s="130"/>
      <c r="G58" s="128"/>
      <c r="H58" s="128"/>
      <c r="I58" s="108"/>
      <c r="J58" s="125" t="s">
        <v>205</v>
      </c>
      <c r="K58" s="125" t="s">
        <v>213</v>
      </c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09" t="s">
        <v>186</v>
      </c>
      <c r="B59" s="120">
        <v>26.0</v>
      </c>
      <c r="C59" s="115">
        <f>B59-D59</f>
        <v>26</v>
      </c>
      <c r="D59" s="120">
        <v>0.0</v>
      </c>
      <c r="E59" s="135">
        <v>45297.0</v>
      </c>
      <c r="F59" s="130"/>
      <c r="G59" s="128"/>
      <c r="H59" s="128"/>
      <c r="I59" s="128"/>
      <c r="J59" s="125" t="s">
        <v>214</v>
      </c>
      <c r="K59" s="125" t="s">
        <v>215</v>
      </c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43" t="s">
        <v>182</v>
      </c>
      <c r="B60" s="144"/>
      <c r="C60" s="144"/>
      <c r="D60" s="144"/>
      <c r="E60" s="169"/>
      <c r="F60" s="130"/>
      <c r="G60" s="128"/>
      <c r="H60" s="128"/>
      <c r="I60" s="108"/>
      <c r="J60" s="125" t="s">
        <v>216</v>
      </c>
      <c r="K60" s="125" t="s">
        <v>217</v>
      </c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18" t="s">
        <v>18</v>
      </c>
      <c r="B61" s="120">
        <v>26.0</v>
      </c>
      <c r="C61" s="115">
        <f t="shared" ref="C61:C65" si="23">B61-D61</f>
        <v>26</v>
      </c>
      <c r="D61" s="136">
        <v>0.0</v>
      </c>
      <c r="E61" s="135">
        <v>45297.0</v>
      </c>
      <c r="F61" s="108"/>
      <c r="G61" s="108"/>
      <c r="H61" s="108"/>
      <c r="I61" s="108"/>
      <c r="J61" s="108"/>
      <c r="K61" s="125">
        <f>500-300</f>
        <v>200</v>
      </c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195</v>
      </c>
      <c r="B62" s="120">
        <v>21.0</v>
      </c>
      <c r="C62" s="115">
        <f t="shared" si="23"/>
        <v>21</v>
      </c>
      <c r="D62" s="120">
        <v>0.0</v>
      </c>
      <c r="E62" s="135">
        <v>45297.0</v>
      </c>
      <c r="F62" s="125"/>
      <c r="G62" s="108"/>
      <c r="H62" s="108"/>
      <c r="I62" s="108"/>
      <c r="J62" s="125" t="s">
        <v>218</v>
      </c>
      <c r="K62" s="125" t="s">
        <v>219</v>
      </c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 t="s">
        <v>206</v>
      </c>
      <c r="B63" s="120">
        <v>25.0</v>
      </c>
      <c r="C63" s="115">
        <f t="shared" si="23"/>
        <v>6</v>
      </c>
      <c r="D63" s="120">
        <v>19.0</v>
      </c>
      <c r="E63" s="135">
        <v>45327.0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24" t="s">
        <v>67</v>
      </c>
      <c r="B64" s="120">
        <v>21.0</v>
      </c>
      <c r="C64" s="115">
        <f t="shared" si="23"/>
        <v>21</v>
      </c>
      <c r="D64" s="136">
        <v>0.0</v>
      </c>
      <c r="E64" s="135">
        <v>45327.0</v>
      </c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18" t="s">
        <v>41</v>
      </c>
      <c r="B65" s="120">
        <v>21.0</v>
      </c>
      <c r="C65" s="115">
        <f t="shared" si="23"/>
        <v>21</v>
      </c>
      <c r="D65" s="136">
        <v>0.0</v>
      </c>
      <c r="E65" s="135">
        <v>45327.0</v>
      </c>
      <c r="F65" s="130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70" t="s">
        <v>183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09" t="s">
        <v>164</v>
      </c>
      <c r="B67" s="120">
        <v>26.0</v>
      </c>
      <c r="C67" s="115">
        <f t="shared" ref="C67:C72" si="24">B67-D67</f>
        <v>26</v>
      </c>
      <c r="D67" s="120"/>
      <c r="E67" s="135">
        <v>45297.0</v>
      </c>
      <c r="F67" s="125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24" t="s">
        <v>71</v>
      </c>
      <c r="B68" s="120">
        <v>26.0</v>
      </c>
      <c r="C68" s="115">
        <f t="shared" si="24"/>
        <v>26</v>
      </c>
      <c r="D68" s="120"/>
      <c r="E68" s="135">
        <v>45327.0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18" t="s">
        <v>70</v>
      </c>
      <c r="B69" s="120">
        <v>24.0</v>
      </c>
      <c r="C69" s="115">
        <f t="shared" si="24"/>
        <v>24</v>
      </c>
      <c r="D69" s="120"/>
      <c r="E69" s="135">
        <v>45327.0</v>
      </c>
      <c r="F69" s="130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09" t="s">
        <v>191</v>
      </c>
      <c r="B70" s="120">
        <v>25.0</v>
      </c>
      <c r="C70" s="115">
        <f t="shared" si="24"/>
        <v>25</v>
      </c>
      <c r="D70" s="120"/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09" t="s">
        <v>193</v>
      </c>
      <c r="B71" s="120">
        <v>26.0</v>
      </c>
      <c r="C71" s="115">
        <f t="shared" si="24"/>
        <v>14</v>
      </c>
      <c r="D71" s="120">
        <v>12.0</v>
      </c>
      <c r="E71" s="135">
        <v>45327.0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25" t="s">
        <v>220</v>
      </c>
      <c r="B72" s="125">
        <v>26.0</v>
      </c>
      <c r="C72" s="115">
        <f t="shared" si="24"/>
        <v>12</v>
      </c>
      <c r="D72" s="125">
        <v>14.0</v>
      </c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  <row r="1000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</row>
    <row r="1001">
      <c r="A1001" s="139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</row>
  </sheetData>
  <mergeCells count="8">
    <mergeCell ref="A4:J4"/>
    <mergeCell ref="A14:J14"/>
    <mergeCell ref="A20:J20"/>
    <mergeCell ref="A25:J25"/>
    <mergeCell ref="A40:E40"/>
    <mergeCell ref="A53:E53"/>
    <mergeCell ref="A60:E60"/>
    <mergeCell ref="A66:E6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  <col customWidth="1" min="15" max="15" width="16.78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300000.0</v>
      </c>
      <c r="C2" s="111">
        <v>300000.0</v>
      </c>
      <c r="D2" s="109"/>
      <c r="E2" s="117"/>
      <c r="F2" s="117"/>
      <c r="G2" s="117"/>
      <c r="H2" s="112"/>
      <c r="I2" s="113">
        <f t="shared" ref="I2:I3" si="1">L2*D43</f>
        <v>0</v>
      </c>
      <c r="J2" s="112"/>
      <c r="K2" s="114">
        <f>B2-C2-D2-E2-F2-I2+J2-G2-H2</f>
        <v>0</v>
      </c>
      <c r="L2" s="115">
        <f t="shared" ref="L2:L3" si="2">B2/B43</f>
        <v>16666.66667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500000.0</v>
      </c>
      <c r="C3" s="110">
        <v>225000.0</v>
      </c>
      <c r="D3" s="109">
        <v>100000.0</v>
      </c>
      <c r="E3" s="117"/>
      <c r="F3" s="117"/>
      <c r="G3" s="109"/>
      <c r="H3" s="112"/>
      <c r="I3" s="113">
        <f t="shared" si="1"/>
        <v>0</v>
      </c>
      <c r="J3" s="112"/>
      <c r="K3" s="114">
        <f>B3-C3-D3-E3-F3-I3+J3-G3</f>
        <v>175000</v>
      </c>
      <c r="L3" s="115">
        <f t="shared" si="2"/>
        <v>27777.77778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500000.0</v>
      </c>
      <c r="C5" s="111">
        <v>50000.0</v>
      </c>
      <c r="D5" s="109"/>
      <c r="E5" s="109">
        <v>102000.0</v>
      </c>
      <c r="F5" s="109"/>
      <c r="G5" s="109">
        <v>5000.0</v>
      </c>
      <c r="H5" s="112"/>
      <c r="I5" s="113">
        <f t="shared" ref="I5:I6" si="3">L5*D46</f>
        <v>0</v>
      </c>
      <c r="J5" s="112"/>
      <c r="K5" s="114">
        <f>B5-C5-D5-E5-F5-I5+J5-G5-H5</f>
        <v>343000</v>
      </c>
      <c r="L5" s="115">
        <f t="shared" ref="L5:L6" si="4">B5/B46</f>
        <v>23809.52381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f>94500+100000</f>
        <v>194500</v>
      </c>
      <c r="C6" s="111">
        <v>194500.0</v>
      </c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0</v>
      </c>
      <c r="L6" s="115">
        <f t="shared" si="4"/>
        <v>9261.904762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34</v>
      </c>
      <c r="B7" s="110">
        <f>243000+75000+130000</f>
        <v>448000</v>
      </c>
      <c r="C7" s="111">
        <v>240000.0</v>
      </c>
      <c r="D7" s="109">
        <v>75000.0</v>
      </c>
      <c r="E7" s="109">
        <v>130000.0</v>
      </c>
      <c r="F7" s="109"/>
      <c r="G7" s="109">
        <v>3000.0</v>
      </c>
      <c r="H7" s="112"/>
      <c r="I7" s="113">
        <f>L7*D52</f>
        <v>0</v>
      </c>
      <c r="J7" s="112"/>
      <c r="K7" s="114">
        <f>B7-C7-D7-E7-F7-I7+J7-G7-H7</f>
        <v>0</v>
      </c>
      <c r="L7" s="115">
        <f>B7/B52</f>
        <v>44800</v>
      </c>
      <c r="M7" s="116" t="s">
        <v>140</v>
      </c>
      <c r="N7" s="125" t="s">
        <v>221</v>
      </c>
      <c r="O7" s="125" t="s">
        <v>222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196</v>
      </c>
      <c r="B8" s="110">
        <v>82500.0</v>
      </c>
      <c r="C8" s="111">
        <v>82500.0</v>
      </c>
      <c r="D8" s="112"/>
      <c r="E8" s="112"/>
      <c r="F8" s="112"/>
      <c r="G8" s="112"/>
      <c r="H8" s="112"/>
      <c r="I8" s="113">
        <f t="shared" ref="I8:I9" si="5">L8*D50</f>
        <v>0</v>
      </c>
      <c r="J8" s="112"/>
      <c r="K8" s="114">
        <f t="shared" ref="K8:K9" si="6">B8-C8-D8-E8-F8-I8+J8-G8</f>
        <v>0</v>
      </c>
      <c r="L8" s="115">
        <f t="shared" ref="L8:L9" si="7">B8/B50</f>
        <v>3928.571429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200000.0</v>
      </c>
      <c r="C9" s="111">
        <v>200000.0</v>
      </c>
      <c r="D9" s="112"/>
      <c r="E9" s="112"/>
      <c r="F9" s="112"/>
      <c r="G9" s="112"/>
      <c r="H9" s="112"/>
      <c r="I9" s="113">
        <f t="shared" si="5"/>
        <v>0</v>
      </c>
      <c r="J9" s="112"/>
      <c r="K9" s="114">
        <f t="shared" si="6"/>
        <v>0</v>
      </c>
      <c r="L9" s="115">
        <f t="shared" si="7"/>
        <v>7692.307692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176</v>
      </c>
      <c r="B10" s="110">
        <v>104000.0</v>
      </c>
      <c r="C10" s="111"/>
      <c r="D10" s="112"/>
      <c r="E10" s="112"/>
      <c r="F10" s="109"/>
      <c r="G10" s="109">
        <v>3000.0</v>
      </c>
      <c r="H10" s="109">
        <v>101000.0</v>
      </c>
      <c r="I10" s="113">
        <f>L10*D53</f>
        <v>0</v>
      </c>
      <c r="J10" s="112"/>
      <c r="K10" s="114">
        <f t="shared" ref="K10:K11" si="8">B10-C10-D10-E10-F10-I10+J10-G10-H10</f>
        <v>0</v>
      </c>
      <c r="L10" s="115">
        <f>B10/B53</f>
        <v>4952.380952</v>
      </c>
      <c r="M10" s="116" t="s">
        <v>140</v>
      </c>
      <c r="N10" s="125" t="s">
        <v>223</v>
      </c>
      <c r="O10" s="116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24" t="s">
        <v>91</v>
      </c>
      <c r="B11" s="110">
        <v>350000.0</v>
      </c>
      <c r="C11" s="111">
        <v>200000.0</v>
      </c>
      <c r="D11" s="109">
        <v>150000.0</v>
      </c>
      <c r="E11" s="112"/>
      <c r="F11" s="112"/>
      <c r="G11" s="112"/>
      <c r="H11" s="109"/>
      <c r="I11" s="113">
        <f>L11*D60</f>
        <v>0</v>
      </c>
      <c r="J11" s="164"/>
      <c r="K11" s="114">
        <f t="shared" si="8"/>
        <v>0</v>
      </c>
      <c r="L11" s="115">
        <f>B11/B60</f>
        <v>13461.53846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224</v>
      </c>
      <c r="B12" s="110">
        <v>0.0</v>
      </c>
      <c r="C12" s="111"/>
      <c r="D12" s="112"/>
      <c r="E12" s="112"/>
      <c r="F12" s="112"/>
      <c r="G12" s="112"/>
      <c r="H12" s="112"/>
      <c r="I12" s="113">
        <f>L12*D55</f>
        <v>0</v>
      </c>
      <c r="J12" s="112"/>
      <c r="K12" s="114">
        <f t="shared" ref="K12:K13" si="9">B12-C12-D12-E12-F12-I12+J12-G12</f>
        <v>0</v>
      </c>
      <c r="L12" s="115">
        <f>B12/B55</f>
        <v>0</v>
      </c>
      <c r="M12" s="116"/>
      <c r="N12" s="116"/>
      <c r="O12" s="116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199</v>
      </c>
      <c r="B13" s="110">
        <v>60000.0</v>
      </c>
      <c r="C13" s="111">
        <v>60000.0</v>
      </c>
      <c r="D13" s="112"/>
      <c r="E13" s="112"/>
      <c r="F13" s="112"/>
      <c r="G13" s="112"/>
      <c r="H13" s="112"/>
      <c r="I13" s="113">
        <f>L13*D55</f>
        <v>0</v>
      </c>
      <c r="J13" s="112"/>
      <c r="K13" s="114">
        <f t="shared" si="9"/>
        <v>0</v>
      </c>
      <c r="L13" s="115">
        <f>B13/B55</f>
        <v>3333.333333</v>
      </c>
      <c r="M13" s="125" t="s">
        <v>225</v>
      </c>
      <c r="N13" s="125" t="s">
        <v>226</v>
      </c>
      <c r="O13" s="116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 t="s">
        <v>204</v>
      </c>
      <c r="B14" s="110">
        <v>289500.0</v>
      </c>
      <c r="C14" s="111">
        <v>286500.0</v>
      </c>
      <c r="D14" s="112"/>
      <c r="E14" s="112"/>
      <c r="F14" s="109"/>
      <c r="G14" s="109">
        <v>3000.0</v>
      </c>
      <c r="H14" s="112"/>
      <c r="I14" s="113">
        <f>L14*D57</f>
        <v>0</v>
      </c>
      <c r="J14" s="112"/>
      <c r="K14" s="114">
        <f t="shared" ref="K14:K18" si="10">B14-C14-D14-E14-F14-I14+J14-G14-H14</f>
        <v>0</v>
      </c>
      <c r="L14" s="115">
        <f>B14/B57</f>
        <v>16083.33333</v>
      </c>
      <c r="M14" s="116"/>
      <c r="N14" s="116"/>
      <c r="O14" s="116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 outlineLevel="1">
      <c r="A15" s="109" t="s">
        <v>227</v>
      </c>
      <c r="B15" s="110">
        <v>112000.0</v>
      </c>
      <c r="C15" s="111">
        <v>112000.0</v>
      </c>
      <c r="D15" s="112"/>
      <c r="E15" s="112"/>
      <c r="F15" s="109"/>
      <c r="G15" s="109"/>
      <c r="H15" s="112"/>
      <c r="I15" s="120">
        <v>0.0</v>
      </c>
      <c r="J15" s="112"/>
      <c r="K15" s="114">
        <f t="shared" si="10"/>
        <v>0</v>
      </c>
      <c r="L15" s="120">
        <v>0.0</v>
      </c>
      <c r="M15" s="116"/>
      <c r="N15" s="116"/>
      <c r="O15" s="116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 outlineLevel="1">
      <c r="A16" s="109" t="s">
        <v>228</v>
      </c>
      <c r="B16" s="110">
        <v>40000.0</v>
      </c>
      <c r="C16" s="111">
        <v>40000.0</v>
      </c>
      <c r="D16" s="112"/>
      <c r="E16" s="112"/>
      <c r="F16" s="109"/>
      <c r="G16" s="117"/>
      <c r="H16" s="112"/>
      <c r="I16" s="113"/>
      <c r="J16" s="112"/>
      <c r="K16" s="114">
        <f t="shared" si="10"/>
        <v>0</v>
      </c>
      <c r="L16" s="115">
        <f t="shared" ref="L16:L18" si="11">B16/B59</f>
        <v>1538.461538</v>
      </c>
      <c r="M16" s="116"/>
      <c r="N16" s="116"/>
      <c r="O16" s="116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09" t="s">
        <v>229</v>
      </c>
      <c r="B17" s="110">
        <v>16000.0</v>
      </c>
      <c r="C17" s="111">
        <v>16000.0</v>
      </c>
      <c r="D17" s="112"/>
      <c r="E17" s="112"/>
      <c r="F17" s="109"/>
      <c r="G17" s="117"/>
      <c r="H17" s="112"/>
      <c r="I17" s="113">
        <f t="shared" ref="I17:I18" si="12">L17*D60</f>
        <v>0</v>
      </c>
      <c r="J17" s="112"/>
      <c r="K17" s="114">
        <f t="shared" si="10"/>
        <v>0</v>
      </c>
      <c r="L17" s="115">
        <f t="shared" si="11"/>
        <v>615.3846154</v>
      </c>
      <c r="M17" s="116"/>
      <c r="N17" s="116"/>
      <c r="O17" s="116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 outlineLevel="1">
      <c r="A18" s="109" t="s">
        <v>230</v>
      </c>
      <c r="B18" s="110">
        <v>42000.0</v>
      </c>
      <c r="C18" s="111">
        <v>42000.0</v>
      </c>
      <c r="D18" s="112"/>
      <c r="E18" s="112"/>
      <c r="F18" s="109"/>
      <c r="G18" s="117"/>
      <c r="H18" s="112"/>
      <c r="I18" s="113">
        <f t="shared" si="12"/>
        <v>0</v>
      </c>
      <c r="J18" s="112"/>
      <c r="K18" s="114">
        <f t="shared" si="10"/>
        <v>0</v>
      </c>
      <c r="L18" s="115">
        <f t="shared" si="11"/>
        <v>1615.384615</v>
      </c>
      <c r="M18" s="116"/>
      <c r="N18" s="116"/>
      <c r="O18" s="116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6.5" customHeight="1">
      <c r="A19" s="143" t="s">
        <v>180</v>
      </c>
      <c r="B19" s="144"/>
      <c r="C19" s="144"/>
      <c r="D19" s="144"/>
      <c r="E19" s="144"/>
      <c r="F19" s="144"/>
      <c r="G19" s="144"/>
      <c r="H19" s="144"/>
      <c r="I19" s="144"/>
      <c r="J19" s="144"/>
      <c r="K19" s="145"/>
      <c r="L19" s="146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24" t="s">
        <v>115</v>
      </c>
      <c r="B20" s="110">
        <v>200000.0</v>
      </c>
      <c r="C20" s="111">
        <v>500000.0</v>
      </c>
      <c r="D20" s="109">
        <v>50000.0</v>
      </c>
      <c r="E20" s="112"/>
      <c r="F20" s="109"/>
      <c r="G20" s="117"/>
      <c r="H20" s="109">
        <v>30000.0</v>
      </c>
      <c r="I20" s="113">
        <f>L20*D59</f>
        <v>15384.61538</v>
      </c>
      <c r="J20" s="126">
        <f>IFERROR(__xludf.DUMMYFUNCTION("IMPORTRANGE(""https://docs.google.com/spreadsheets/d/1JJd44_6b1hsmD6e8liei_zzkkh-GYab6gE4K23IJPVI/edit?gid=0#gid=0&amp;range=J95"",""'Лист1'!K448"")"),459875.07000000065)</f>
        <v>459875.07</v>
      </c>
      <c r="K20" s="114">
        <f>B20-C20-D20-E20-F20-I20+J20-G20-H20+100000</f>
        <v>164490.4546</v>
      </c>
      <c r="L20" s="115">
        <f>B20/B59</f>
        <v>7692.307692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09" t="s">
        <v>231</v>
      </c>
      <c r="B21" s="111">
        <v>100000.0</v>
      </c>
      <c r="C21" s="111">
        <v>276000.0</v>
      </c>
      <c r="D21" s="112"/>
      <c r="E21" s="112"/>
      <c r="F21" s="112"/>
      <c r="G21" s="117"/>
      <c r="H21" s="109"/>
      <c r="I21" s="113">
        <f t="shared" ref="I21:I22" si="13">L21*D61</f>
        <v>0</v>
      </c>
      <c r="J21" s="111">
        <v>176000.0</v>
      </c>
      <c r="K21" s="114">
        <f>B21-C21-D21-E21-F21-I21+J21-G21-H21</f>
        <v>0</v>
      </c>
      <c r="L21" s="115">
        <f t="shared" ref="L21:L22" si="14">B21/B61</f>
        <v>3846.153846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181</v>
      </c>
      <c r="B22" s="111">
        <v>100000.0</v>
      </c>
      <c r="C22" s="111">
        <v>220000.0</v>
      </c>
      <c r="D22" s="109">
        <v>235000.0</v>
      </c>
      <c r="E22" s="112"/>
      <c r="F22" s="109"/>
      <c r="G22" s="109"/>
      <c r="H22" s="109"/>
      <c r="I22" s="113">
        <f t="shared" si="13"/>
        <v>3846.153846</v>
      </c>
      <c r="J22" s="126">
        <f>IFERROR(__xludf.DUMMYFUNCTION("IMPORTRANGE(""https://docs.google.com/spreadsheets/d/1JJd44_6b1hsmD6e8liei_zzkkh-GYab6gE4K23IJPVI/edit?gid=0#gid=0&amp;range=J95"",""'Лист1'!W438"")"),314725.5)</f>
        <v>314725.5</v>
      </c>
      <c r="K22" s="110">
        <v>0.0</v>
      </c>
      <c r="L22" s="115">
        <f t="shared" si="14"/>
        <v>3846.153846</v>
      </c>
      <c r="M22" s="125">
        <v>-49121.0</v>
      </c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9" t="s">
        <v>232</v>
      </c>
      <c r="B23" s="111">
        <v>100000.0</v>
      </c>
      <c r="C23" s="111">
        <v>280000.0</v>
      </c>
      <c r="D23" s="112"/>
      <c r="E23" s="112"/>
      <c r="F23" s="112"/>
      <c r="G23" s="112"/>
      <c r="H23" s="112"/>
      <c r="I23" s="113"/>
      <c r="J23" s="111">
        <v>180000.0</v>
      </c>
      <c r="K23" s="114">
        <f>B23-C23-D23-E23-F23-I23+J23-G23-H23</f>
        <v>0</v>
      </c>
      <c r="L23" s="115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9" t="s">
        <v>186</v>
      </c>
      <c r="B24" s="111"/>
      <c r="C24" s="111"/>
      <c r="D24" s="112"/>
      <c r="E24" s="112"/>
      <c r="F24" s="112"/>
      <c r="G24" s="109"/>
      <c r="H24" s="112"/>
      <c r="I24" s="113">
        <f>L24*D64</f>
        <v>0</v>
      </c>
      <c r="J24" s="126"/>
      <c r="K24" s="110">
        <v>0.0</v>
      </c>
      <c r="L24" s="115">
        <f>B24/B64</f>
        <v>0</v>
      </c>
      <c r="M24" s="108"/>
      <c r="N24" s="108"/>
      <c r="O24" s="123">
        <f>K18++K15+200000+K13+K34+K17</f>
        <v>200000</v>
      </c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43" t="s">
        <v>182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5"/>
      <c r="L25" s="146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18" t="s">
        <v>18</v>
      </c>
      <c r="B26" s="110">
        <v>250000.0</v>
      </c>
      <c r="C26" s="111">
        <v>250000.0</v>
      </c>
      <c r="D26" s="112"/>
      <c r="E26" s="112"/>
      <c r="F26" s="112"/>
      <c r="G26" s="117"/>
      <c r="H26" s="112"/>
      <c r="I26" s="113">
        <f>L26*D66</f>
        <v>0</v>
      </c>
      <c r="J26" s="114"/>
      <c r="K26" s="114">
        <f t="shared" ref="K26:K29" si="15">B26-C26-D26-E26-F26-I26+J26-G26-H26</f>
        <v>0</v>
      </c>
      <c r="L26" s="115">
        <f t="shared" ref="L26:L29" si="16">B26/B66</f>
        <v>8620.689655</v>
      </c>
      <c r="M26" s="125" t="s">
        <v>233</v>
      </c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09" t="s">
        <v>234</v>
      </c>
      <c r="B27" s="110">
        <v>65000.0</v>
      </c>
      <c r="C27" s="111">
        <v>60000.0</v>
      </c>
      <c r="D27" s="112"/>
      <c r="E27" s="112"/>
      <c r="F27" s="109"/>
      <c r="G27" s="109">
        <v>5000.0</v>
      </c>
      <c r="H27" s="112"/>
      <c r="I27" s="120">
        <v>0.0</v>
      </c>
      <c r="J27" s="119"/>
      <c r="K27" s="114">
        <f t="shared" si="15"/>
        <v>0</v>
      </c>
      <c r="L27" s="115">
        <f t="shared" si="16"/>
        <v>2241.37931</v>
      </c>
      <c r="M27" s="125" t="s">
        <v>235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 outlineLevel="1">
      <c r="A28" s="109" t="s">
        <v>206</v>
      </c>
      <c r="B28" s="110">
        <v>150000.0</v>
      </c>
      <c r="C28" s="111">
        <v>150000.0</v>
      </c>
      <c r="D28" s="112"/>
      <c r="E28" s="112"/>
      <c r="F28" s="112"/>
      <c r="G28" s="117"/>
      <c r="H28" s="112"/>
      <c r="I28" s="113">
        <f>L28*D68</f>
        <v>0</v>
      </c>
      <c r="J28" s="112"/>
      <c r="K28" s="114">
        <f t="shared" si="15"/>
        <v>0</v>
      </c>
      <c r="L28" s="115">
        <f t="shared" si="16"/>
        <v>5172.413793</v>
      </c>
      <c r="M28" s="125" t="s">
        <v>236</v>
      </c>
      <c r="N28" s="125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24" t="s">
        <v>67</v>
      </c>
      <c r="B29" s="110">
        <v>130000.0</v>
      </c>
      <c r="C29" s="111">
        <v>130000.0</v>
      </c>
      <c r="D29" s="112"/>
      <c r="E29" s="112"/>
      <c r="F29" s="112"/>
      <c r="G29" s="112"/>
      <c r="H29" s="112"/>
      <c r="I29" s="120">
        <v>0.0</v>
      </c>
      <c r="J29" s="112"/>
      <c r="K29" s="114">
        <f t="shared" si="15"/>
        <v>0</v>
      </c>
      <c r="L29" s="115">
        <f t="shared" si="16"/>
        <v>4482.758621</v>
      </c>
      <c r="M29" s="125" t="s">
        <v>237</v>
      </c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8.0" customHeight="1" outlineLevel="1">
      <c r="A30" s="143" t="s">
        <v>183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5"/>
      <c r="L30" s="146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 outlineLevel="1">
      <c r="A31" s="109" t="s">
        <v>164</v>
      </c>
      <c r="B31" s="110">
        <v>250000.0</v>
      </c>
      <c r="C31" s="111">
        <v>100000.0</v>
      </c>
      <c r="D31" s="109">
        <v>100000.0</v>
      </c>
      <c r="E31" s="109">
        <v>50000.0</v>
      </c>
      <c r="F31" s="112"/>
      <c r="G31" s="109"/>
      <c r="H31" s="109"/>
      <c r="I31" s="113">
        <f t="shared" ref="I31:I32" si="17">L31*D72</f>
        <v>0</v>
      </c>
      <c r="J31" s="112"/>
      <c r="K31" s="114">
        <f t="shared" ref="K31:K32" si="18">B31-C31-D31-E31-F31-I31+J31-G31-H31</f>
        <v>0</v>
      </c>
      <c r="L31" s="115">
        <f t="shared" ref="L31:L32" si="19">B31/B72</f>
        <v>9615.384615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24" t="s">
        <v>71</v>
      </c>
      <c r="B32" s="110">
        <v>150000.0</v>
      </c>
      <c r="C32" s="119"/>
      <c r="D32" s="117"/>
      <c r="E32" s="112"/>
      <c r="F32" s="112"/>
      <c r="G32" s="117"/>
      <c r="H32" s="112"/>
      <c r="I32" s="113">
        <f t="shared" si="17"/>
        <v>0</v>
      </c>
      <c r="J32" s="112"/>
      <c r="K32" s="114">
        <f t="shared" si="18"/>
        <v>150000</v>
      </c>
      <c r="L32" s="115">
        <f t="shared" si="19"/>
        <v>5769.230769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 outlineLevel="1">
      <c r="A33" s="109"/>
      <c r="B33" s="110"/>
      <c r="C33" s="111"/>
      <c r="D33" s="112"/>
      <c r="E33" s="112"/>
      <c r="F33" s="112"/>
      <c r="G33" s="112"/>
      <c r="H33" s="112"/>
      <c r="I33" s="113"/>
      <c r="J33" s="112"/>
      <c r="K33" s="114"/>
      <c r="L33" s="115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09" t="s">
        <v>192</v>
      </c>
      <c r="B34" s="110">
        <v>80000.0</v>
      </c>
      <c r="C34" s="111">
        <v>80000.0</v>
      </c>
      <c r="D34" s="112"/>
      <c r="E34" s="112"/>
      <c r="F34" s="112"/>
      <c r="G34" s="112"/>
      <c r="H34" s="112"/>
      <c r="I34" s="113">
        <f>L34*D76</f>
        <v>0</v>
      </c>
      <c r="J34" s="112"/>
      <c r="K34" s="114">
        <f>B34-C34-D34-E34-F34-I34+J34-G34-H34</f>
        <v>0</v>
      </c>
      <c r="L34" s="115">
        <f>B34/B76</f>
        <v>2962.962963</v>
      </c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18"/>
      <c r="B35" s="119"/>
      <c r="C35" s="119"/>
      <c r="D35" s="112"/>
      <c r="E35" s="112"/>
      <c r="F35" s="112"/>
      <c r="G35" s="112"/>
      <c r="H35" s="112"/>
      <c r="I35" s="112"/>
      <c r="J35" s="112"/>
      <c r="K35" s="126"/>
      <c r="L35" s="112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18" t="s">
        <v>26</v>
      </c>
      <c r="B36" s="119">
        <f>SUM(B2:B33)</f>
        <v>4733500</v>
      </c>
      <c r="C36" s="119">
        <f>B36+J20+J22</f>
        <v>5508100.57</v>
      </c>
      <c r="D36" s="112"/>
      <c r="E36" s="112"/>
      <c r="F36" s="112"/>
      <c r="G36" s="112"/>
      <c r="H36" s="112"/>
      <c r="I36" s="112"/>
      <c r="J36" s="112"/>
      <c r="K36" s="126">
        <f>SUM(K2:K34)</f>
        <v>832490.4546</v>
      </c>
      <c r="L36" s="112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3"/>
      <c r="L37" s="12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9" t="s">
        <v>110</v>
      </c>
      <c r="E39" s="128"/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30"/>
      <c r="E40" s="128"/>
      <c r="F40" s="128"/>
      <c r="G40" s="128"/>
      <c r="H40" s="128"/>
      <c r="I40" s="128"/>
      <c r="J40" s="128"/>
      <c r="K40" s="128"/>
      <c r="L40" s="108"/>
      <c r="M40" s="108"/>
      <c r="N40" s="123">
        <f>K6+K7+K8+K9+K10+K11+K13+K14+K15+K15+K16+K17+K18+K21+K34</f>
        <v>0</v>
      </c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28"/>
      <c r="B41" s="128"/>
      <c r="C41" s="128"/>
      <c r="D41" s="128"/>
      <c r="E41" s="128"/>
      <c r="F41" s="130"/>
      <c r="G41" s="128"/>
      <c r="H41" s="128"/>
      <c r="I41" s="128"/>
      <c r="J41" s="128"/>
      <c r="K41" s="128"/>
      <c r="L41" s="123">
        <f>K42-'Февраль'!K4-'Март'!K5-'Апрель'!K5-'Май'!K5-'Июнь 2025'!K5-'Июль 2025'!K5-K5</f>
        <v>1609105.251</v>
      </c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18" t="s">
        <v>79</v>
      </c>
      <c r="B42" s="166" t="s">
        <v>28</v>
      </c>
      <c r="C42" s="167" t="s">
        <v>29</v>
      </c>
      <c r="D42" s="168" t="s">
        <v>80</v>
      </c>
      <c r="E42" s="118" t="s">
        <v>81</v>
      </c>
      <c r="F42" s="128"/>
      <c r="G42" s="128"/>
      <c r="H42" s="128"/>
      <c r="I42" s="128"/>
      <c r="J42" s="125" t="s">
        <v>200</v>
      </c>
      <c r="K42" s="123">
        <f>'Февраль'!K34+'Март'!K38+'Апрель'!K35+'Май'!K33+'Июнь 2025'!K29+'Июль 2025'!K31+K36</f>
        <v>3332105.251</v>
      </c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09" t="s">
        <v>127</v>
      </c>
      <c r="B43" s="120">
        <v>18.0</v>
      </c>
      <c r="C43" s="115">
        <f t="shared" ref="C43:C44" si="20">B43-D43</f>
        <v>18</v>
      </c>
      <c r="D43" s="115">
        <v>0.0</v>
      </c>
      <c r="E43" s="135">
        <v>45327.0</v>
      </c>
      <c r="F43" s="128"/>
      <c r="G43" s="128"/>
      <c r="H43" s="128"/>
      <c r="I43" s="128"/>
      <c r="J43" s="128"/>
      <c r="K43" s="12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9" t="s">
        <v>128</v>
      </c>
      <c r="B44" s="120">
        <v>18.0</v>
      </c>
      <c r="C44" s="115">
        <f t="shared" si="20"/>
        <v>18</v>
      </c>
      <c r="D44" s="115">
        <v>0.0</v>
      </c>
      <c r="E44" s="135">
        <v>45327.0</v>
      </c>
      <c r="F44" s="128"/>
      <c r="G44" s="128"/>
      <c r="H44" s="128"/>
      <c r="I44" s="128"/>
      <c r="J44" s="125" t="s">
        <v>201</v>
      </c>
      <c r="K44" s="128">
        <f>K45+K46+K47+K48</f>
        <v>8032189</v>
      </c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43" t="s">
        <v>174</v>
      </c>
      <c r="B45" s="144"/>
      <c r="C45" s="144"/>
      <c r="D45" s="144"/>
      <c r="E45" s="169"/>
      <c r="F45" s="128"/>
      <c r="G45" s="128"/>
      <c r="H45" s="128"/>
      <c r="I45" s="128"/>
      <c r="J45" s="125" t="s">
        <v>202</v>
      </c>
      <c r="K45" s="125">
        <v>400000.0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09" t="s">
        <v>129</v>
      </c>
      <c r="B46" s="120">
        <v>21.0</v>
      </c>
      <c r="C46" s="115">
        <f t="shared" ref="C46:C57" si="21">B46-D46</f>
        <v>21</v>
      </c>
      <c r="D46" s="115">
        <v>0.0</v>
      </c>
      <c r="E46" s="135">
        <v>45327.0</v>
      </c>
      <c r="F46" s="128"/>
      <c r="G46" s="128"/>
      <c r="H46" s="128"/>
      <c r="I46" s="128"/>
      <c r="J46" s="125" t="s">
        <v>127</v>
      </c>
      <c r="K46" s="128">
        <f>4632189-700000-300000-700000-300000</f>
        <v>2632189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18" t="s">
        <v>132</v>
      </c>
      <c r="B47" s="120">
        <v>21.0</v>
      </c>
      <c r="C47" s="115">
        <f t="shared" si="21"/>
        <v>21</v>
      </c>
      <c r="D47" s="115">
        <v>0.0</v>
      </c>
      <c r="E47" s="135">
        <v>45327.0</v>
      </c>
      <c r="F47" s="128"/>
      <c r="G47" s="128"/>
      <c r="H47" s="128"/>
      <c r="I47" s="128"/>
      <c r="J47" s="125" t="s">
        <v>128</v>
      </c>
      <c r="K47" s="125">
        <v>2000000.0</v>
      </c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09" t="s">
        <v>34</v>
      </c>
      <c r="B48" s="120">
        <v>21.0</v>
      </c>
      <c r="C48" s="115">
        <f t="shared" si="21"/>
        <v>21</v>
      </c>
      <c r="D48" s="115">
        <v>0.0</v>
      </c>
      <c r="E48" s="135">
        <v>45327.0</v>
      </c>
      <c r="F48" s="128"/>
      <c r="G48" s="128"/>
      <c r="H48" s="128"/>
      <c r="I48" s="128"/>
      <c r="J48" s="125" t="s">
        <v>129</v>
      </c>
      <c r="K48" s="125">
        <v>3000000.0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196</v>
      </c>
      <c r="B49" s="120">
        <v>21.0</v>
      </c>
      <c r="C49" s="115">
        <f t="shared" si="21"/>
        <v>21</v>
      </c>
      <c r="D49" s="120">
        <v>0.0</v>
      </c>
      <c r="E49" s="135">
        <v>45297.0</v>
      </c>
      <c r="F49" s="125"/>
      <c r="G49" s="128"/>
      <c r="H49" s="128"/>
      <c r="I49" s="128"/>
      <c r="J49" s="128"/>
      <c r="K49" s="12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197</v>
      </c>
      <c r="B50" s="120">
        <v>21.0</v>
      </c>
      <c r="C50" s="115">
        <f t="shared" si="21"/>
        <v>21</v>
      </c>
      <c r="D50" s="120">
        <v>0.0</v>
      </c>
      <c r="E50" s="135">
        <v>45327.0</v>
      </c>
      <c r="F50" s="138"/>
      <c r="G50" s="128"/>
      <c r="H50" s="128"/>
      <c r="I50" s="128"/>
      <c r="J50" s="125" t="s">
        <v>203</v>
      </c>
      <c r="K50" s="125">
        <v>1500000.0</v>
      </c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176</v>
      </c>
      <c r="B51" s="120">
        <v>26.0</v>
      </c>
      <c r="C51" s="115">
        <f t="shared" si="21"/>
        <v>26</v>
      </c>
      <c r="D51" s="120"/>
      <c r="E51" s="135">
        <v>45327.0</v>
      </c>
      <c r="F51" s="138"/>
      <c r="G51" s="128"/>
      <c r="H51" s="130"/>
      <c r="I51" s="128"/>
      <c r="J51" s="128"/>
      <c r="K51" s="12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24" t="s">
        <v>91</v>
      </c>
      <c r="B52" s="120">
        <v>10.0</v>
      </c>
      <c r="C52" s="115">
        <f t="shared" si="21"/>
        <v>10</v>
      </c>
      <c r="D52" s="120">
        <v>0.0</v>
      </c>
      <c r="E52" s="135">
        <v>45327.0</v>
      </c>
      <c r="F52" s="130"/>
      <c r="G52" s="128"/>
      <c r="H52" s="128"/>
      <c r="I52" s="128"/>
      <c r="J52" s="128"/>
      <c r="K52" s="12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09" t="s">
        <v>224</v>
      </c>
      <c r="B53" s="120">
        <v>21.0</v>
      </c>
      <c r="C53" s="115">
        <f t="shared" si="21"/>
        <v>21</v>
      </c>
      <c r="D53" s="136">
        <v>0.0</v>
      </c>
      <c r="E53" s="135">
        <v>45297.0</v>
      </c>
      <c r="F53" s="13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199</v>
      </c>
      <c r="B54" s="120">
        <v>10.0</v>
      </c>
      <c r="C54" s="115">
        <f t="shared" si="21"/>
        <v>10</v>
      </c>
      <c r="D54" s="120">
        <v>0.0</v>
      </c>
      <c r="E54" s="135">
        <v>45327.0</v>
      </c>
      <c r="F54" s="138"/>
      <c r="G54" s="116"/>
      <c r="H54" s="108"/>
      <c r="I54" s="108"/>
      <c r="J54" s="125" t="s">
        <v>208</v>
      </c>
      <c r="K54" s="108">
        <f>SUM(K55:K58)</f>
        <v>0</v>
      </c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204</v>
      </c>
      <c r="B55" s="120">
        <v>18.0</v>
      </c>
      <c r="C55" s="115">
        <f t="shared" si="21"/>
        <v>18</v>
      </c>
      <c r="D55" s="120">
        <v>0.0</v>
      </c>
      <c r="E55" s="135">
        <v>45327.0</v>
      </c>
      <c r="F55" s="138"/>
      <c r="G55" s="116"/>
      <c r="H55" s="108"/>
      <c r="I55" s="108"/>
      <c r="J55" s="125" t="s">
        <v>209</v>
      </c>
      <c r="K55" s="125">
        <f>600000-200000-400000</f>
        <v>0</v>
      </c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83</v>
      </c>
      <c r="B56" s="120">
        <v>18.0</v>
      </c>
      <c r="C56" s="115">
        <f t="shared" si="21"/>
        <v>18</v>
      </c>
      <c r="D56" s="120">
        <v>0.0</v>
      </c>
      <c r="E56" s="135">
        <v>45327.0</v>
      </c>
      <c r="F56" s="138"/>
      <c r="G56" s="116"/>
      <c r="H56" s="108"/>
      <c r="I56" s="108"/>
      <c r="J56" s="125" t="s">
        <v>210</v>
      </c>
      <c r="K56" s="125">
        <f>645000-645000</f>
        <v>0</v>
      </c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83</v>
      </c>
      <c r="B57" s="120">
        <v>18.0</v>
      </c>
      <c r="C57" s="115">
        <f t="shared" si="21"/>
        <v>18</v>
      </c>
      <c r="D57" s="120">
        <v>0.0</v>
      </c>
      <c r="E57" s="135">
        <v>45327.0</v>
      </c>
      <c r="F57" s="125"/>
      <c r="G57" s="116"/>
      <c r="H57" s="108"/>
      <c r="I57" s="108"/>
      <c r="J57" s="125" t="s">
        <v>211</v>
      </c>
      <c r="K57" s="125">
        <f>330000-330000</f>
        <v>0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43" t="s">
        <v>180</v>
      </c>
      <c r="B58" s="144"/>
      <c r="C58" s="144"/>
      <c r="D58" s="144"/>
      <c r="E58" s="169"/>
      <c r="F58" s="130"/>
      <c r="G58" s="108"/>
      <c r="H58" s="108"/>
      <c r="I58" s="108"/>
      <c r="J58" s="125" t="s">
        <v>212</v>
      </c>
      <c r="K58" s="125">
        <f>750000-750000</f>
        <v>0</v>
      </c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24" t="s">
        <v>115</v>
      </c>
      <c r="B59" s="120">
        <v>26.0</v>
      </c>
      <c r="C59" s="115">
        <f t="shared" ref="C59:C62" si="22">B59-D59</f>
        <v>24</v>
      </c>
      <c r="D59" s="120">
        <v>2.0</v>
      </c>
      <c r="E59" s="135">
        <v>45297.0</v>
      </c>
      <c r="F59" s="130"/>
      <c r="G59" s="128"/>
      <c r="H59" s="128"/>
      <c r="I59" s="128"/>
      <c r="J59" s="128"/>
      <c r="K59" s="12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91</v>
      </c>
      <c r="B60" s="120">
        <v>26.0</v>
      </c>
      <c r="C60" s="115">
        <f t="shared" si="22"/>
        <v>26</v>
      </c>
      <c r="D60" s="120">
        <v>0.0</v>
      </c>
      <c r="E60" s="135">
        <v>45297.0</v>
      </c>
      <c r="F60" s="130"/>
      <c r="G60" s="128"/>
      <c r="H60" s="12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09" t="s">
        <v>231</v>
      </c>
      <c r="B61" s="120">
        <v>26.0</v>
      </c>
      <c r="C61" s="115">
        <f t="shared" si="22"/>
        <v>26</v>
      </c>
      <c r="D61" s="120">
        <v>0.0</v>
      </c>
      <c r="E61" s="135">
        <v>45297.0</v>
      </c>
      <c r="F61" s="130"/>
      <c r="G61" s="128"/>
      <c r="H61" s="128"/>
      <c r="I61" s="108"/>
      <c r="J61" s="125" t="s">
        <v>238</v>
      </c>
      <c r="K61" s="125">
        <f>1260000-1260000</f>
        <v>0</v>
      </c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166</v>
      </c>
      <c r="B62" s="120">
        <v>26.0</v>
      </c>
      <c r="C62" s="115">
        <f t="shared" si="22"/>
        <v>25</v>
      </c>
      <c r="D62" s="120">
        <v>1.0</v>
      </c>
      <c r="E62" s="135">
        <v>45297.0</v>
      </c>
      <c r="F62" s="130"/>
      <c r="G62" s="128"/>
      <c r="H62" s="12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/>
      <c r="B63" s="120"/>
      <c r="C63" s="115"/>
      <c r="D63" s="136"/>
      <c r="E63" s="135"/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186</v>
      </c>
      <c r="B64" s="120">
        <v>26.0</v>
      </c>
      <c r="C64" s="115">
        <f>B64-D64</f>
        <v>26</v>
      </c>
      <c r="D64" s="120">
        <v>0.0</v>
      </c>
      <c r="E64" s="135">
        <v>45297.0</v>
      </c>
      <c r="F64" s="130"/>
      <c r="G64" s="128"/>
      <c r="H64" s="128"/>
      <c r="I64" s="128"/>
      <c r="J64" s="128"/>
      <c r="K64" s="12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43" t="s">
        <v>182</v>
      </c>
      <c r="B65" s="144"/>
      <c r="C65" s="144"/>
      <c r="D65" s="144"/>
      <c r="E65" s="169"/>
      <c r="F65" s="130"/>
      <c r="G65" s="128"/>
      <c r="H65" s="12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18" t="s">
        <v>18</v>
      </c>
      <c r="B66" s="120">
        <v>29.0</v>
      </c>
      <c r="C66" s="115">
        <f t="shared" ref="C66:C70" si="23">B66-D66</f>
        <v>29</v>
      </c>
      <c r="D66" s="120">
        <v>0.0</v>
      </c>
      <c r="E66" s="135">
        <v>45297.0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09" t="s">
        <v>239</v>
      </c>
      <c r="B67" s="120">
        <v>29.0</v>
      </c>
      <c r="C67" s="115">
        <f t="shared" si="23"/>
        <v>24</v>
      </c>
      <c r="D67" s="120">
        <v>5.0</v>
      </c>
      <c r="E67" s="135">
        <v>45297.0</v>
      </c>
      <c r="F67" s="125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9" t="s">
        <v>206</v>
      </c>
      <c r="B68" s="120">
        <v>29.0</v>
      </c>
      <c r="C68" s="115">
        <f t="shared" si="23"/>
        <v>29</v>
      </c>
      <c r="D68" s="136">
        <v>0.0</v>
      </c>
      <c r="E68" s="135">
        <v>45327.0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24" t="s">
        <v>67</v>
      </c>
      <c r="B69" s="120">
        <v>29.0</v>
      </c>
      <c r="C69" s="115">
        <f t="shared" si="23"/>
        <v>20</v>
      </c>
      <c r="D69" s="120">
        <v>9.0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18" t="s">
        <v>41</v>
      </c>
      <c r="B70" s="120">
        <v>29.0</v>
      </c>
      <c r="C70" s="115">
        <f t="shared" si="23"/>
        <v>29</v>
      </c>
      <c r="D70" s="136">
        <v>0.0</v>
      </c>
      <c r="E70" s="135">
        <v>45327.0</v>
      </c>
      <c r="F70" s="130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70" t="s">
        <v>183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09" t="s">
        <v>164</v>
      </c>
      <c r="B72" s="120">
        <v>26.0</v>
      </c>
      <c r="C72" s="115">
        <f t="shared" ref="C72:C76" si="24">B72-D72</f>
        <v>26</v>
      </c>
      <c r="D72" s="120"/>
      <c r="E72" s="135">
        <v>45297.0</v>
      </c>
      <c r="F72" s="125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24" t="s">
        <v>71</v>
      </c>
      <c r="B73" s="120">
        <v>26.0</v>
      </c>
      <c r="C73" s="115">
        <f t="shared" si="24"/>
        <v>26</v>
      </c>
      <c r="D73" s="120"/>
      <c r="E73" s="135">
        <v>45327.0</v>
      </c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18" t="s">
        <v>70</v>
      </c>
      <c r="B74" s="120">
        <v>24.0</v>
      </c>
      <c r="C74" s="115">
        <f t="shared" si="24"/>
        <v>24</v>
      </c>
      <c r="D74" s="120"/>
      <c r="E74" s="135">
        <v>45327.0</v>
      </c>
      <c r="F74" s="130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9" t="s">
        <v>191</v>
      </c>
      <c r="B75" s="120">
        <v>25.0</v>
      </c>
      <c r="C75" s="115">
        <f t="shared" si="24"/>
        <v>25</v>
      </c>
      <c r="D75" s="120"/>
      <c r="E75" s="135">
        <v>45327.0</v>
      </c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9" t="s">
        <v>193</v>
      </c>
      <c r="B76" s="120">
        <v>27.0</v>
      </c>
      <c r="C76" s="115">
        <f t="shared" si="24"/>
        <v>27</v>
      </c>
      <c r="D76" s="120"/>
      <c r="E76" s="135">
        <v>45327.0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39"/>
      <c r="B1004" s="139"/>
      <c r="C1004" s="139"/>
      <c r="D1004" s="139"/>
      <c r="E1004" s="139"/>
      <c r="F1004" s="139"/>
      <c r="G1004" s="139"/>
      <c r="H1004" s="139"/>
      <c r="I1004" s="139"/>
      <c r="J1004" s="139"/>
      <c r="K1004" s="139"/>
      <c r="L1004" s="139"/>
      <c r="M1004" s="139"/>
      <c r="N1004" s="139"/>
      <c r="O1004" s="139"/>
      <c r="P1004" s="139"/>
      <c r="Q1004" s="139"/>
      <c r="R1004" s="139"/>
      <c r="S1004" s="139"/>
      <c r="T1004" s="139"/>
      <c r="U1004" s="139"/>
      <c r="V1004" s="139"/>
      <c r="W1004" s="139"/>
      <c r="X1004" s="139"/>
      <c r="Y1004" s="139"/>
      <c r="Z1004" s="139"/>
    </row>
    <row r="1005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</sheetData>
  <mergeCells count="8">
    <mergeCell ref="A4:J4"/>
    <mergeCell ref="A19:J19"/>
    <mergeCell ref="A25:J25"/>
    <mergeCell ref="A30:J30"/>
    <mergeCell ref="A45:E45"/>
    <mergeCell ref="A58:E58"/>
    <mergeCell ref="A65:E65"/>
    <mergeCell ref="A71:E7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  <col customWidth="1" min="15" max="15" width="16.78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330000.0</v>
      </c>
      <c r="C2" s="111">
        <v>330000.0</v>
      </c>
      <c r="D2" s="109"/>
      <c r="E2" s="117"/>
      <c r="F2" s="117"/>
      <c r="G2" s="117"/>
      <c r="H2" s="112"/>
      <c r="I2" s="113">
        <f t="shared" ref="I2:I3" si="1">L2*D44</f>
        <v>0</v>
      </c>
      <c r="J2" s="112"/>
      <c r="K2" s="114">
        <f>B2-C2-D2-E2-F2-I2+J2-G2-H2</f>
        <v>0</v>
      </c>
      <c r="L2" s="115">
        <f t="shared" ref="L2:L3" si="2">B2/B44</f>
        <v>18333.33333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500000.0</v>
      </c>
      <c r="C3" s="110">
        <v>100000.0</v>
      </c>
      <c r="D3" s="109">
        <v>82000.0</v>
      </c>
      <c r="E3" s="109">
        <v>70000.0</v>
      </c>
      <c r="F3" s="109">
        <v>41738.0</v>
      </c>
      <c r="G3" s="109"/>
      <c r="H3" s="112"/>
      <c r="I3" s="113">
        <f t="shared" si="1"/>
        <v>0</v>
      </c>
      <c r="J3" s="112"/>
      <c r="K3" s="114">
        <f>B3-C3-D3-E3-F3-I3+J3-G3</f>
        <v>206262</v>
      </c>
      <c r="L3" s="115">
        <f t="shared" si="2"/>
        <v>27777.77778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500000.0</v>
      </c>
      <c r="C5" s="111">
        <v>61000.0</v>
      </c>
      <c r="D5" s="109">
        <v>318000.0</v>
      </c>
      <c r="E5" s="109">
        <v>107000.0</v>
      </c>
      <c r="F5" s="109"/>
      <c r="G5" s="117"/>
      <c r="H5" s="112"/>
      <c r="I5" s="113">
        <f t="shared" ref="I5:I6" si="3">L5*D47</f>
        <v>0</v>
      </c>
      <c r="J5" s="112"/>
      <c r="K5" s="114">
        <f>B5-C5-D5-E5-F5-I5+J5-G5-H5</f>
        <v>14000</v>
      </c>
      <c r="L5" s="115">
        <f t="shared" ref="L5:L6" si="4">B5/B47</f>
        <v>23809.52381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182000.0</v>
      </c>
      <c r="C6" s="111">
        <v>100000.0</v>
      </c>
      <c r="D6" s="109">
        <v>82000.0</v>
      </c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0</v>
      </c>
      <c r="L6" s="115">
        <f t="shared" si="4"/>
        <v>8666.666667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34</v>
      </c>
      <c r="B7" s="110">
        <f>68250+75000+12000</f>
        <v>155250</v>
      </c>
      <c r="C7" s="111">
        <v>12000.0</v>
      </c>
      <c r="D7" s="109">
        <v>50000.0</v>
      </c>
      <c r="E7" s="109">
        <v>40000.0</v>
      </c>
      <c r="F7" s="109">
        <f>41250+12000</f>
        <v>53250</v>
      </c>
      <c r="G7" s="109"/>
      <c r="H7" s="112"/>
      <c r="I7" s="113">
        <f>L7*D53</f>
        <v>0</v>
      </c>
      <c r="J7" s="112"/>
      <c r="K7" s="114">
        <f>B7-C7-D7-E7-F7-I7+J7-G7-H7</f>
        <v>0</v>
      </c>
      <c r="L7" s="115">
        <f>B7/B53</f>
        <v>15525</v>
      </c>
      <c r="M7" s="116" t="s">
        <v>140</v>
      </c>
      <c r="N7" s="125" t="s">
        <v>221</v>
      </c>
      <c r="O7" s="125" t="s">
        <v>222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196</v>
      </c>
      <c r="B8" s="110">
        <v>0.0</v>
      </c>
      <c r="C8" s="119"/>
      <c r="D8" s="112"/>
      <c r="E8" s="112"/>
      <c r="F8" s="112"/>
      <c r="G8" s="112"/>
      <c r="H8" s="112"/>
      <c r="I8" s="113">
        <f t="shared" ref="I8:I9" si="5">L8*D51</f>
        <v>0</v>
      </c>
      <c r="J8" s="112"/>
      <c r="K8" s="114">
        <f t="shared" ref="K8:K9" si="6">B8-C8-D8-E8-F8-I8+J8-G8</f>
        <v>0</v>
      </c>
      <c r="L8" s="115">
        <f t="shared" ref="L8:L9" si="7">B8/B51</f>
        <v>0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200000.0</v>
      </c>
      <c r="C9" s="111">
        <v>200000.0</v>
      </c>
      <c r="D9" s="112"/>
      <c r="E9" s="112"/>
      <c r="F9" s="112"/>
      <c r="G9" s="117"/>
      <c r="H9" s="112"/>
      <c r="I9" s="113">
        <f t="shared" si="5"/>
        <v>0</v>
      </c>
      <c r="J9" s="112"/>
      <c r="K9" s="114">
        <f t="shared" si="6"/>
        <v>0</v>
      </c>
      <c r="L9" s="115">
        <f t="shared" si="7"/>
        <v>7692.307692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240</v>
      </c>
      <c r="B10" s="110">
        <v>75000.0</v>
      </c>
      <c r="C10" s="111">
        <v>75000.0</v>
      </c>
      <c r="D10" s="112"/>
      <c r="E10" s="112"/>
      <c r="F10" s="109"/>
      <c r="G10" s="109"/>
      <c r="H10" s="109"/>
      <c r="I10" s="113">
        <f>L10*D54</f>
        <v>0</v>
      </c>
      <c r="J10" s="112"/>
      <c r="K10" s="114">
        <f t="shared" ref="K10:K11" si="8">B10-C10-D10-E10-F10-I10+J10-G10-H10</f>
        <v>0</v>
      </c>
      <c r="L10" s="115">
        <f>B10/B54</f>
        <v>3571.428571</v>
      </c>
      <c r="M10" s="116" t="s">
        <v>140</v>
      </c>
      <c r="N10" s="125" t="s">
        <v>223</v>
      </c>
      <c r="O10" s="116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24" t="s">
        <v>91</v>
      </c>
      <c r="B11" s="110">
        <v>350000.0</v>
      </c>
      <c r="C11" s="111">
        <v>302885.0</v>
      </c>
      <c r="D11" s="112"/>
      <c r="E11" s="112"/>
      <c r="F11" s="112"/>
      <c r="G11" s="109"/>
      <c r="H11" s="109"/>
      <c r="I11" s="113">
        <f>L11*D61</f>
        <v>47115.38462</v>
      </c>
      <c r="J11" s="164"/>
      <c r="K11" s="114">
        <f t="shared" si="8"/>
        <v>-0.3846153846</v>
      </c>
      <c r="L11" s="115">
        <f>B11/B61</f>
        <v>13461.53846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224</v>
      </c>
      <c r="B12" s="110">
        <v>200000.0</v>
      </c>
      <c r="C12" s="111">
        <v>80000.0</v>
      </c>
      <c r="D12" s="112"/>
      <c r="E12" s="112"/>
      <c r="F12" s="112"/>
      <c r="G12" s="117"/>
      <c r="H12" s="112"/>
      <c r="I12" s="113">
        <f>L12*D56</f>
        <v>123076.9231</v>
      </c>
      <c r="J12" s="109">
        <v>80000.0</v>
      </c>
      <c r="K12" s="110">
        <v>0.0</v>
      </c>
      <c r="L12" s="115">
        <f>B12/B56</f>
        <v>7692.307692</v>
      </c>
      <c r="M12" s="116"/>
      <c r="N12" s="116"/>
      <c r="O12" s="116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199</v>
      </c>
      <c r="B13" s="110">
        <v>100000.0</v>
      </c>
      <c r="C13" s="111">
        <v>100000.0</v>
      </c>
      <c r="D13" s="112"/>
      <c r="E13" s="112"/>
      <c r="F13" s="112"/>
      <c r="G13" s="117"/>
      <c r="H13" s="112"/>
      <c r="I13" s="120">
        <v>0.0</v>
      </c>
      <c r="J13" s="112"/>
      <c r="K13" s="114">
        <f>B13-C13-D13-E13-F13-I13+J13-G13</f>
        <v>0</v>
      </c>
      <c r="L13" s="115">
        <f>B13/B56</f>
        <v>3846.153846</v>
      </c>
      <c r="M13" s="125" t="s">
        <v>225</v>
      </c>
      <c r="N13" s="125" t="s">
        <v>226</v>
      </c>
      <c r="O13" s="116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 t="s">
        <v>204</v>
      </c>
      <c r="B14" s="110">
        <v>289500.0</v>
      </c>
      <c r="C14" s="111">
        <v>50000.0</v>
      </c>
      <c r="D14" s="109">
        <v>239500.0</v>
      </c>
      <c r="E14" s="112"/>
      <c r="F14" s="109"/>
      <c r="G14" s="117"/>
      <c r="H14" s="112"/>
      <c r="I14" s="113">
        <f>L14*D58</f>
        <v>0</v>
      </c>
      <c r="J14" s="112"/>
      <c r="K14" s="114">
        <f t="shared" ref="K14:K19" si="9">B14-C14-D14-E14-F14-I14+J14-G14-H14</f>
        <v>0</v>
      </c>
      <c r="L14" s="115">
        <f>B14/B58</f>
        <v>16083.33333</v>
      </c>
      <c r="M14" s="116"/>
      <c r="N14" s="116"/>
      <c r="O14" s="116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 outlineLevel="1">
      <c r="A15" s="109" t="s">
        <v>227</v>
      </c>
      <c r="B15" s="110">
        <v>304000.0</v>
      </c>
      <c r="C15" s="111">
        <v>304000.0</v>
      </c>
      <c r="D15" s="112"/>
      <c r="E15" s="112"/>
      <c r="F15" s="109"/>
      <c r="G15" s="117"/>
      <c r="H15" s="112"/>
      <c r="I15" s="120">
        <v>0.0</v>
      </c>
      <c r="J15" s="112"/>
      <c r="K15" s="114">
        <f t="shared" si="9"/>
        <v>0</v>
      </c>
      <c r="L15" s="120">
        <v>0.0</v>
      </c>
      <c r="M15" s="116"/>
      <c r="N15" s="116"/>
      <c r="O15" s="116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 outlineLevel="1">
      <c r="A16" s="109" t="s">
        <v>228</v>
      </c>
      <c r="B16" s="110">
        <v>80000.0</v>
      </c>
      <c r="C16" s="111">
        <v>80000.0</v>
      </c>
      <c r="D16" s="112"/>
      <c r="E16" s="112"/>
      <c r="F16" s="109"/>
      <c r="G16" s="117"/>
      <c r="H16" s="112"/>
      <c r="I16" s="120">
        <v>0.0</v>
      </c>
      <c r="J16" s="112"/>
      <c r="K16" s="114">
        <f t="shared" si="9"/>
        <v>0</v>
      </c>
      <c r="L16" s="115">
        <f t="shared" ref="L16:L18" si="10">B16/B60</f>
        <v>3076.923077</v>
      </c>
      <c r="M16" s="116"/>
      <c r="N16" s="116"/>
      <c r="O16" s="116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09" t="s">
        <v>229</v>
      </c>
      <c r="B17" s="110">
        <v>190000.0</v>
      </c>
      <c r="C17" s="111">
        <v>70000.0</v>
      </c>
      <c r="D17" s="109">
        <v>72500.0</v>
      </c>
      <c r="E17" s="109">
        <v>47500.0</v>
      </c>
      <c r="F17" s="109"/>
      <c r="G17" s="117"/>
      <c r="H17" s="112"/>
      <c r="I17" s="120">
        <v>0.0</v>
      </c>
      <c r="J17" s="112"/>
      <c r="K17" s="114">
        <f t="shared" si="9"/>
        <v>0</v>
      </c>
      <c r="L17" s="115">
        <f t="shared" si="10"/>
        <v>7307.692308</v>
      </c>
      <c r="M17" s="125" t="s">
        <v>241</v>
      </c>
      <c r="N17" s="116"/>
      <c r="O17" s="116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 outlineLevel="1">
      <c r="A18" s="109" t="s">
        <v>230</v>
      </c>
      <c r="B18" s="110">
        <v>58000.0</v>
      </c>
      <c r="C18" s="111">
        <v>43500.0</v>
      </c>
      <c r="D18" s="109">
        <v>14500.0</v>
      </c>
      <c r="E18" s="112"/>
      <c r="F18" s="109"/>
      <c r="G18" s="117"/>
      <c r="H18" s="112"/>
      <c r="I18" s="113">
        <f>L18*D62</f>
        <v>0</v>
      </c>
      <c r="J18" s="112"/>
      <c r="K18" s="114">
        <f t="shared" si="9"/>
        <v>0</v>
      </c>
      <c r="L18" s="115">
        <f t="shared" si="10"/>
        <v>2230.769231</v>
      </c>
      <c r="M18" s="125" t="s">
        <v>242</v>
      </c>
      <c r="N18" s="116"/>
      <c r="O18" s="116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 outlineLevel="1">
      <c r="A19" s="157" t="s">
        <v>189</v>
      </c>
      <c r="B19" s="158">
        <v>199000.0</v>
      </c>
      <c r="C19" s="159">
        <v>90000.0</v>
      </c>
      <c r="D19" s="157">
        <v>109000.0</v>
      </c>
      <c r="E19" s="160"/>
      <c r="F19" s="157"/>
      <c r="G19" s="161"/>
      <c r="H19" s="160"/>
      <c r="I19" s="162"/>
      <c r="J19" s="160"/>
      <c r="K19" s="114">
        <f t="shared" si="9"/>
        <v>0</v>
      </c>
      <c r="L19" s="163"/>
      <c r="M19" s="116"/>
      <c r="N19" s="116"/>
      <c r="O19" s="116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6.5" customHeight="1">
      <c r="A20" s="143" t="s">
        <v>180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24" t="s">
        <v>115</v>
      </c>
      <c r="B21" s="110">
        <v>200000.0</v>
      </c>
      <c r="C21" s="111">
        <v>90000.0</v>
      </c>
      <c r="D21" s="109">
        <v>200000.0</v>
      </c>
      <c r="E21" s="112"/>
      <c r="F21" s="109"/>
      <c r="G21" s="117"/>
      <c r="H21" s="109">
        <v>10000.0</v>
      </c>
      <c r="I21" s="113">
        <f>L21*D60</f>
        <v>38461.53846</v>
      </c>
      <c r="J21" s="126">
        <f>IFERROR(__xludf.DUMMYFUNCTION("IMPORTRANGE(""https://docs.google.com/spreadsheets/d/1JJd44_6b1hsmD6e8liei_zzkkh-GYab6gE4K23IJPVI/edit?gid=0#gid=0&amp;range=J95"",""'Лист1'!K475"")"),147709.30050000027)</f>
        <v>147709.3005</v>
      </c>
      <c r="K21" s="114">
        <f t="shared" ref="K21:K24" si="11">B21-C21-D21-E21-F21-I21+J21-G21-H21</f>
        <v>9247.762038</v>
      </c>
      <c r="L21" s="115">
        <f>B21/B60</f>
        <v>7692.307692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243</v>
      </c>
      <c r="B22" s="111">
        <v>100000.0</v>
      </c>
      <c r="C22" s="111">
        <v>288000.0</v>
      </c>
      <c r="D22" s="112"/>
      <c r="E22" s="112"/>
      <c r="F22" s="112"/>
      <c r="G22" s="117"/>
      <c r="H22" s="109"/>
      <c r="I22" s="113">
        <f t="shared" ref="I22:I23" si="12">L22*D62</f>
        <v>0</v>
      </c>
      <c r="J22" s="111">
        <v>188000.0</v>
      </c>
      <c r="K22" s="114">
        <f t="shared" si="11"/>
        <v>0</v>
      </c>
      <c r="L22" s="115">
        <f t="shared" ref="L22:L23" si="13">B22/B62</f>
        <v>3846.153846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9" t="s">
        <v>181</v>
      </c>
      <c r="B23" s="111">
        <v>100000.0</v>
      </c>
      <c r="C23" s="111">
        <v>49121.0</v>
      </c>
      <c r="D23" s="109">
        <v>6000.0</v>
      </c>
      <c r="E23" s="109">
        <v>100000.0</v>
      </c>
      <c r="F23" s="109">
        <f>50000+21160</f>
        <v>71160</v>
      </c>
      <c r="G23" s="109"/>
      <c r="H23" s="109">
        <v>10000.0</v>
      </c>
      <c r="I23" s="113">
        <f t="shared" si="12"/>
        <v>9615.384615</v>
      </c>
      <c r="J23" s="126">
        <f>IFERROR(__xludf.DUMMYFUNCTION("IMPORTRANGE(""https://docs.google.com/spreadsheets/d/1JJd44_6b1hsmD6e8liei_zzkkh-GYab6gE4K23IJPVI/edit?gid=0#gid=0&amp;range=J95"",""'Лист1'!V465"")"),145896.22799999994)</f>
        <v>145896.228</v>
      </c>
      <c r="K23" s="114">
        <f t="shared" si="11"/>
        <v>-0.1566153847</v>
      </c>
      <c r="L23" s="115">
        <f t="shared" si="13"/>
        <v>3846.153846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9" t="s">
        <v>244</v>
      </c>
      <c r="B24" s="111">
        <v>100000.0</v>
      </c>
      <c r="C24" s="111">
        <v>70000.0</v>
      </c>
      <c r="D24" s="109">
        <v>100000.0</v>
      </c>
      <c r="E24" s="109">
        <v>90000.0</v>
      </c>
      <c r="F24" s="112"/>
      <c r="G24" s="112"/>
      <c r="H24" s="112"/>
      <c r="I24" s="113"/>
      <c r="J24" s="111">
        <v>160000.0</v>
      </c>
      <c r="K24" s="114">
        <f t="shared" si="11"/>
        <v>0</v>
      </c>
      <c r="L24" s="115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09"/>
      <c r="B25" s="111"/>
      <c r="C25" s="111"/>
      <c r="D25" s="112"/>
      <c r="E25" s="112"/>
      <c r="F25" s="112"/>
      <c r="G25" s="109"/>
      <c r="H25" s="112"/>
      <c r="I25" s="113">
        <f>L25*D65</f>
        <v>0</v>
      </c>
      <c r="J25" s="126"/>
      <c r="K25" s="110">
        <v>0.0</v>
      </c>
      <c r="L25" s="115">
        <f>B25/B65</f>
        <v>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43" t="s">
        <v>182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5"/>
      <c r="L26" s="146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18" t="s">
        <v>18</v>
      </c>
      <c r="B27" s="110">
        <v>0.0</v>
      </c>
      <c r="C27" s="111"/>
      <c r="D27" s="112"/>
      <c r="E27" s="112"/>
      <c r="F27" s="112"/>
      <c r="G27" s="117"/>
      <c r="H27" s="112"/>
      <c r="I27" s="113">
        <f>L27*D67</f>
        <v>0</v>
      </c>
      <c r="J27" s="114"/>
      <c r="K27" s="114">
        <f t="shared" ref="K27:K30" si="14">B27-C27-D27-E27-F27-I27+J27-G27-H27</f>
        <v>0</v>
      </c>
      <c r="L27" s="115">
        <f t="shared" ref="L27:L30" si="15">B27/B67</f>
        <v>0</v>
      </c>
      <c r="M27" s="125" t="s">
        <v>233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09" t="s">
        <v>245</v>
      </c>
      <c r="B28" s="110">
        <v>500000.0</v>
      </c>
      <c r="C28" s="111">
        <v>500000.0</v>
      </c>
      <c r="D28" s="112"/>
      <c r="E28" s="112"/>
      <c r="F28" s="109"/>
      <c r="G28" s="117"/>
      <c r="H28" s="112"/>
      <c r="I28" s="120">
        <v>0.0</v>
      </c>
      <c r="J28" s="119"/>
      <c r="K28" s="114">
        <f t="shared" si="14"/>
        <v>0</v>
      </c>
      <c r="L28" s="115">
        <f t="shared" si="15"/>
        <v>17241.37931</v>
      </c>
      <c r="M28" s="125" t="s">
        <v>235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09" t="s">
        <v>206</v>
      </c>
      <c r="B29" s="110">
        <v>150000.0</v>
      </c>
      <c r="C29" s="111">
        <v>112500.0</v>
      </c>
      <c r="D29" s="109">
        <v>37500.0</v>
      </c>
      <c r="E29" s="112"/>
      <c r="F29" s="112"/>
      <c r="G29" s="117"/>
      <c r="H29" s="112"/>
      <c r="I29" s="113">
        <f t="shared" ref="I29:I30" si="16">L29*D69</f>
        <v>0</v>
      </c>
      <c r="J29" s="112"/>
      <c r="K29" s="114">
        <f t="shared" si="14"/>
        <v>0</v>
      </c>
      <c r="L29" s="115">
        <f t="shared" si="15"/>
        <v>5172.413793</v>
      </c>
      <c r="M29" s="125" t="s">
        <v>236</v>
      </c>
      <c r="N29" s="125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 outlineLevel="1">
      <c r="A30" s="124" t="s">
        <v>67</v>
      </c>
      <c r="B30" s="110">
        <v>0.0</v>
      </c>
      <c r="C30" s="119"/>
      <c r="D30" s="112"/>
      <c r="E30" s="112"/>
      <c r="F30" s="112"/>
      <c r="G30" s="112"/>
      <c r="H30" s="112"/>
      <c r="I30" s="113">
        <f t="shared" si="16"/>
        <v>0</v>
      </c>
      <c r="J30" s="112"/>
      <c r="K30" s="114">
        <f t="shared" si="14"/>
        <v>0</v>
      </c>
      <c r="L30" s="115">
        <f t="shared" si="15"/>
        <v>0</v>
      </c>
      <c r="M30" s="125" t="s">
        <v>237</v>
      </c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8.0" customHeight="1" outlineLevel="1">
      <c r="A31" s="143" t="s">
        <v>183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5"/>
      <c r="L31" s="146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 outlineLevel="1">
      <c r="A32" s="109" t="s">
        <v>164</v>
      </c>
      <c r="B32" s="110">
        <v>250000.0</v>
      </c>
      <c r="C32" s="111">
        <v>50000.0</v>
      </c>
      <c r="D32" s="109">
        <v>20000.0</v>
      </c>
      <c r="E32" s="109">
        <v>50000.0</v>
      </c>
      <c r="F32" s="112"/>
      <c r="G32" s="109"/>
      <c r="H32" s="109">
        <v>20000.0</v>
      </c>
      <c r="I32" s="113">
        <f t="shared" ref="I32:I33" si="17">L32*D73</f>
        <v>0</v>
      </c>
      <c r="J32" s="112"/>
      <c r="K32" s="114">
        <f t="shared" ref="K32:K33" si="18">B32-C32-D32-E32-F32-I32+J32-G32-H32</f>
        <v>110000</v>
      </c>
      <c r="L32" s="115">
        <f t="shared" ref="L32:L33" si="19">B32/B73</f>
        <v>9615.384615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4" t="s">
        <v>71</v>
      </c>
      <c r="B33" s="110">
        <v>150000.0</v>
      </c>
      <c r="C33" s="119"/>
      <c r="D33" s="117"/>
      <c r="E33" s="112"/>
      <c r="F33" s="112"/>
      <c r="G33" s="117"/>
      <c r="H33" s="112"/>
      <c r="I33" s="113">
        <f t="shared" si="17"/>
        <v>0</v>
      </c>
      <c r="J33" s="112"/>
      <c r="K33" s="114">
        <f t="shared" si="18"/>
        <v>150000</v>
      </c>
      <c r="L33" s="115">
        <f t="shared" si="19"/>
        <v>5769.230769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 outlineLevel="1">
      <c r="A34" s="109"/>
      <c r="B34" s="110"/>
      <c r="C34" s="111"/>
      <c r="D34" s="112"/>
      <c r="E34" s="112"/>
      <c r="F34" s="112"/>
      <c r="G34" s="112"/>
      <c r="H34" s="112"/>
      <c r="I34" s="113"/>
      <c r="J34" s="112"/>
      <c r="K34" s="114"/>
      <c r="L34" s="115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09" t="s">
        <v>192</v>
      </c>
      <c r="B35" s="110">
        <v>80000.0</v>
      </c>
      <c r="C35" s="111">
        <v>71111.0</v>
      </c>
      <c r="D35" s="112"/>
      <c r="E35" s="112"/>
      <c r="F35" s="112"/>
      <c r="G35" s="112"/>
      <c r="H35" s="112"/>
      <c r="I35" s="113">
        <f>L35*D77</f>
        <v>8888.888889</v>
      </c>
      <c r="J35" s="112"/>
      <c r="K35" s="114">
        <f>B35-C35-D35-E35-F35-I35+J35-G35-H35</f>
        <v>0.1111111111</v>
      </c>
      <c r="L35" s="115">
        <f>B35/B77</f>
        <v>2962.962963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18"/>
      <c r="B36" s="119"/>
      <c r="C36" s="119"/>
      <c r="D36" s="112"/>
      <c r="E36" s="112"/>
      <c r="F36" s="112"/>
      <c r="G36" s="112"/>
      <c r="H36" s="112"/>
      <c r="I36" s="112"/>
      <c r="J36" s="112"/>
      <c r="K36" s="126"/>
      <c r="L36" s="112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26</v>
      </c>
      <c r="B37" s="119">
        <f>SUM(B2:B34)</f>
        <v>5262750</v>
      </c>
      <c r="C37" s="119">
        <f>B37+J21+J23</f>
        <v>5556355.529</v>
      </c>
      <c r="D37" s="112"/>
      <c r="E37" s="112"/>
      <c r="F37" s="112"/>
      <c r="G37" s="112"/>
      <c r="H37" s="112"/>
      <c r="I37" s="112"/>
      <c r="J37" s="112"/>
      <c r="K37" s="126">
        <f>SUM(K2:K35)</f>
        <v>489509.3319</v>
      </c>
      <c r="L37" s="112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3"/>
      <c r="L38" s="12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29" t="s">
        <v>110</v>
      </c>
      <c r="E40" s="128"/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28"/>
      <c r="B41" s="128"/>
      <c r="C41" s="128"/>
      <c r="D41" s="130"/>
      <c r="E41" s="128"/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28"/>
      <c r="B42" s="128"/>
      <c r="C42" s="128"/>
      <c r="D42" s="128"/>
      <c r="E42" s="128"/>
      <c r="F42" s="130"/>
      <c r="G42" s="128"/>
      <c r="H42" s="128"/>
      <c r="I42" s="128"/>
      <c r="J42" s="128"/>
      <c r="K42" s="128"/>
      <c r="L42" s="123">
        <f>K43-'Февраль'!K4-'Март'!K5-'Апрель'!K5-'Май'!K5-'Июнь 2025'!K5-'Июль 2025'!K5-K5</f>
        <v>1595124.128</v>
      </c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79</v>
      </c>
      <c r="B43" s="166" t="s">
        <v>28</v>
      </c>
      <c r="C43" s="167" t="s">
        <v>29</v>
      </c>
      <c r="D43" s="168" t="s">
        <v>80</v>
      </c>
      <c r="E43" s="118" t="s">
        <v>81</v>
      </c>
      <c r="F43" s="128"/>
      <c r="G43" s="128"/>
      <c r="H43" s="128"/>
      <c r="I43" s="128"/>
      <c r="J43" s="125" t="s">
        <v>200</v>
      </c>
      <c r="K43" s="123">
        <f>'Февраль'!K34+'Март'!K38+'Апрель'!K35+'Май'!K33+'Июнь 2025'!K29+'Июль 2025'!K31+K37</f>
        <v>2989124.128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9" t="s">
        <v>127</v>
      </c>
      <c r="B44" s="120">
        <v>18.0</v>
      </c>
      <c r="C44" s="115">
        <f t="shared" ref="C44:C45" si="20">B44-D44</f>
        <v>18</v>
      </c>
      <c r="D44" s="115">
        <v>0.0</v>
      </c>
      <c r="E44" s="135">
        <v>45327.0</v>
      </c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128</v>
      </c>
      <c r="B45" s="120">
        <v>18.0</v>
      </c>
      <c r="C45" s="115">
        <f t="shared" si="20"/>
        <v>18</v>
      </c>
      <c r="D45" s="115">
        <v>0.0</v>
      </c>
      <c r="E45" s="135">
        <v>45327.0</v>
      </c>
      <c r="F45" s="128"/>
      <c r="G45" s="128"/>
      <c r="H45" s="128"/>
      <c r="I45" s="128"/>
      <c r="J45" s="125" t="s">
        <v>201</v>
      </c>
      <c r="K45" s="128">
        <f>K46+K47+K48+K49</f>
        <v>7702189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43" t="s">
        <v>174</v>
      </c>
      <c r="B46" s="144"/>
      <c r="C46" s="144"/>
      <c r="D46" s="144"/>
      <c r="E46" s="169"/>
      <c r="F46" s="128"/>
      <c r="G46" s="128"/>
      <c r="H46" s="128"/>
      <c r="I46" s="128"/>
      <c r="J46" s="125" t="s">
        <v>202</v>
      </c>
      <c r="K46" s="125">
        <v>400000.0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129</v>
      </c>
      <c r="B47" s="120">
        <v>21.0</v>
      </c>
      <c r="C47" s="115">
        <f t="shared" ref="C47:C58" si="21">B47-D47</f>
        <v>21</v>
      </c>
      <c r="D47" s="115">
        <v>0.0</v>
      </c>
      <c r="E47" s="135">
        <v>45327.0</v>
      </c>
      <c r="F47" s="128"/>
      <c r="G47" s="128"/>
      <c r="H47" s="128"/>
      <c r="I47" s="128"/>
      <c r="J47" s="125" t="s">
        <v>127</v>
      </c>
      <c r="K47" s="128">
        <f>4632189-700000-300000-700000-300000-270000-60000</f>
        <v>2302189</v>
      </c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18" t="s">
        <v>132</v>
      </c>
      <c r="B48" s="120">
        <v>21.0</v>
      </c>
      <c r="C48" s="115">
        <f t="shared" si="21"/>
        <v>21</v>
      </c>
      <c r="D48" s="115">
        <v>0.0</v>
      </c>
      <c r="E48" s="135">
        <v>45327.0</v>
      </c>
      <c r="F48" s="128"/>
      <c r="G48" s="128"/>
      <c r="H48" s="128"/>
      <c r="I48" s="128"/>
      <c r="J48" s="125" t="s">
        <v>128</v>
      </c>
      <c r="K48" s="125">
        <v>2000000.0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34</v>
      </c>
      <c r="B49" s="120">
        <v>21.0</v>
      </c>
      <c r="C49" s="115">
        <f t="shared" si="21"/>
        <v>21</v>
      </c>
      <c r="D49" s="115">
        <v>0.0</v>
      </c>
      <c r="E49" s="135">
        <v>45327.0</v>
      </c>
      <c r="F49" s="128"/>
      <c r="G49" s="128"/>
      <c r="H49" s="128"/>
      <c r="I49" s="128"/>
      <c r="J49" s="125" t="s">
        <v>129</v>
      </c>
      <c r="K49" s="125">
        <v>3000000.0</v>
      </c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196</v>
      </c>
      <c r="B50" s="120">
        <v>21.0</v>
      </c>
      <c r="C50" s="115">
        <f t="shared" si="21"/>
        <v>21</v>
      </c>
      <c r="D50" s="120">
        <v>0.0</v>
      </c>
      <c r="E50" s="135">
        <v>45297.0</v>
      </c>
      <c r="F50" s="125"/>
      <c r="G50" s="128"/>
      <c r="H50" s="128"/>
      <c r="I50" s="128"/>
      <c r="J50" s="128"/>
      <c r="K50" s="12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197</v>
      </c>
      <c r="B51" s="120">
        <v>21.0</v>
      </c>
      <c r="C51" s="115">
        <f t="shared" si="21"/>
        <v>21</v>
      </c>
      <c r="D51" s="120">
        <v>0.0</v>
      </c>
      <c r="E51" s="135">
        <v>45327.0</v>
      </c>
      <c r="F51" s="138"/>
      <c r="G51" s="128"/>
      <c r="H51" s="128"/>
      <c r="I51" s="128"/>
      <c r="J51" s="125" t="s">
        <v>203</v>
      </c>
      <c r="K51" s="125">
        <v>1500000.0</v>
      </c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176</v>
      </c>
      <c r="B52" s="120">
        <v>26.0</v>
      </c>
      <c r="C52" s="115">
        <f t="shared" si="21"/>
        <v>26</v>
      </c>
      <c r="D52" s="120"/>
      <c r="E52" s="135">
        <v>45327.0</v>
      </c>
      <c r="F52" s="138"/>
      <c r="G52" s="128"/>
      <c r="H52" s="130"/>
      <c r="I52" s="128"/>
      <c r="J52" s="128"/>
      <c r="K52" s="12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24" t="s">
        <v>91</v>
      </c>
      <c r="B53" s="120">
        <v>10.0</v>
      </c>
      <c r="C53" s="115">
        <f t="shared" si="21"/>
        <v>10</v>
      </c>
      <c r="D53" s="120">
        <v>0.0</v>
      </c>
      <c r="E53" s="135">
        <v>45327.0</v>
      </c>
      <c r="F53" s="130"/>
      <c r="G53" s="128"/>
      <c r="H53" s="128"/>
      <c r="I53" s="128"/>
      <c r="J53" s="128"/>
      <c r="K53" s="12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224</v>
      </c>
      <c r="B54" s="120">
        <v>21.0</v>
      </c>
      <c r="C54" s="115">
        <f t="shared" si="21"/>
        <v>21</v>
      </c>
      <c r="D54" s="136">
        <v>0.0</v>
      </c>
      <c r="E54" s="135">
        <v>45297.0</v>
      </c>
      <c r="F54" s="13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199</v>
      </c>
      <c r="B55" s="120">
        <v>10.0</v>
      </c>
      <c r="C55" s="115">
        <f t="shared" si="21"/>
        <v>10</v>
      </c>
      <c r="D55" s="120">
        <v>0.0</v>
      </c>
      <c r="E55" s="135">
        <v>45327.0</v>
      </c>
      <c r="F55" s="138"/>
      <c r="G55" s="116"/>
      <c r="H55" s="108"/>
      <c r="I55" s="108"/>
      <c r="J55" s="125" t="s">
        <v>208</v>
      </c>
      <c r="K55" s="108">
        <f>SUM(K56:K59)</f>
        <v>0</v>
      </c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204</v>
      </c>
      <c r="B56" s="120">
        <v>26.0</v>
      </c>
      <c r="C56" s="115">
        <f t="shared" si="21"/>
        <v>10</v>
      </c>
      <c r="D56" s="120">
        <v>16.0</v>
      </c>
      <c r="E56" s="135">
        <v>45327.0</v>
      </c>
      <c r="F56" s="138"/>
      <c r="G56" s="116"/>
      <c r="H56" s="108"/>
      <c r="I56" s="108"/>
      <c r="J56" s="125" t="s">
        <v>209</v>
      </c>
      <c r="K56" s="125">
        <f>600000-200000-400000</f>
        <v>0</v>
      </c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83</v>
      </c>
      <c r="B57" s="120">
        <v>18.0</v>
      </c>
      <c r="C57" s="115">
        <f t="shared" si="21"/>
        <v>18</v>
      </c>
      <c r="D57" s="120">
        <v>0.0</v>
      </c>
      <c r="E57" s="135">
        <v>45327.0</v>
      </c>
      <c r="F57" s="138"/>
      <c r="G57" s="116"/>
      <c r="H57" s="108"/>
      <c r="I57" s="108"/>
      <c r="J57" s="125" t="s">
        <v>210</v>
      </c>
      <c r="K57" s="125">
        <f>645000-645000</f>
        <v>0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83</v>
      </c>
      <c r="B58" s="120">
        <v>18.0</v>
      </c>
      <c r="C58" s="115">
        <f t="shared" si="21"/>
        <v>18</v>
      </c>
      <c r="D58" s="120">
        <v>0.0</v>
      </c>
      <c r="E58" s="135">
        <v>45327.0</v>
      </c>
      <c r="F58" s="125"/>
      <c r="G58" s="116"/>
      <c r="H58" s="108"/>
      <c r="I58" s="108"/>
      <c r="J58" s="125" t="s">
        <v>211</v>
      </c>
      <c r="K58" s="125">
        <f>330000-330000</f>
        <v>0</v>
      </c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43" t="s">
        <v>180</v>
      </c>
      <c r="B59" s="144"/>
      <c r="C59" s="144"/>
      <c r="D59" s="144"/>
      <c r="E59" s="169"/>
      <c r="F59" s="130"/>
      <c r="G59" s="108"/>
      <c r="H59" s="108"/>
      <c r="I59" s="108"/>
      <c r="J59" s="125" t="s">
        <v>212</v>
      </c>
      <c r="K59" s="125">
        <f>750000-750000</f>
        <v>0</v>
      </c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115</v>
      </c>
      <c r="B60" s="120">
        <v>26.0</v>
      </c>
      <c r="C60" s="115">
        <f t="shared" ref="C60:C63" si="22">B60-D60</f>
        <v>21</v>
      </c>
      <c r="D60" s="120">
        <v>5.0</v>
      </c>
      <c r="E60" s="135">
        <v>45297.0</v>
      </c>
      <c r="F60" s="130"/>
      <c r="G60" s="128"/>
      <c r="H60" s="128"/>
      <c r="I60" s="128"/>
      <c r="J60" s="128"/>
      <c r="K60" s="12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24" t="s">
        <v>91</v>
      </c>
      <c r="B61" s="120">
        <v>26.0</v>
      </c>
      <c r="C61" s="115">
        <f t="shared" si="22"/>
        <v>22.5</v>
      </c>
      <c r="D61" s="120">
        <v>3.5</v>
      </c>
      <c r="E61" s="135">
        <v>45297.0</v>
      </c>
      <c r="F61" s="130"/>
      <c r="G61" s="128"/>
      <c r="H61" s="12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231</v>
      </c>
      <c r="B62" s="120">
        <v>26.0</v>
      </c>
      <c r="C62" s="115">
        <f t="shared" si="22"/>
        <v>26</v>
      </c>
      <c r="D62" s="120">
        <v>0.0</v>
      </c>
      <c r="E62" s="135">
        <v>45297.0</v>
      </c>
      <c r="F62" s="130"/>
      <c r="G62" s="128"/>
      <c r="H62" s="128"/>
      <c r="I62" s="108"/>
      <c r="J62" s="125" t="s">
        <v>238</v>
      </c>
      <c r="K62" s="125">
        <f>1260000-1260000</f>
        <v>0</v>
      </c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 t="s">
        <v>166</v>
      </c>
      <c r="B63" s="120">
        <v>26.0</v>
      </c>
      <c r="C63" s="115">
        <f t="shared" si="22"/>
        <v>23.5</v>
      </c>
      <c r="D63" s="120">
        <v>2.5</v>
      </c>
      <c r="E63" s="135">
        <v>45297.0</v>
      </c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/>
      <c r="B64" s="120"/>
      <c r="C64" s="115"/>
      <c r="D64" s="136"/>
      <c r="E64" s="135"/>
      <c r="F64" s="130"/>
      <c r="G64" s="128"/>
      <c r="H64" s="12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9" t="s">
        <v>186</v>
      </c>
      <c r="B65" s="120">
        <v>26.0</v>
      </c>
      <c r="C65" s="115">
        <f>B65-D65</f>
        <v>26</v>
      </c>
      <c r="D65" s="120">
        <v>0.0</v>
      </c>
      <c r="E65" s="135">
        <v>45297.0</v>
      </c>
      <c r="F65" s="130"/>
      <c r="G65" s="128"/>
      <c r="H65" s="128"/>
      <c r="I65" s="128"/>
      <c r="J65" s="128"/>
      <c r="K65" s="12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43" t="s">
        <v>182</v>
      </c>
      <c r="B66" s="144"/>
      <c r="C66" s="144"/>
      <c r="D66" s="144"/>
      <c r="E66" s="169"/>
      <c r="F66" s="130"/>
      <c r="G66" s="128"/>
      <c r="H66" s="12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18</v>
      </c>
      <c r="B67" s="120">
        <v>29.0</v>
      </c>
      <c r="C67" s="115">
        <f t="shared" ref="C67:C71" si="23">B67-D67</f>
        <v>29</v>
      </c>
      <c r="D67" s="120">
        <v>0.0</v>
      </c>
      <c r="E67" s="135">
        <v>45297.0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9" t="s">
        <v>239</v>
      </c>
      <c r="B68" s="120">
        <v>29.0</v>
      </c>
      <c r="C68" s="115">
        <f t="shared" si="23"/>
        <v>24</v>
      </c>
      <c r="D68" s="120">
        <v>5.0</v>
      </c>
      <c r="E68" s="135">
        <v>45297.0</v>
      </c>
      <c r="F68" s="125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206</v>
      </c>
      <c r="B69" s="120">
        <v>29.0</v>
      </c>
      <c r="C69" s="115">
        <f t="shared" si="23"/>
        <v>29</v>
      </c>
      <c r="D69" s="136">
        <v>0.0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24" t="s">
        <v>67</v>
      </c>
      <c r="B70" s="120">
        <v>29.0</v>
      </c>
      <c r="C70" s="115">
        <f t="shared" si="23"/>
        <v>20</v>
      </c>
      <c r="D70" s="120">
        <v>9.0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18" t="s">
        <v>41</v>
      </c>
      <c r="B71" s="120">
        <v>29.0</v>
      </c>
      <c r="C71" s="115">
        <f t="shared" si="23"/>
        <v>29</v>
      </c>
      <c r="D71" s="136">
        <v>0.0</v>
      </c>
      <c r="E71" s="135">
        <v>45327.0</v>
      </c>
      <c r="F71" s="130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70" t="s">
        <v>183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9" t="s">
        <v>164</v>
      </c>
      <c r="B73" s="120">
        <v>26.0</v>
      </c>
      <c r="C73" s="115">
        <f t="shared" ref="C73:C77" si="24">B73-D73</f>
        <v>26</v>
      </c>
      <c r="D73" s="120"/>
      <c r="E73" s="135">
        <v>45297.0</v>
      </c>
      <c r="F73" s="125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24" t="s">
        <v>71</v>
      </c>
      <c r="B74" s="120">
        <v>26.0</v>
      </c>
      <c r="C74" s="115">
        <f t="shared" si="24"/>
        <v>26</v>
      </c>
      <c r="D74" s="120"/>
      <c r="E74" s="135">
        <v>45327.0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18" t="s">
        <v>70</v>
      </c>
      <c r="B75" s="120">
        <v>24.0</v>
      </c>
      <c r="C75" s="115">
        <f t="shared" si="24"/>
        <v>24</v>
      </c>
      <c r="D75" s="120"/>
      <c r="E75" s="135">
        <v>45327.0</v>
      </c>
      <c r="F75" s="130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9" t="s">
        <v>191</v>
      </c>
      <c r="B76" s="120">
        <v>25.0</v>
      </c>
      <c r="C76" s="115">
        <f t="shared" si="24"/>
        <v>25</v>
      </c>
      <c r="D76" s="120"/>
      <c r="E76" s="135">
        <v>45327.0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9" t="s">
        <v>193</v>
      </c>
      <c r="B77" s="120">
        <v>27.0</v>
      </c>
      <c r="C77" s="115">
        <f t="shared" si="24"/>
        <v>24</v>
      </c>
      <c r="D77" s="120">
        <v>3.0</v>
      </c>
      <c r="E77" s="135">
        <v>45327.0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 ht="15.75" customHeight="1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  <row r="1007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</row>
  </sheetData>
  <mergeCells count="8">
    <mergeCell ref="A4:J4"/>
    <mergeCell ref="A20:J20"/>
    <mergeCell ref="A26:J26"/>
    <mergeCell ref="A31:J31"/>
    <mergeCell ref="A46:E46"/>
    <mergeCell ref="A59:E59"/>
    <mergeCell ref="A66:E66"/>
    <mergeCell ref="A72:E7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  <col customWidth="1" min="15" max="15" width="16.78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330000.0</v>
      </c>
      <c r="C2" s="111">
        <v>220000.0</v>
      </c>
      <c r="D2" s="109">
        <v>110000.0</v>
      </c>
      <c r="E2" s="117"/>
      <c r="F2" s="117"/>
      <c r="G2" s="117"/>
      <c r="H2" s="112"/>
      <c r="I2" s="113">
        <f t="shared" ref="I2:I3" si="1">L2*D44</f>
        <v>0</v>
      </c>
      <c r="J2" s="112"/>
      <c r="K2" s="114">
        <f>B2-C2-D2-E2-F2-I2+J2-G2-H2</f>
        <v>0</v>
      </c>
      <c r="L2" s="115">
        <f t="shared" ref="L2:L3" si="2">B2/B44</f>
        <v>18333.33333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500000.0</v>
      </c>
      <c r="C3" s="110">
        <v>88000.0</v>
      </c>
      <c r="D3" s="117"/>
      <c r="E3" s="117"/>
      <c r="F3" s="117"/>
      <c r="G3" s="109"/>
      <c r="H3" s="112"/>
      <c r="I3" s="113">
        <f t="shared" si="1"/>
        <v>0</v>
      </c>
      <c r="J3" s="112"/>
      <c r="K3" s="114">
        <f>B3-C3-D3-E3-F3-I3+J3-G3</f>
        <v>412000</v>
      </c>
      <c r="L3" s="115">
        <f t="shared" si="2"/>
        <v>27777.77778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500000.0</v>
      </c>
      <c r="C5" s="111"/>
      <c r="D5" s="109"/>
      <c r="E5" s="117"/>
      <c r="F5" s="109"/>
      <c r="G5" s="117"/>
      <c r="H5" s="112"/>
      <c r="I5" s="113">
        <f t="shared" ref="I5:I6" si="3">L5*D47</f>
        <v>0</v>
      </c>
      <c r="J5" s="112"/>
      <c r="K5" s="114">
        <f>B5-C5-D5-E5-F5-I5+J5-G5-H5</f>
        <v>500000</v>
      </c>
      <c r="L5" s="115">
        <f t="shared" ref="L5:L6" si="4">B5/B47</f>
        <v>23809.52381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174000.0</v>
      </c>
      <c r="C6" s="111">
        <v>152250.0</v>
      </c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21750</v>
      </c>
      <c r="L6" s="115">
        <f t="shared" si="4"/>
        <v>8285.714286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34</v>
      </c>
      <c r="B7" s="110">
        <f>130000+59500+75000</f>
        <v>264500</v>
      </c>
      <c r="C7" s="111">
        <v>189500.0</v>
      </c>
      <c r="D7" s="109">
        <v>75000.0</v>
      </c>
      <c r="E7" s="112"/>
      <c r="F7" s="109"/>
      <c r="G7" s="109"/>
      <c r="H7" s="112"/>
      <c r="I7" s="113">
        <f>L7*D53</f>
        <v>0</v>
      </c>
      <c r="J7" s="112"/>
      <c r="K7" s="114">
        <f>B7-C7-D7-E7-F7-I7+J7-G7-H7</f>
        <v>0</v>
      </c>
      <c r="L7" s="115">
        <f>B7/B53</f>
        <v>26450</v>
      </c>
      <c r="M7" s="116" t="s">
        <v>140</v>
      </c>
      <c r="N7" s="125" t="s">
        <v>221</v>
      </c>
      <c r="O7" s="125" t="s">
        <v>222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196</v>
      </c>
      <c r="B8" s="110">
        <v>0.0</v>
      </c>
      <c r="C8" s="119"/>
      <c r="D8" s="112"/>
      <c r="E8" s="112"/>
      <c r="F8" s="112"/>
      <c r="G8" s="112"/>
      <c r="H8" s="112"/>
      <c r="I8" s="113">
        <f t="shared" ref="I8:I9" si="5">L8*D51</f>
        <v>0</v>
      </c>
      <c r="J8" s="112"/>
      <c r="K8" s="114">
        <f t="shared" ref="K8:K9" si="6">B8-C8-D8-E8-F8-I8+J8-G8</f>
        <v>0</v>
      </c>
      <c r="L8" s="115">
        <f t="shared" ref="L8:L9" si="7">B8/B51</f>
        <v>0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200000.0</v>
      </c>
      <c r="C9" s="111">
        <v>200000.0</v>
      </c>
      <c r="D9" s="112"/>
      <c r="E9" s="112"/>
      <c r="F9" s="112"/>
      <c r="G9" s="117"/>
      <c r="H9" s="112"/>
      <c r="I9" s="113">
        <f t="shared" si="5"/>
        <v>0</v>
      </c>
      <c r="J9" s="112"/>
      <c r="K9" s="114">
        <f t="shared" si="6"/>
        <v>0</v>
      </c>
      <c r="L9" s="115">
        <f t="shared" si="7"/>
        <v>7692.307692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240</v>
      </c>
      <c r="B10" s="110">
        <v>96000.0</v>
      </c>
      <c r="C10" s="111">
        <v>96000.0</v>
      </c>
      <c r="D10" s="112"/>
      <c r="E10" s="112"/>
      <c r="F10" s="109"/>
      <c r="G10" s="109"/>
      <c r="H10" s="109"/>
      <c r="I10" s="113">
        <f>L10*D54</f>
        <v>0</v>
      </c>
      <c r="J10" s="112"/>
      <c r="K10" s="114">
        <f t="shared" ref="K10:K11" si="8">B10-C10-D10-E10-F10-I10+J10-G10-H10</f>
        <v>0</v>
      </c>
      <c r="L10" s="115">
        <f>B10/B54</f>
        <v>4571.428571</v>
      </c>
      <c r="M10" s="116" t="s">
        <v>140</v>
      </c>
      <c r="N10" s="125" t="s">
        <v>223</v>
      </c>
      <c r="O10" s="116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24" t="s">
        <v>91</v>
      </c>
      <c r="B11" s="110">
        <v>350000.0</v>
      </c>
      <c r="C11" s="111">
        <v>350000.0</v>
      </c>
      <c r="D11" s="112"/>
      <c r="E11" s="112"/>
      <c r="F11" s="112"/>
      <c r="G11" s="109"/>
      <c r="H11" s="109"/>
      <c r="I11" s="113">
        <f>L11*D61</f>
        <v>0</v>
      </c>
      <c r="J11" s="164"/>
      <c r="K11" s="114">
        <f t="shared" si="8"/>
        <v>0</v>
      </c>
      <c r="L11" s="115">
        <f>B11/B61</f>
        <v>13461.53846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224</v>
      </c>
      <c r="B12" s="110">
        <v>200000.0</v>
      </c>
      <c r="C12" s="111">
        <v>276923.0</v>
      </c>
      <c r="D12" s="112"/>
      <c r="E12" s="112"/>
      <c r="F12" s="112"/>
      <c r="G12" s="117"/>
      <c r="H12" s="112"/>
      <c r="I12" s="113">
        <f>L12*D56</f>
        <v>0</v>
      </c>
      <c r="J12" s="109">
        <v>76923.0</v>
      </c>
      <c r="K12" s="114">
        <f t="shared" ref="K12:K13" si="9">B12-C12-D12-E12-F12-I12+J12-G12</f>
        <v>0</v>
      </c>
      <c r="L12" s="115">
        <f>B12/B56</f>
        <v>11111.11111</v>
      </c>
      <c r="M12" s="116"/>
      <c r="N12" s="116"/>
      <c r="O12" s="116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246</v>
      </c>
      <c r="B13" s="110">
        <v>70000.0</v>
      </c>
      <c r="C13" s="111">
        <v>70000.0</v>
      </c>
      <c r="D13" s="112"/>
      <c r="E13" s="112"/>
      <c r="F13" s="112"/>
      <c r="G13" s="117"/>
      <c r="H13" s="112"/>
      <c r="I13" s="113">
        <f>L13*D56</f>
        <v>0</v>
      </c>
      <c r="J13" s="112"/>
      <c r="K13" s="114">
        <f t="shared" si="9"/>
        <v>0</v>
      </c>
      <c r="L13" s="115">
        <f>B13/B56</f>
        <v>3888.888889</v>
      </c>
      <c r="M13" s="125"/>
      <c r="N13" s="125"/>
      <c r="O13" s="116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 t="s">
        <v>204</v>
      </c>
      <c r="B14" s="110">
        <v>204750.0</v>
      </c>
      <c r="C14" s="111">
        <v>204750.0</v>
      </c>
      <c r="D14" s="112"/>
      <c r="E14" s="112"/>
      <c r="F14" s="109"/>
      <c r="G14" s="117"/>
      <c r="H14" s="112"/>
      <c r="I14" s="113">
        <f>L14*D58</f>
        <v>0</v>
      </c>
      <c r="J14" s="112"/>
      <c r="K14" s="114">
        <f t="shared" ref="K14:K19" si="10">B14-C14-D14-E14-F14-I14+J14-G14-H14</f>
        <v>0</v>
      </c>
      <c r="L14" s="115">
        <f>B14/B58</f>
        <v>11375</v>
      </c>
      <c r="M14" s="116"/>
      <c r="N14" s="116"/>
      <c r="O14" s="116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 outlineLevel="1">
      <c r="A15" s="109" t="s">
        <v>227</v>
      </c>
      <c r="B15" s="111">
        <v>172338.0</v>
      </c>
      <c r="C15" s="111">
        <v>172338.0</v>
      </c>
      <c r="D15" s="112"/>
      <c r="E15" s="112"/>
      <c r="F15" s="109"/>
      <c r="G15" s="117"/>
      <c r="H15" s="112"/>
      <c r="I15" s="120">
        <v>0.0</v>
      </c>
      <c r="J15" s="112"/>
      <c r="K15" s="114">
        <f t="shared" si="10"/>
        <v>0</v>
      </c>
      <c r="L15" s="120">
        <v>0.0</v>
      </c>
      <c r="M15" s="116"/>
      <c r="N15" s="125" t="s">
        <v>247</v>
      </c>
      <c r="O15" s="116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 outlineLevel="1">
      <c r="A16" s="109" t="s">
        <v>228</v>
      </c>
      <c r="B16" s="110">
        <v>30000.0</v>
      </c>
      <c r="C16" s="111"/>
      <c r="D16" s="112"/>
      <c r="E16" s="112"/>
      <c r="F16" s="109"/>
      <c r="G16" s="117"/>
      <c r="H16" s="112"/>
      <c r="I16" s="120">
        <v>0.0</v>
      </c>
      <c r="J16" s="112"/>
      <c r="K16" s="114">
        <f t="shared" si="10"/>
        <v>30000</v>
      </c>
      <c r="L16" s="115">
        <f t="shared" ref="L16:L18" si="11">B16/B60</f>
        <v>1153.846154</v>
      </c>
      <c r="M16" s="116"/>
      <c r="N16" s="116"/>
      <c r="O16" s="116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09" t="s">
        <v>229</v>
      </c>
      <c r="B17" s="110">
        <v>58000.0</v>
      </c>
      <c r="C17" s="111"/>
      <c r="D17" s="112"/>
      <c r="E17" s="112"/>
      <c r="F17" s="109"/>
      <c r="G17" s="117"/>
      <c r="H17" s="112"/>
      <c r="I17" s="120">
        <v>0.0</v>
      </c>
      <c r="J17" s="112"/>
      <c r="K17" s="114">
        <f t="shared" si="10"/>
        <v>58000</v>
      </c>
      <c r="L17" s="115">
        <f t="shared" si="11"/>
        <v>2230.769231</v>
      </c>
      <c r="M17" s="116"/>
      <c r="N17" s="116"/>
      <c r="O17" s="116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 outlineLevel="1">
      <c r="A18" s="109" t="s">
        <v>230</v>
      </c>
      <c r="B18" s="110">
        <v>18000.0</v>
      </c>
      <c r="C18" s="111">
        <v>18000.0</v>
      </c>
      <c r="D18" s="112"/>
      <c r="E18" s="112"/>
      <c r="F18" s="109"/>
      <c r="G18" s="117"/>
      <c r="H18" s="112"/>
      <c r="I18" s="113">
        <f>L18*D62</f>
        <v>0</v>
      </c>
      <c r="J18" s="112"/>
      <c r="K18" s="114">
        <f t="shared" si="10"/>
        <v>0</v>
      </c>
      <c r="L18" s="115">
        <f t="shared" si="11"/>
        <v>692.3076923</v>
      </c>
      <c r="M18" s="116"/>
      <c r="N18" s="116"/>
      <c r="O18" s="116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 outlineLevel="1">
      <c r="A19" s="157" t="s">
        <v>248</v>
      </c>
      <c r="B19" s="158">
        <v>114000.0</v>
      </c>
      <c r="C19" s="159">
        <v>114000.0</v>
      </c>
      <c r="D19" s="160"/>
      <c r="E19" s="160"/>
      <c r="F19" s="157"/>
      <c r="G19" s="161"/>
      <c r="H19" s="160"/>
      <c r="I19" s="162"/>
      <c r="J19" s="160"/>
      <c r="K19" s="114">
        <f t="shared" si="10"/>
        <v>0</v>
      </c>
      <c r="L19" s="163"/>
      <c r="M19" s="116"/>
      <c r="N19" s="116"/>
      <c r="O19" s="116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6.5" customHeight="1">
      <c r="A20" s="143" t="s">
        <v>180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24" t="s">
        <v>115</v>
      </c>
      <c r="B21" s="110">
        <v>200000.0</v>
      </c>
      <c r="C21" s="111"/>
      <c r="D21" s="112"/>
      <c r="E21" s="112"/>
      <c r="F21" s="109"/>
      <c r="G21" s="117"/>
      <c r="H21" s="109"/>
      <c r="I21" s="113">
        <f>L21*D60</f>
        <v>69230.76923</v>
      </c>
      <c r="J21" s="126">
        <f>IFERROR(__xludf.DUMMYFUNCTION("IMPORTRANGE(""https://docs.google.com/spreadsheets/d/1JJd44_6b1hsmD6e8liei_zzkkh-GYab6gE4K23IJPVI/edit?gid=0#gid=0&amp;range=J95"",""'Лист1'!K502"")"),105518.99700000028)</f>
        <v>105518.997</v>
      </c>
      <c r="K21" s="114">
        <f t="shared" ref="K21:K24" si="12">B21-C21-D21-E21-F21-I21+J21-G21-H21</f>
        <v>236288.2278</v>
      </c>
      <c r="L21" s="115">
        <f>B21/B60</f>
        <v>7692.307692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243</v>
      </c>
      <c r="B22" s="111">
        <v>0.0</v>
      </c>
      <c r="C22" s="111"/>
      <c r="D22" s="112"/>
      <c r="E22" s="112"/>
      <c r="F22" s="112"/>
      <c r="G22" s="117"/>
      <c r="H22" s="109"/>
      <c r="I22" s="113">
        <f t="shared" ref="I22:I25" si="13">L22*D62</f>
        <v>0</v>
      </c>
      <c r="J22" s="111">
        <v>0.0</v>
      </c>
      <c r="K22" s="114">
        <f t="shared" si="12"/>
        <v>0</v>
      </c>
      <c r="L22" s="115">
        <f t="shared" ref="L22:L25" si="14">B22/B62</f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9" t="s">
        <v>181</v>
      </c>
      <c r="B23" s="111">
        <v>100000.0</v>
      </c>
      <c r="C23" s="111">
        <v>50000.0</v>
      </c>
      <c r="D23" s="109">
        <v>155000.0</v>
      </c>
      <c r="E23" s="109">
        <v>4108.0</v>
      </c>
      <c r="F23" s="109"/>
      <c r="G23" s="109"/>
      <c r="H23" s="109"/>
      <c r="I23" s="113">
        <f t="shared" si="13"/>
        <v>23076.92308</v>
      </c>
      <c r="J23" s="126">
        <f>IFERROR(__xludf.DUMMYFUNCTION("IMPORTRANGE(""https://docs.google.com/spreadsheets/d/1JJd44_6b1hsmD6e8liei_zzkkh-GYab6gE4K23IJPVI/edit?gid=0#gid=0&amp;range=J95"",""'Лист1'!V492"")"),132185.06100000005)</f>
        <v>132185.061</v>
      </c>
      <c r="K23" s="114">
        <f t="shared" si="12"/>
        <v>0.137923077</v>
      </c>
      <c r="L23" s="115">
        <f t="shared" si="14"/>
        <v>3846.153846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9" t="s">
        <v>244</v>
      </c>
      <c r="B24" s="111">
        <v>100000.0</v>
      </c>
      <c r="C24" s="111">
        <v>80000.0</v>
      </c>
      <c r="D24" s="109">
        <v>50000.0</v>
      </c>
      <c r="E24" s="109">
        <v>122308.0</v>
      </c>
      <c r="F24" s="112"/>
      <c r="G24" s="112"/>
      <c r="H24" s="112"/>
      <c r="I24" s="113">
        <f t="shared" si="13"/>
        <v>7692.307692</v>
      </c>
      <c r="J24" s="111">
        <v>160000.0</v>
      </c>
      <c r="K24" s="114">
        <f t="shared" si="12"/>
        <v>-0.3076923077</v>
      </c>
      <c r="L24" s="115">
        <f t="shared" si="14"/>
        <v>3846.153846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09"/>
      <c r="B25" s="111"/>
      <c r="C25" s="111"/>
      <c r="D25" s="112"/>
      <c r="E25" s="112"/>
      <c r="F25" s="112"/>
      <c r="G25" s="109"/>
      <c r="H25" s="112"/>
      <c r="I25" s="113">
        <f t="shared" si="13"/>
        <v>0</v>
      </c>
      <c r="J25" s="126"/>
      <c r="K25" s="110">
        <v>0.0</v>
      </c>
      <c r="L25" s="115">
        <f t="shared" si="14"/>
        <v>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43" t="s">
        <v>182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5"/>
      <c r="L26" s="146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18" t="s">
        <v>18</v>
      </c>
      <c r="B27" s="110">
        <v>0.0</v>
      </c>
      <c r="C27" s="111"/>
      <c r="D27" s="112"/>
      <c r="E27" s="112"/>
      <c r="F27" s="112"/>
      <c r="G27" s="117"/>
      <c r="H27" s="112"/>
      <c r="I27" s="113">
        <f>L27*D67</f>
        <v>0</v>
      </c>
      <c r="J27" s="114"/>
      <c r="K27" s="114">
        <f t="shared" ref="K27:K30" si="15">B27-C27-D27-E27-F27-I27+J27-G27-H27</f>
        <v>0</v>
      </c>
      <c r="L27" s="115">
        <f t="shared" ref="L27:L30" si="16">B27/B67</f>
        <v>0</v>
      </c>
      <c r="M27" s="125" t="s">
        <v>233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09" t="s">
        <v>245</v>
      </c>
      <c r="B28" s="110">
        <v>400000.0</v>
      </c>
      <c r="C28" s="111">
        <v>50000.0</v>
      </c>
      <c r="D28" s="112"/>
      <c r="E28" s="112"/>
      <c r="F28" s="109"/>
      <c r="G28" s="117"/>
      <c r="H28" s="112"/>
      <c r="I28" s="120">
        <v>0.0</v>
      </c>
      <c r="J28" s="119"/>
      <c r="K28" s="114">
        <f t="shared" si="15"/>
        <v>350000</v>
      </c>
      <c r="L28" s="115">
        <f t="shared" si="16"/>
        <v>13793.10345</v>
      </c>
      <c r="M28" s="125" t="s">
        <v>235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09" t="s">
        <v>206</v>
      </c>
      <c r="B29" s="110">
        <v>0.0</v>
      </c>
      <c r="C29" s="111"/>
      <c r="D29" s="109"/>
      <c r="E29" s="112"/>
      <c r="F29" s="112"/>
      <c r="G29" s="117"/>
      <c r="H29" s="112"/>
      <c r="I29" s="113">
        <f t="shared" ref="I29:I30" si="17">L29*D69</f>
        <v>0</v>
      </c>
      <c r="J29" s="112"/>
      <c r="K29" s="114">
        <f t="shared" si="15"/>
        <v>0</v>
      </c>
      <c r="L29" s="115">
        <f t="shared" si="16"/>
        <v>0</v>
      </c>
      <c r="M29" s="125" t="s">
        <v>236</v>
      </c>
      <c r="N29" s="125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 outlineLevel="1">
      <c r="A30" s="124" t="s">
        <v>67</v>
      </c>
      <c r="B30" s="110">
        <v>0.0</v>
      </c>
      <c r="C30" s="119"/>
      <c r="D30" s="112"/>
      <c r="E30" s="112"/>
      <c r="F30" s="112"/>
      <c r="G30" s="112"/>
      <c r="H30" s="112"/>
      <c r="I30" s="113">
        <f t="shared" si="17"/>
        <v>0</v>
      </c>
      <c r="J30" s="112"/>
      <c r="K30" s="114">
        <f t="shared" si="15"/>
        <v>0</v>
      </c>
      <c r="L30" s="115">
        <f t="shared" si="16"/>
        <v>0</v>
      </c>
      <c r="M30" s="125" t="s">
        <v>237</v>
      </c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8.0" customHeight="1" outlineLevel="1">
      <c r="A31" s="143" t="s">
        <v>183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5"/>
      <c r="L31" s="146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 outlineLevel="1">
      <c r="A32" s="109" t="s">
        <v>164</v>
      </c>
      <c r="B32" s="110">
        <v>250000.0</v>
      </c>
      <c r="C32" s="111"/>
      <c r="D32" s="112"/>
      <c r="E32" s="112"/>
      <c r="F32" s="112"/>
      <c r="G32" s="109"/>
      <c r="H32" s="109"/>
      <c r="I32" s="113">
        <f t="shared" ref="I32:I33" si="18">L32*D73</f>
        <v>9615.384615</v>
      </c>
      <c r="J32" s="112"/>
      <c r="K32" s="114">
        <f t="shared" ref="K32:K33" si="19">B32-C32-D32-E32-F32-I32+J32-G32-H32</f>
        <v>240384.6154</v>
      </c>
      <c r="L32" s="115">
        <f t="shared" ref="L32:L33" si="20">B32/B73</f>
        <v>9615.384615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4" t="s">
        <v>71</v>
      </c>
      <c r="B33" s="110">
        <v>150000.0</v>
      </c>
      <c r="C33" s="119"/>
      <c r="D33" s="117"/>
      <c r="E33" s="112"/>
      <c r="F33" s="112"/>
      <c r="G33" s="117"/>
      <c r="H33" s="112"/>
      <c r="I33" s="113">
        <f t="shared" si="18"/>
        <v>0</v>
      </c>
      <c r="J33" s="112"/>
      <c r="K33" s="114">
        <f t="shared" si="19"/>
        <v>150000</v>
      </c>
      <c r="L33" s="115">
        <f t="shared" si="20"/>
        <v>5769.230769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 outlineLevel="1">
      <c r="A34" s="109"/>
      <c r="B34" s="110"/>
      <c r="C34" s="111"/>
      <c r="D34" s="112"/>
      <c r="E34" s="112"/>
      <c r="F34" s="112"/>
      <c r="G34" s="112"/>
      <c r="H34" s="112"/>
      <c r="I34" s="113"/>
      <c r="J34" s="112"/>
      <c r="K34" s="114"/>
      <c r="L34" s="115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09" t="s">
        <v>192</v>
      </c>
      <c r="B35" s="110">
        <v>80000.0</v>
      </c>
      <c r="C35" s="111">
        <v>77037.0</v>
      </c>
      <c r="D35" s="112"/>
      <c r="E35" s="112"/>
      <c r="F35" s="112"/>
      <c r="G35" s="112"/>
      <c r="H35" s="112"/>
      <c r="I35" s="113">
        <f>L35*D77</f>
        <v>2962.962963</v>
      </c>
      <c r="J35" s="112"/>
      <c r="K35" s="114">
        <f>B35-C35-D35-E35-F35-I35+J35-G35-H35</f>
        <v>0.03703703704</v>
      </c>
      <c r="L35" s="115">
        <f>B35/B77</f>
        <v>2962.962963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18"/>
      <c r="B36" s="119"/>
      <c r="C36" s="119"/>
      <c r="D36" s="112"/>
      <c r="E36" s="112"/>
      <c r="F36" s="112"/>
      <c r="G36" s="112"/>
      <c r="H36" s="112"/>
      <c r="I36" s="112"/>
      <c r="J36" s="112"/>
      <c r="K36" s="126"/>
      <c r="L36" s="112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26</v>
      </c>
      <c r="B37" s="119">
        <f>SUM(B2:B34)</f>
        <v>4481588</v>
      </c>
      <c r="C37" s="119">
        <f>B37+J21+J23</f>
        <v>4719292.058</v>
      </c>
      <c r="D37" s="112"/>
      <c r="E37" s="112"/>
      <c r="F37" s="112"/>
      <c r="G37" s="112"/>
      <c r="H37" s="112"/>
      <c r="I37" s="112"/>
      <c r="J37" s="112"/>
      <c r="K37" s="126">
        <f>SUM(K2:K35)</f>
        <v>1998422.71</v>
      </c>
      <c r="L37" s="112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3"/>
      <c r="L38" s="12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29" t="s">
        <v>110</v>
      </c>
      <c r="E40" s="128"/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28"/>
      <c r="B41" s="128"/>
      <c r="C41" s="128"/>
      <c r="D41" s="130"/>
      <c r="E41" s="128"/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28"/>
      <c r="B42" s="128"/>
      <c r="C42" s="128"/>
      <c r="D42" s="128"/>
      <c r="E42" s="128"/>
      <c r="F42" s="130"/>
      <c r="G42" s="128"/>
      <c r="H42" s="128"/>
      <c r="I42" s="128"/>
      <c r="J42" s="128"/>
      <c r="K42" s="128"/>
      <c r="L42" s="123">
        <f>K43-'Февраль'!K4-'Март'!K5-'Апрель'!K5-'Май'!K5-'Июнь 2025'!K5-'Июль 2025'!K5-K5</f>
        <v>4118273.092</v>
      </c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79</v>
      </c>
      <c r="B43" s="166" t="s">
        <v>28</v>
      </c>
      <c r="C43" s="167" t="s">
        <v>29</v>
      </c>
      <c r="D43" s="168" t="s">
        <v>80</v>
      </c>
      <c r="E43" s="118" t="s">
        <v>81</v>
      </c>
      <c r="F43" s="128"/>
      <c r="G43" s="128"/>
      <c r="H43" s="128"/>
      <c r="I43" s="128"/>
      <c r="J43" s="125" t="s">
        <v>200</v>
      </c>
      <c r="K43" s="123">
        <f>'Февраль'!K34+'Март'!K38+'Апрель'!K35+'Май'!K33+'Июнь 2025'!K29+'Июль 2025'!K31+'Август 2025'!K31+'Сентябрь 2025'!K31+'Октябрь 2025'!K36+'Ноябрь 2025'!K37+K37</f>
        <v>5998273.092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9" t="s">
        <v>127</v>
      </c>
      <c r="B44" s="120">
        <v>18.0</v>
      </c>
      <c r="C44" s="115">
        <f t="shared" ref="C44:C45" si="21">B44-D44</f>
        <v>18</v>
      </c>
      <c r="D44" s="115">
        <v>0.0</v>
      </c>
      <c r="E44" s="135">
        <v>45327.0</v>
      </c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128</v>
      </c>
      <c r="B45" s="120">
        <v>18.0</v>
      </c>
      <c r="C45" s="115">
        <f t="shared" si="21"/>
        <v>18</v>
      </c>
      <c r="D45" s="115">
        <v>0.0</v>
      </c>
      <c r="E45" s="135">
        <v>45327.0</v>
      </c>
      <c r="F45" s="128"/>
      <c r="G45" s="128"/>
      <c r="H45" s="128"/>
      <c r="I45" s="128"/>
      <c r="J45" s="125" t="s">
        <v>201</v>
      </c>
      <c r="K45" s="128">
        <f>K46+K47+K48+K49</f>
        <v>7372189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43" t="s">
        <v>174</v>
      </c>
      <c r="B46" s="144"/>
      <c r="C46" s="144"/>
      <c r="D46" s="144"/>
      <c r="E46" s="169"/>
      <c r="F46" s="128"/>
      <c r="G46" s="128"/>
      <c r="H46" s="128"/>
      <c r="I46" s="128"/>
      <c r="J46" s="125" t="s">
        <v>202</v>
      </c>
      <c r="K46" s="125">
        <v>400000.0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129</v>
      </c>
      <c r="B47" s="120">
        <v>21.0</v>
      </c>
      <c r="C47" s="115">
        <f t="shared" ref="C47:C58" si="22">B47-D47</f>
        <v>21</v>
      </c>
      <c r="D47" s="115">
        <v>0.0</v>
      </c>
      <c r="E47" s="135">
        <v>45327.0</v>
      </c>
      <c r="F47" s="128"/>
      <c r="G47" s="128"/>
      <c r="H47" s="128"/>
      <c r="I47" s="128"/>
      <c r="J47" s="125" t="s">
        <v>127</v>
      </c>
      <c r="K47" s="128">
        <f>4632189-700000-300000-700000-300000-270000-60000-220000-110000</f>
        <v>1972189</v>
      </c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18" t="s">
        <v>132</v>
      </c>
      <c r="B48" s="120">
        <v>21.0</v>
      </c>
      <c r="C48" s="115">
        <f t="shared" si="22"/>
        <v>21</v>
      </c>
      <c r="D48" s="115">
        <v>0.0</v>
      </c>
      <c r="E48" s="135">
        <v>45327.0</v>
      </c>
      <c r="F48" s="128"/>
      <c r="G48" s="128"/>
      <c r="H48" s="128"/>
      <c r="I48" s="128"/>
      <c r="J48" s="125" t="s">
        <v>128</v>
      </c>
      <c r="K48" s="125">
        <v>2000000.0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34</v>
      </c>
      <c r="B49" s="120">
        <v>21.0</v>
      </c>
      <c r="C49" s="115">
        <f t="shared" si="22"/>
        <v>21</v>
      </c>
      <c r="D49" s="115">
        <v>0.0</v>
      </c>
      <c r="E49" s="135">
        <v>45327.0</v>
      </c>
      <c r="F49" s="128"/>
      <c r="G49" s="128"/>
      <c r="H49" s="128"/>
      <c r="I49" s="128"/>
      <c r="J49" s="125" t="s">
        <v>129</v>
      </c>
      <c r="K49" s="125">
        <v>3000000.0</v>
      </c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196</v>
      </c>
      <c r="B50" s="120">
        <v>21.0</v>
      </c>
      <c r="C50" s="115">
        <f t="shared" si="22"/>
        <v>21</v>
      </c>
      <c r="D50" s="120">
        <v>0.0</v>
      </c>
      <c r="E50" s="135">
        <v>45297.0</v>
      </c>
      <c r="F50" s="125"/>
      <c r="G50" s="128"/>
      <c r="H50" s="128"/>
      <c r="I50" s="128"/>
      <c r="J50" s="128"/>
      <c r="K50" s="12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197</v>
      </c>
      <c r="B51" s="120">
        <v>21.0</v>
      </c>
      <c r="C51" s="115">
        <f t="shared" si="22"/>
        <v>21</v>
      </c>
      <c r="D51" s="120">
        <v>0.0</v>
      </c>
      <c r="E51" s="135">
        <v>45327.0</v>
      </c>
      <c r="F51" s="138"/>
      <c r="G51" s="128"/>
      <c r="H51" s="128"/>
      <c r="I51" s="128"/>
      <c r="J51" s="125" t="s">
        <v>203</v>
      </c>
      <c r="K51" s="125">
        <v>1500000.0</v>
      </c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176</v>
      </c>
      <c r="B52" s="120">
        <v>26.0</v>
      </c>
      <c r="C52" s="115">
        <f t="shared" si="22"/>
        <v>26</v>
      </c>
      <c r="D52" s="120"/>
      <c r="E52" s="135">
        <v>45327.0</v>
      </c>
      <c r="F52" s="138"/>
      <c r="G52" s="128"/>
      <c r="H52" s="130"/>
      <c r="I52" s="128"/>
      <c r="J52" s="128"/>
      <c r="K52" s="12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24" t="s">
        <v>91</v>
      </c>
      <c r="B53" s="120">
        <v>10.0</v>
      </c>
      <c r="C53" s="115">
        <f t="shared" si="22"/>
        <v>10</v>
      </c>
      <c r="D53" s="120">
        <v>0.0</v>
      </c>
      <c r="E53" s="135">
        <v>45327.0</v>
      </c>
      <c r="F53" s="130"/>
      <c r="G53" s="128"/>
      <c r="H53" s="128"/>
      <c r="I53" s="128"/>
      <c r="J53" s="128"/>
      <c r="K53" s="12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224</v>
      </c>
      <c r="B54" s="120">
        <v>21.0</v>
      </c>
      <c r="C54" s="115">
        <f t="shared" si="22"/>
        <v>21</v>
      </c>
      <c r="D54" s="136">
        <v>0.0</v>
      </c>
      <c r="E54" s="135">
        <v>45297.0</v>
      </c>
      <c r="F54" s="13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199</v>
      </c>
      <c r="B55" s="120">
        <v>10.0</v>
      </c>
      <c r="C55" s="115">
        <f t="shared" si="22"/>
        <v>10</v>
      </c>
      <c r="D55" s="120">
        <v>0.0</v>
      </c>
      <c r="E55" s="135">
        <v>45327.0</v>
      </c>
      <c r="F55" s="138"/>
      <c r="G55" s="116"/>
      <c r="H55" s="108"/>
      <c r="I55" s="108"/>
      <c r="J55" s="125" t="s">
        <v>208</v>
      </c>
      <c r="K55" s="108">
        <f>SUM(K56:K59)</f>
        <v>0</v>
      </c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204</v>
      </c>
      <c r="B56" s="120">
        <v>18.0</v>
      </c>
      <c r="C56" s="115">
        <f t="shared" si="22"/>
        <v>18</v>
      </c>
      <c r="D56" s="120">
        <v>0.0</v>
      </c>
      <c r="E56" s="135">
        <v>45327.0</v>
      </c>
      <c r="F56" s="138"/>
      <c r="G56" s="116"/>
      <c r="H56" s="108"/>
      <c r="I56" s="108"/>
      <c r="J56" s="125" t="s">
        <v>209</v>
      </c>
      <c r="K56" s="125">
        <f>600000-200000-400000</f>
        <v>0</v>
      </c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83</v>
      </c>
      <c r="B57" s="120">
        <v>18.0</v>
      </c>
      <c r="C57" s="115">
        <f t="shared" si="22"/>
        <v>18</v>
      </c>
      <c r="D57" s="120">
        <v>0.0</v>
      </c>
      <c r="E57" s="135">
        <v>45327.0</v>
      </c>
      <c r="F57" s="138"/>
      <c r="G57" s="116"/>
      <c r="H57" s="108"/>
      <c r="I57" s="108"/>
      <c r="J57" s="125" t="s">
        <v>210</v>
      </c>
      <c r="K57" s="125">
        <f>645000-645000</f>
        <v>0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83</v>
      </c>
      <c r="B58" s="120">
        <v>18.0</v>
      </c>
      <c r="C58" s="115">
        <f t="shared" si="22"/>
        <v>18</v>
      </c>
      <c r="D58" s="120">
        <v>0.0</v>
      </c>
      <c r="E58" s="135">
        <v>45327.0</v>
      </c>
      <c r="F58" s="125"/>
      <c r="G58" s="116"/>
      <c r="H58" s="108"/>
      <c r="I58" s="108"/>
      <c r="J58" s="125" t="s">
        <v>211</v>
      </c>
      <c r="K58" s="125">
        <f>330000-330000</f>
        <v>0</v>
      </c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43" t="s">
        <v>180</v>
      </c>
      <c r="B59" s="144"/>
      <c r="C59" s="144"/>
      <c r="D59" s="144"/>
      <c r="E59" s="169"/>
      <c r="F59" s="130"/>
      <c r="G59" s="108"/>
      <c r="H59" s="108"/>
      <c r="I59" s="108"/>
      <c r="J59" s="125" t="s">
        <v>212</v>
      </c>
      <c r="K59" s="125">
        <f>750000-750000</f>
        <v>0</v>
      </c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115</v>
      </c>
      <c r="B60" s="120">
        <v>26.0</v>
      </c>
      <c r="C60" s="115">
        <f t="shared" ref="C60:C65" si="23">B60-D60</f>
        <v>17</v>
      </c>
      <c r="D60" s="120">
        <v>9.0</v>
      </c>
      <c r="E60" s="135">
        <v>45297.0</v>
      </c>
      <c r="F60" s="130"/>
      <c r="G60" s="128"/>
      <c r="H60" s="128"/>
      <c r="I60" s="128"/>
      <c r="J60" s="128"/>
      <c r="K60" s="12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24" t="s">
        <v>91</v>
      </c>
      <c r="B61" s="120">
        <v>26.0</v>
      </c>
      <c r="C61" s="115">
        <f t="shared" si="23"/>
        <v>26</v>
      </c>
      <c r="D61" s="120">
        <v>0.0</v>
      </c>
      <c r="E61" s="135">
        <v>45297.0</v>
      </c>
      <c r="F61" s="130"/>
      <c r="G61" s="128"/>
      <c r="H61" s="12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231</v>
      </c>
      <c r="B62" s="120">
        <v>26.0</v>
      </c>
      <c r="C62" s="115">
        <f t="shared" si="23"/>
        <v>26</v>
      </c>
      <c r="D62" s="120">
        <v>0.0</v>
      </c>
      <c r="E62" s="135">
        <v>45297.0</v>
      </c>
      <c r="F62" s="130"/>
      <c r="G62" s="128"/>
      <c r="H62" s="128"/>
      <c r="I62" s="108"/>
      <c r="J62" s="125" t="s">
        <v>238</v>
      </c>
      <c r="K62" s="125">
        <f>1260000-1260000</f>
        <v>0</v>
      </c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 t="s">
        <v>181</v>
      </c>
      <c r="B63" s="120">
        <v>26.0</v>
      </c>
      <c r="C63" s="115">
        <f t="shared" si="23"/>
        <v>20</v>
      </c>
      <c r="D63" s="120">
        <v>6.0</v>
      </c>
      <c r="E63" s="135">
        <v>45297.0</v>
      </c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249</v>
      </c>
      <c r="B64" s="120">
        <v>26.0</v>
      </c>
      <c r="C64" s="115">
        <f t="shared" si="23"/>
        <v>24</v>
      </c>
      <c r="D64" s="120">
        <v>2.0</v>
      </c>
      <c r="E64" s="135"/>
      <c r="F64" s="130"/>
      <c r="G64" s="128"/>
      <c r="H64" s="12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9" t="s">
        <v>186</v>
      </c>
      <c r="B65" s="120">
        <v>26.0</v>
      </c>
      <c r="C65" s="115">
        <f t="shared" si="23"/>
        <v>26</v>
      </c>
      <c r="D65" s="120">
        <v>0.0</v>
      </c>
      <c r="E65" s="135">
        <v>45297.0</v>
      </c>
      <c r="F65" s="130"/>
      <c r="G65" s="128"/>
      <c r="H65" s="128"/>
      <c r="I65" s="128"/>
      <c r="J65" s="128"/>
      <c r="K65" s="12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43" t="s">
        <v>182</v>
      </c>
      <c r="B66" s="144"/>
      <c r="C66" s="144"/>
      <c r="D66" s="144"/>
      <c r="E66" s="169"/>
      <c r="F66" s="130"/>
      <c r="G66" s="128"/>
      <c r="H66" s="12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18</v>
      </c>
      <c r="B67" s="120">
        <v>29.0</v>
      </c>
      <c r="C67" s="115">
        <f t="shared" ref="C67:C71" si="24">B67-D67</f>
        <v>29</v>
      </c>
      <c r="D67" s="120">
        <v>0.0</v>
      </c>
      <c r="E67" s="135">
        <v>45297.0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9" t="s">
        <v>239</v>
      </c>
      <c r="B68" s="120">
        <v>29.0</v>
      </c>
      <c r="C68" s="115">
        <f t="shared" si="24"/>
        <v>24</v>
      </c>
      <c r="D68" s="120">
        <v>5.0</v>
      </c>
      <c r="E68" s="135">
        <v>45297.0</v>
      </c>
      <c r="F68" s="125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206</v>
      </c>
      <c r="B69" s="120">
        <v>29.0</v>
      </c>
      <c r="C69" s="115">
        <f t="shared" si="24"/>
        <v>29</v>
      </c>
      <c r="D69" s="136">
        <v>0.0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24" t="s">
        <v>67</v>
      </c>
      <c r="B70" s="120">
        <v>29.0</v>
      </c>
      <c r="C70" s="115">
        <f t="shared" si="24"/>
        <v>20</v>
      </c>
      <c r="D70" s="120">
        <v>9.0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18" t="s">
        <v>41</v>
      </c>
      <c r="B71" s="120">
        <v>29.0</v>
      </c>
      <c r="C71" s="115">
        <f t="shared" si="24"/>
        <v>29</v>
      </c>
      <c r="D71" s="136">
        <v>0.0</v>
      </c>
      <c r="E71" s="135">
        <v>45327.0</v>
      </c>
      <c r="F71" s="130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70" t="s">
        <v>183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9" t="s">
        <v>164</v>
      </c>
      <c r="B73" s="120">
        <v>26.0</v>
      </c>
      <c r="C73" s="115">
        <f t="shared" ref="C73:C77" si="25">B73-D73</f>
        <v>25</v>
      </c>
      <c r="D73" s="120">
        <v>1.0</v>
      </c>
      <c r="E73" s="135">
        <v>45297.0</v>
      </c>
      <c r="F73" s="125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24" t="s">
        <v>71</v>
      </c>
      <c r="B74" s="120">
        <v>26.0</v>
      </c>
      <c r="C74" s="115">
        <f t="shared" si="25"/>
        <v>26</v>
      </c>
      <c r="D74" s="120"/>
      <c r="E74" s="135">
        <v>45327.0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18" t="s">
        <v>70</v>
      </c>
      <c r="B75" s="120">
        <v>24.0</v>
      </c>
      <c r="C75" s="115">
        <f t="shared" si="25"/>
        <v>24</v>
      </c>
      <c r="D75" s="120"/>
      <c r="E75" s="135">
        <v>45327.0</v>
      </c>
      <c r="F75" s="130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9" t="s">
        <v>191</v>
      </c>
      <c r="B76" s="120">
        <v>25.0</v>
      </c>
      <c r="C76" s="115">
        <f t="shared" si="25"/>
        <v>25</v>
      </c>
      <c r="D76" s="120"/>
      <c r="E76" s="135">
        <v>45327.0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9" t="s">
        <v>193</v>
      </c>
      <c r="B77" s="120">
        <v>27.0</v>
      </c>
      <c r="C77" s="115">
        <f t="shared" si="25"/>
        <v>26</v>
      </c>
      <c r="D77" s="120">
        <v>1.0</v>
      </c>
      <c r="E77" s="135">
        <v>45327.0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 ht="15.75" customHeight="1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  <row r="1007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</row>
  </sheetData>
  <mergeCells count="8">
    <mergeCell ref="A4:J4"/>
    <mergeCell ref="A20:J20"/>
    <mergeCell ref="A26:J26"/>
    <mergeCell ref="A31:J31"/>
    <mergeCell ref="A46:E46"/>
    <mergeCell ref="A59:E59"/>
    <mergeCell ref="A66:E66"/>
    <mergeCell ref="A72:E7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  <col customWidth="1" min="15" max="15" width="16.78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330000.0</v>
      </c>
      <c r="C2" s="111">
        <v>220000.0</v>
      </c>
      <c r="D2" s="109">
        <v>110000.0</v>
      </c>
      <c r="E2" s="117"/>
      <c r="F2" s="117"/>
      <c r="G2" s="117"/>
      <c r="H2" s="112"/>
      <c r="I2" s="113">
        <f t="shared" ref="I2:I3" si="1">L2*D44</f>
        <v>0</v>
      </c>
      <c r="J2" s="112"/>
      <c r="K2" s="114">
        <f>B2-C2-D2-E2-F2-I2+J2-G2-H2</f>
        <v>0</v>
      </c>
      <c r="L2" s="115">
        <f t="shared" ref="L2:L3" si="2">B2/B44</f>
        <v>18333.33333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500000.0</v>
      </c>
      <c r="C3" s="110">
        <v>150000.0</v>
      </c>
      <c r="D3" s="117"/>
      <c r="E3" s="117"/>
      <c r="F3" s="117"/>
      <c r="G3" s="109"/>
      <c r="H3" s="112"/>
      <c r="I3" s="113">
        <f t="shared" si="1"/>
        <v>0</v>
      </c>
      <c r="J3" s="112"/>
      <c r="K3" s="114">
        <f>B3-C3-D3-E3-F3-I3+J3-G3</f>
        <v>350000</v>
      </c>
      <c r="L3" s="115">
        <f t="shared" si="2"/>
        <v>27777.77778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500000.0</v>
      </c>
      <c r="C5" s="111">
        <v>145000.0</v>
      </c>
      <c r="D5" s="109">
        <v>150000.0</v>
      </c>
      <c r="E5" s="117"/>
      <c r="F5" s="109"/>
      <c r="G5" s="117"/>
      <c r="H5" s="112"/>
      <c r="I5" s="113">
        <f t="shared" ref="I5:I6" si="3">L5*D47</f>
        <v>0</v>
      </c>
      <c r="J5" s="112"/>
      <c r="K5" s="114">
        <f>B5-C5-D5-E5-F5-I5+J5-G5-H5</f>
        <v>205000</v>
      </c>
      <c r="L5" s="115">
        <f t="shared" ref="L5:L6" si="4">B5/B47</f>
        <v>23809.52381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146000.0</v>
      </c>
      <c r="C6" s="111">
        <v>42448.0</v>
      </c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103552</v>
      </c>
      <c r="L6" s="115">
        <f t="shared" si="4"/>
        <v>6952.380952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34</v>
      </c>
      <c r="B7" s="110">
        <f>10500+87500</f>
        <v>98000</v>
      </c>
      <c r="C7" s="111">
        <v>98000.0</v>
      </c>
      <c r="D7" s="109"/>
      <c r="E7" s="112"/>
      <c r="F7" s="109"/>
      <c r="G7" s="109"/>
      <c r="H7" s="112"/>
      <c r="I7" s="113">
        <f>L7*D53</f>
        <v>0</v>
      </c>
      <c r="J7" s="112"/>
      <c r="K7" s="114">
        <f>B7-C7-D7-E7-F7-I7+J7-G7-H7</f>
        <v>0</v>
      </c>
      <c r="L7" s="115">
        <f>B7/B53</f>
        <v>9800</v>
      </c>
      <c r="M7" s="116" t="s">
        <v>140</v>
      </c>
      <c r="N7" s="125" t="s">
        <v>221</v>
      </c>
      <c r="O7" s="125" t="s">
        <v>222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196</v>
      </c>
      <c r="B8" s="110">
        <v>77000.0</v>
      </c>
      <c r="C8" s="111">
        <v>77000.0</v>
      </c>
      <c r="D8" s="112"/>
      <c r="E8" s="112"/>
      <c r="F8" s="112"/>
      <c r="G8" s="112"/>
      <c r="H8" s="112"/>
      <c r="I8" s="113">
        <f t="shared" ref="I8:I9" si="5">L8*D51</f>
        <v>0</v>
      </c>
      <c r="J8" s="112"/>
      <c r="K8" s="114">
        <f t="shared" ref="K8:K9" si="6">B8-C8-D8-E8-F8-I8+J8-G8</f>
        <v>0</v>
      </c>
      <c r="L8" s="115">
        <f t="shared" ref="L8:L9" si="7">B8/B51</f>
        <v>3666.666667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200000.0</v>
      </c>
      <c r="C9" s="111">
        <v>200000.0</v>
      </c>
      <c r="D9" s="112"/>
      <c r="E9" s="112"/>
      <c r="F9" s="112"/>
      <c r="G9" s="117"/>
      <c r="H9" s="112"/>
      <c r="I9" s="113">
        <f t="shared" si="5"/>
        <v>0</v>
      </c>
      <c r="J9" s="112"/>
      <c r="K9" s="114">
        <f t="shared" si="6"/>
        <v>0</v>
      </c>
      <c r="L9" s="115">
        <f t="shared" si="7"/>
        <v>7692.307692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240</v>
      </c>
      <c r="B10" s="110">
        <f>60000+31500</f>
        <v>91500</v>
      </c>
      <c r="C10" s="111">
        <v>91500.0</v>
      </c>
      <c r="D10" s="112"/>
      <c r="E10" s="112"/>
      <c r="F10" s="109"/>
      <c r="G10" s="109"/>
      <c r="H10" s="109"/>
      <c r="I10" s="113">
        <f>L10*D54</f>
        <v>0</v>
      </c>
      <c r="J10" s="112"/>
      <c r="K10" s="114">
        <f t="shared" ref="K10:K11" si="8">B10-C10-D10-E10-F10-I10+J10-G10-H10</f>
        <v>0</v>
      </c>
      <c r="L10" s="115">
        <f>B10/B54</f>
        <v>4357.142857</v>
      </c>
      <c r="M10" s="116" t="s">
        <v>140</v>
      </c>
      <c r="N10" s="125" t="s">
        <v>223</v>
      </c>
      <c r="O10" s="116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09" t="s">
        <v>250</v>
      </c>
      <c r="B11" s="110">
        <v>250000.0</v>
      </c>
      <c r="C11" s="196">
        <v>31250.0</v>
      </c>
      <c r="D11" s="112"/>
      <c r="E11" s="112"/>
      <c r="F11" s="112"/>
      <c r="G11" s="109"/>
      <c r="H11" s="109"/>
      <c r="I11" s="113">
        <f>L11*D61</f>
        <v>218750</v>
      </c>
      <c r="J11" s="164"/>
      <c r="K11" s="114">
        <f t="shared" si="8"/>
        <v>0</v>
      </c>
      <c r="L11" s="115">
        <f>B11/B61</f>
        <v>10416.66667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224</v>
      </c>
      <c r="B12" s="110">
        <v>200000.0</v>
      </c>
      <c r="C12" s="111">
        <v>200000.0</v>
      </c>
      <c r="D12" s="112"/>
      <c r="E12" s="112"/>
      <c r="F12" s="112"/>
      <c r="G12" s="117"/>
      <c r="H12" s="112"/>
      <c r="I12" s="113">
        <f>L12*D56</f>
        <v>0</v>
      </c>
      <c r="J12" s="109"/>
      <c r="K12" s="114">
        <f t="shared" ref="K12:K13" si="9">B12-C12-D12-E12-F12-I12+J12-G12</f>
        <v>0</v>
      </c>
      <c r="L12" s="115">
        <f>B12/B56</f>
        <v>11111.11111</v>
      </c>
      <c r="M12" s="116"/>
      <c r="N12" s="116"/>
      <c r="O12" s="116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246</v>
      </c>
      <c r="B13" s="110">
        <v>14000.0</v>
      </c>
      <c r="C13" s="111">
        <v>14000.0</v>
      </c>
      <c r="D13" s="112"/>
      <c r="E13" s="112"/>
      <c r="F13" s="112"/>
      <c r="G13" s="117"/>
      <c r="H13" s="112"/>
      <c r="I13" s="113">
        <f>L13*D56</f>
        <v>0</v>
      </c>
      <c r="J13" s="112"/>
      <c r="K13" s="114">
        <f t="shared" si="9"/>
        <v>0</v>
      </c>
      <c r="L13" s="115">
        <f>B13/B56</f>
        <v>777.7777778</v>
      </c>
      <c r="M13" s="125" t="s">
        <v>225</v>
      </c>
      <c r="N13" s="125" t="s">
        <v>226</v>
      </c>
      <c r="O13" s="116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 t="s">
        <v>251</v>
      </c>
      <c r="B14" s="110">
        <v>350000.0</v>
      </c>
      <c r="C14" s="111">
        <v>50000.0</v>
      </c>
      <c r="D14" s="197">
        <v>180000.0</v>
      </c>
      <c r="E14" s="112"/>
      <c r="F14" s="109"/>
      <c r="G14" s="117"/>
      <c r="H14" s="112"/>
      <c r="I14" s="113">
        <f>L14*D58</f>
        <v>19444.44444</v>
      </c>
      <c r="J14" s="112"/>
      <c r="K14" s="114">
        <f t="shared" ref="K14:K19" si="10">B14-C14-D14-E14-F14-I14+J14-G14-H14</f>
        <v>100555.5556</v>
      </c>
      <c r="L14" s="115">
        <f>B14/B58</f>
        <v>19444.44444</v>
      </c>
      <c r="M14" s="116"/>
      <c r="N14" s="116"/>
      <c r="O14" s="116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 outlineLevel="1">
      <c r="A15" s="109" t="s">
        <v>227</v>
      </c>
      <c r="B15" s="110">
        <v>120240.0</v>
      </c>
      <c r="C15" s="111">
        <v>120240.0</v>
      </c>
      <c r="D15" s="112"/>
      <c r="E15" s="112"/>
      <c r="F15" s="109"/>
      <c r="G15" s="117"/>
      <c r="H15" s="112"/>
      <c r="I15" s="120">
        <v>0.0</v>
      </c>
      <c r="J15" s="112"/>
      <c r="K15" s="114">
        <f t="shared" si="10"/>
        <v>0</v>
      </c>
      <c r="L15" s="120">
        <v>0.0</v>
      </c>
      <c r="M15" s="125">
        <v>120240.0</v>
      </c>
      <c r="N15" s="125">
        <v>160000.0</v>
      </c>
      <c r="O15" s="125" t="s">
        <v>252</v>
      </c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 outlineLevel="1">
      <c r="A16" s="109" t="s">
        <v>228</v>
      </c>
      <c r="B16" s="110">
        <v>0.0</v>
      </c>
      <c r="C16" s="111"/>
      <c r="D16" s="112"/>
      <c r="E16" s="112"/>
      <c r="F16" s="109"/>
      <c r="G16" s="117"/>
      <c r="H16" s="112"/>
      <c r="I16" s="120">
        <v>0.0</v>
      </c>
      <c r="J16" s="112"/>
      <c r="K16" s="114">
        <f t="shared" si="10"/>
        <v>0</v>
      </c>
      <c r="L16" s="115">
        <f t="shared" ref="L16:L18" si="11">B16/B60</f>
        <v>0</v>
      </c>
      <c r="M16" s="116"/>
      <c r="N16" s="116"/>
      <c r="O16" s="116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09" t="s">
        <v>229</v>
      </c>
      <c r="B17" s="110">
        <v>68000.0</v>
      </c>
      <c r="C17" s="111">
        <v>68000.0</v>
      </c>
      <c r="D17" s="112"/>
      <c r="E17" s="112"/>
      <c r="F17" s="109"/>
      <c r="G17" s="117"/>
      <c r="H17" s="112"/>
      <c r="I17" s="120">
        <v>0.0</v>
      </c>
      <c r="J17" s="112"/>
      <c r="K17" s="114">
        <f t="shared" si="10"/>
        <v>0</v>
      </c>
      <c r="L17" s="115">
        <f t="shared" si="11"/>
        <v>2833.333333</v>
      </c>
      <c r="M17" s="116"/>
      <c r="N17" s="116"/>
      <c r="O17" s="116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 outlineLevel="1">
      <c r="A18" s="109" t="s">
        <v>230</v>
      </c>
      <c r="B18" s="110">
        <v>0.0</v>
      </c>
      <c r="C18" s="111"/>
      <c r="D18" s="112"/>
      <c r="E18" s="112"/>
      <c r="F18" s="109"/>
      <c r="G18" s="117"/>
      <c r="H18" s="112"/>
      <c r="I18" s="113">
        <f>L18*D62</f>
        <v>0</v>
      </c>
      <c r="J18" s="112"/>
      <c r="K18" s="114">
        <f t="shared" si="10"/>
        <v>0</v>
      </c>
      <c r="L18" s="115">
        <f t="shared" si="11"/>
        <v>0</v>
      </c>
      <c r="M18" s="116"/>
      <c r="N18" s="116"/>
      <c r="O18" s="116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 outlineLevel="1">
      <c r="A19" s="157" t="s">
        <v>248</v>
      </c>
      <c r="B19" s="158">
        <f>150000+87500</f>
        <v>237500</v>
      </c>
      <c r="C19" s="159">
        <v>142500.0</v>
      </c>
      <c r="D19" s="157">
        <v>100000.0</v>
      </c>
      <c r="E19" s="160"/>
      <c r="F19" s="157"/>
      <c r="G19" s="161"/>
      <c r="H19" s="160"/>
      <c r="I19" s="162"/>
      <c r="J19" s="157">
        <v>5000.0</v>
      </c>
      <c r="K19" s="114">
        <f t="shared" si="10"/>
        <v>0</v>
      </c>
      <c r="L19" s="163"/>
      <c r="M19" s="116"/>
      <c r="N19" s="116"/>
      <c r="O19" s="116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6.5" customHeight="1">
      <c r="A20" s="143" t="s">
        <v>180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24" t="s">
        <v>115</v>
      </c>
      <c r="B21" s="110">
        <v>200000.0</v>
      </c>
      <c r="C21" s="111"/>
      <c r="D21" s="112"/>
      <c r="E21" s="112"/>
      <c r="F21" s="109"/>
      <c r="G21" s="117"/>
      <c r="H21" s="109"/>
      <c r="I21" s="113">
        <f>L21*D60</f>
        <v>0</v>
      </c>
      <c r="J21" s="126">
        <f>IFERROR(__xludf.DUMMYFUNCTION("IMPORTRANGE(""https://docs.google.com/spreadsheets/d/1JJd44_6b1hsmD6e8liei_zzkkh-GYab6gE4K23IJPVI/edit?gid=0#gid=0&amp;range=J95"",""'Лист1'!K529"")"),158938.81199999974)</f>
        <v>158938.812</v>
      </c>
      <c r="K21" s="114">
        <f t="shared" ref="K21:K22" si="12">B21-C21-D21-E21-F21-I21+J21-G21-H21</f>
        <v>358938.812</v>
      </c>
      <c r="L21" s="115">
        <f>B21/B60</f>
        <v>7692.307692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243</v>
      </c>
      <c r="B22" s="111">
        <v>0.0</v>
      </c>
      <c r="C22" s="111"/>
      <c r="D22" s="112"/>
      <c r="E22" s="112"/>
      <c r="F22" s="112"/>
      <c r="G22" s="117"/>
      <c r="H22" s="109"/>
      <c r="I22" s="113">
        <f t="shared" ref="I22:I25" si="13">L22*D62</f>
        <v>0</v>
      </c>
      <c r="J22" s="111">
        <v>0.0</v>
      </c>
      <c r="K22" s="114">
        <f t="shared" si="12"/>
        <v>0</v>
      </c>
      <c r="L22" s="115">
        <f t="shared" ref="L22:L23" si="14">B22/B62</f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9" t="s">
        <v>181</v>
      </c>
      <c r="B23" s="111">
        <v>0.0</v>
      </c>
      <c r="C23" s="111"/>
      <c r="D23" s="109"/>
      <c r="E23" s="112"/>
      <c r="F23" s="109"/>
      <c r="G23" s="109"/>
      <c r="H23" s="109"/>
      <c r="I23" s="113">
        <f t="shared" si="13"/>
        <v>0</v>
      </c>
      <c r="J23" s="164">
        <v>0.0</v>
      </c>
      <c r="K23" s="110">
        <v>0.0</v>
      </c>
      <c r="L23" s="115">
        <f t="shared" si="14"/>
        <v>0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9" t="s">
        <v>244</v>
      </c>
      <c r="B24" s="111">
        <v>100000.0</v>
      </c>
      <c r="C24" s="111">
        <v>130000.0</v>
      </c>
      <c r="D24" s="112"/>
      <c r="E24" s="112"/>
      <c r="F24" s="112"/>
      <c r="G24" s="112"/>
      <c r="H24" s="112"/>
      <c r="I24" s="113">
        <f t="shared" si="13"/>
        <v>0</v>
      </c>
      <c r="J24" s="111">
        <v>30000.0</v>
      </c>
      <c r="K24" s="114">
        <f>B24-C24-D24-E24-F24-I24+J24-G24-H24</f>
        <v>0</v>
      </c>
      <c r="L24" s="115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09"/>
      <c r="B25" s="111"/>
      <c r="C25" s="111"/>
      <c r="D25" s="112"/>
      <c r="E25" s="112"/>
      <c r="F25" s="112"/>
      <c r="G25" s="109"/>
      <c r="H25" s="112"/>
      <c r="I25" s="113">
        <f t="shared" si="13"/>
        <v>0</v>
      </c>
      <c r="J25" s="126"/>
      <c r="K25" s="110">
        <v>0.0</v>
      </c>
      <c r="L25" s="115">
        <f>B25/B65</f>
        <v>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43" t="s">
        <v>182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5"/>
      <c r="L26" s="146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18" t="s">
        <v>18</v>
      </c>
      <c r="B27" s="110">
        <v>0.0</v>
      </c>
      <c r="C27" s="111"/>
      <c r="D27" s="112"/>
      <c r="E27" s="112"/>
      <c r="F27" s="112"/>
      <c r="G27" s="117"/>
      <c r="H27" s="112"/>
      <c r="I27" s="113">
        <f>L27*D67</f>
        <v>0</v>
      </c>
      <c r="J27" s="114"/>
      <c r="K27" s="114">
        <f t="shared" ref="K27:K30" si="15">B27-C27-D27-E27-F27-I27+J27-G27-H27</f>
        <v>0</v>
      </c>
      <c r="L27" s="115">
        <f t="shared" ref="L27:L30" si="16">B27/B67</f>
        <v>0</v>
      </c>
      <c r="M27" s="125" t="s">
        <v>233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09" t="s">
        <v>245</v>
      </c>
      <c r="B28" s="110">
        <v>0.0</v>
      </c>
      <c r="C28" s="111"/>
      <c r="D28" s="112"/>
      <c r="E28" s="112"/>
      <c r="F28" s="109"/>
      <c r="G28" s="117"/>
      <c r="H28" s="112"/>
      <c r="I28" s="120">
        <v>0.0</v>
      </c>
      <c r="J28" s="119"/>
      <c r="K28" s="114">
        <f t="shared" si="15"/>
        <v>0</v>
      </c>
      <c r="L28" s="115">
        <f t="shared" si="16"/>
        <v>0</v>
      </c>
      <c r="M28" s="125" t="s">
        <v>235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09" t="s">
        <v>206</v>
      </c>
      <c r="B29" s="110">
        <v>0.0</v>
      </c>
      <c r="C29" s="111"/>
      <c r="D29" s="109"/>
      <c r="E29" s="112"/>
      <c r="F29" s="112"/>
      <c r="G29" s="117"/>
      <c r="H29" s="112"/>
      <c r="I29" s="113">
        <f t="shared" ref="I29:I30" si="17">L29*D69</f>
        <v>0</v>
      </c>
      <c r="J29" s="112"/>
      <c r="K29" s="114">
        <f t="shared" si="15"/>
        <v>0</v>
      </c>
      <c r="L29" s="115">
        <f t="shared" si="16"/>
        <v>0</v>
      </c>
      <c r="M29" s="125" t="s">
        <v>236</v>
      </c>
      <c r="N29" s="125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 outlineLevel="1">
      <c r="A30" s="124" t="s">
        <v>67</v>
      </c>
      <c r="B30" s="110">
        <v>0.0</v>
      </c>
      <c r="C30" s="119"/>
      <c r="D30" s="112"/>
      <c r="E30" s="112"/>
      <c r="F30" s="112"/>
      <c r="G30" s="112"/>
      <c r="H30" s="112"/>
      <c r="I30" s="113">
        <f t="shared" si="17"/>
        <v>0</v>
      </c>
      <c r="J30" s="112"/>
      <c r="K30" s="114">
        <f t="shared" si="15"/>
        <v>0</v>
      </c>
      <c r="L30" s="115">
        <f t="shared" si="16"/>
        <v>0</v>
      </c>
      <c r="M30" s="125" t="s">
        <v>237</v>
      </c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8.0" customHeight="1" outlineLevel="1">
      <c r="A31" s="143" t="s">
        <v>183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5"/>
      <c r="L31" s="146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 outlineLevel="1">
      <c r="A32" s="109" t="s">
        <v>164</v>
      </c>
      <c r="B32" s="110">
        <v>250000.0</v>
      </c>
      <c r="C32" s="111"/>
      <c r="D32" s="112"/>
      <c r="E32" s="112"/>
      <c r="F32" s="112"/>
      <c r="G32" s="109"/>
      <c r="H32" s="109"/>
      <c r="I32" s="113">
        <f t="shared" ref="I32:I33" si="18">L32*D73</f>
        <v>9615.384615</v>
      </c>
      <c r="J32" s="112"/>
      <c r="K32" s="114">
        <f t="shared" ref="K32:K33" si="19">B32-C32-D32-E32-F32-I32+J32-G32-H32</f>
        <v>240384.6154</v>
      </c>
      <c r="L32" s="115">
        <f t="shared" ref="L32:L33" si="20">B32/B73</f>
        <v>9615.384615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4" t="s">
        <v>71</v>
      </c>
      <c r="B33" s="110">
        <v>150000.0</v>
      </c>
      <c r="C33" s="119"/>
      <c r="D33" s="117"/>
      <c r="E33" s="112"/>
      <c r="F33" s="112"/>
      <c r="G33" s="117"/>
      <c r="H33" s="112"/>
      <c r="I33" s="113">
        <f t="shared" si="18"/>
        <v>0</v>
      </c>
      <c r="J33" s="112"/>
      <c r="K33" s="114">
        <f t="shared" si="19"/>
        <v>150000</v>
      </c>
      <c r="L33" s="115">
        <f t="shared" si="20"/>
        <v>5769.230769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 outlineLevel="1">
      <c r="A34" s="109"/>
      <c r="B34" s="110"/>
      <c r="C34" s="111"/>
      <c r="D34" s="112"/>
      <c r="E34" s="112"/>
      <c r="F34" s="112"/>
      <c r="G34" s="112"/>
      <c r="H34" s="112"/>
      <c r="I34" s="113"/>
      <c r="J34" s="112"/>
      <c r="K34" s="114"/>
      <c r="L34" s="115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09" t="s">
        <v>192</v>
      </c>
      <c r="B35" s="110">
        <v>80000.0</v>
      </c>
      <c r="C35" s="111">
        <v>20000.0</v>
      </c>
      <c r="D35" s="112"/>
      <c r="E35" s="112"/>
      <c r="F35" s="112"/>
      <c r="G35" s="112"/>
      <c r="H35" s="112"/>
      <c r="I35" s="113">
        <f t="shared" ref="I35:I36" si="21">L35*D77</f>
        <v>60000</v>
      </c>
      <c r="J35" s="112"/>
      <c r="K35" s="114">
        <f t="shared" ref="K35:K36" si="22">B35-C35-D35-E35-F35-I35+J35-G35-H35</f>
        <v>0</v>
      </c>
      <c r="L35" s="115">
        <f t="shared" ref="L35:L36" si="23">B35/B77</f>
        <v>3333.333333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09" t="s">
        <v>253</v>
      </c>
      <c r="B36" s="111">
        <v>80000.0</v>
      </c>
      <c r="C36" s="111">
        <v>50000.0</v>
      </c>
      <c r="D36" s="109">
        <v>3000.0</v>
      </c>
      <c r="E36" s="112"/>
      <c r="F36" s="112"/>
      <c r="G36" s="112"/>
      <c r="H36" s="112"/>
      <c r="I36" s="113">
        <f t="shared" si="21"/>
        <v>26666.66667</v>
      </c>
      <c r="J36" s="112"/>
      <c r="K36" s="114">
        <f t="shared" si="22"/>
        <v>333.3333333</v>
      </c>
      <c r="L36" s="115">
        <f t="shared" si="23"/>
        <v>3333.333333</v>
      </c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26</v>
      </c>
      <c r="B37" s="119">
        <f>SUM(B2:B34)</f>
        <v>3882240</v>
      </c>
      <c r="C37" s="119">
        <f>B37+J21+J23</f>
        <v>4041178.812</v>
      </c>
      <c r="D37" s="112"/>
      <c r="E37" s="112"/>
      <c r="F37" s="112"/>
      <c r="G37" s="112"/>
      <c r="H37" s="112"/>
      <c r="I37" s="112"/>
      <c r="J37" s="112"/>
      <c r="K37" s="126">
        <f>SUM(K2:K35)</f>
        <v>1508430.983</v>
      </c>
      <c r="L37" s="112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3"/>
      <c r="L38" s="12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29" t="s">
        <v>110</v>
      </c>
      <c r="E40" s="128"/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28"/>
      <c r="B41" s="128"/>
      <c r="C41" s="128"/>
      <c r="D41" s="130"/>
      <c r="E41" s="128"/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28"/>
      <c r="B42" s="128"/>
      <c r="C42" s="128"/>
      <c r="D42" s="128"/>
      <c r="E42" s="128"/>
      <c r="F42" s="130"/>
      <c r="G42" s="128"/>
      <c r="H42" s="128"/>
      <c r="I42" s="128"/>
      <c r="J42" s="128"/>
      <c r="K42" s="128"/>
      <c r="L42" s="123">
        <f>K43-'Февраль'!K4-'Март'!K5-'Апрель'!K5-'Май'!K5-'Июнь 2025'!K5-'Июль 2025'!K5-K5</f>
        <v>3923281.364</v>
      </c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79</v>
      </c>
      <c r="B43" s="166" t="s">
        <v>28</v>
      </c>
      <c r="C43" s="167" t="s">
        <v>29</v>
      </c>
      <c r="D43" s="168" t="s">
        <v>80</v>
      </c>
      <c r="E43" s="118" t="s">
        <v>81</v>
      </c>
      <c r="F43" s="128"/>
      <c r="G43" s="128"/>
      <c r="H43" s="128"/>
      <c r="I43" s="128"/>
      <c r="J43" s="125" t="s">
        <v>200</v>
      </c>
      <c r="K43" s="123">
        <f>'Февраль'!K34+'Март'!K38+'Апрель'!K35+'Май'!K33+'Июнь 2025'!K29+'Июль 2025'!K31+'Август 2025'!K31+'Сентябрь 2025'!K31+'Октябрь 2025'!K36+'Ноябрь 2025'!K37+K37</f>
        <v>5508281.364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9" t="s">
        <v>127</v>
      </c>
      <c r="B44" s="120">
        <v>18.0</v>
      </c>
      <c r="C44" s="115">
        <f t="shared" ref="C44:C45" si="24">B44-D44</f>
        <v>18</v>
      </c>
      <c r="D44" s="115">
        <v>0.0</v>
      </c>
      <c r="E44" s="135">
        <v>45327.0</v>
      </c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128</v>
      </c>
      <c r="B45" s="120">
        <v>18.0</v>
      </c>
      <c r="C45" s="115">
        <f t="shared" si="24"/>
        <v>18</v>
      </c>
      <c r="D45" s="115">
        <v>0.0</v>
      </c>
      <c r="E45" s="135">
        <v>45327.0</v>
      </c>
      <c r="F45" s="128"/>
      <c r="G45" s="128"/>
      <c r="H45" s="128"/>
      <c r="I45" s="128"/>
      <c r="J45" s="125" t="s">
        <v>201</v>
      </c>
      <c r="K45" s="128">
        <f>K46+K47+K48+K49</f>
        <v>7042189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43" t="s">
        <v>174</v>
      </c>
      <c r="B46" s="144"/>
      <c r="C46" s="144"/>
      <c r="D46" s="144"/>
      <c r="E46" s="169"/>
      <c r="F46" s="128"/>
      <c r="G46" s="128"/>
      <c r="H46" s="128"/>
      <c r="I46" s="128"/>
      <c r="J46" s="125" t="s">
        <v>202</v>
      </c>
      <c r="K46" s="125">
        <v>400000.0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129</v>
      </c>
      <c r="B47" s="120">
        <v>21.0</v>
      </c>
      <c r="C47" s="115">
        <f t="shared" ref="C47:C58" si="25">B47-D47</f>
        <v>21</v>
      </c>
      <c r="D47" s="115">
        <v>0.0</v>
      </c>
      <c r="E47" s="135">
        <v>45327.0</v>
      </c>
      <c r="F47" s="128"/>
      <c r="G47" s="128"/>
      <c r="H47" s="128"/>
      <c r="I47" s="128"/>
      <c r="J47" s="125" t="s">
        <v>127</v>
      </c>
      <c r="K47" s="128">
        <f>4632189-700000-300000-700000-300000-270000-60000-220000-110000-330000</f>
        <v>1642189</v>
      </c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18" t="s">
        <v>132</v>
      </c>
      <c r="B48" s="120">
        <v>21.0</v>
      </c>
      <c r="C48" s="115">
        <f t="shared" si="25"/>
        <v>21</v>
      </c>
      <c r="D48" s="115">
        <v>0.0</v>
      </c>
      <c r="E48" s="135">
        <v>45327.0</v>
      </c>
      <c r="F48" s="128"/>
      <c r="G48" s="128"/>
      <c r="H48" s="128"/>
      <c r="I48" s="128"/>
      <c r="J48" s="125" t="s">
        <v>128</v>
      </c>
      <c r="K48" s="125">
        <v>2000000.0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34</v>
      </c>
      <c r="B49" s="120">
        <v>21.0</v>
      </c>
      <c r="C49" s="115">
        <f t="shared" si="25"/>
        <v>21</v>
      </c>
      <c r="D49" s="115">
        <v>0.0</v>
      </c>
      <c r="E49" s="135">
        <v>45327.0</v>
      </c>
      <c r="F49" s="128"/>
      <c r="G49" s="128"/>
      <c r="H49" s="128"/>
      <c r="I49" s="128"/>
      <c r="J49" s="125" t="s">
        <v>129</v>
      </c>
      <c r="K49" s="125">
        <v>3000000.0</v>
      </c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196</v>
      </c>
      <c r="B50" s="120">
        <v>21.0</v>
      </c>
      <c r="C50" s="115">
        <f t="shared" si="25"/>
        <v>21</v>
      </c>
      <c r="D50" s="120">
        <v>0.0</v>
      </c>
      <c r="E50" s="135">
        <v>45297.0</v>
      </c>
      <c r="F50" s="125"/>
      <c r="G50" s="128"/>
      <c r="H50" s="128"/>
      <c r="I50" s="128"/>
      <c r="J50" s="128"/>
      <c r="K50" s="12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197</v>
      </c>
      <c r="B51" s="120">
        <v>21.0</v>
      </c>
      <c r="C51" s="115">
        <f t="shared" si="25"/>
        <v>21</v>
      </c>
      <c r="D51" s="120">
        <v>0.0</v>
      </c>
      <c r="E51" s="135">
        <v>45327.0</v>
      </c>
      <c r="F51" s="138"/>
      <c r="G51" s="128"/>
      <c r="H51" s="128"/>
      <c r="I51" s="128"/>
      <c r="J51" s="125" t="s">
        <v>203</v>
      </c>
      <c r="K51" s="125">
        <v>1500000.0</v>
      </c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176</v>
      </c>
      <c r="B52" s="120">
        <v>26.0</v>
      </c>
      <c r="C52" s="115">
        <f t="shared" si="25"/>
        <v>26</v>
      </c>
      <c r="D52" s="120"/>
      <c r="E52" s="135">
        <v>45327.0</v>
      </c>
      <c r="F52" s="138"/>
      <c r="G52" s="128"/>
      <c r="H52" s="130"/>
      <c r="I52" s="128"/>
      <c r="J52" s="128"/>
      <c r="K52" s="12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24" t="s">
        <v>91</v>
      </c>
      <c r="B53" s="120">
        <v>10.0</v>
      </c>
      <c r="C53" s="115">
        <f t="shared" si="25"/>
        <v>10</v>
      </c>
      <c r="D53" s="120">
        <v>0.0</v>
      </c>
      <c r="E53" s="135">
        <v>45327.0</v>
      </c>
      <c r="F53" s="130"/>
      <c r="G53" s="128"/>
      <c r="H53" s="128"/>
      <c r="I53" s="128"/>
      <c r="J53" s="128"/>
      <c r="K53" s="12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224</v>
      </c>
      <c r="B54" s="120">
        <v>21.0</v>
      </c>
      <c r="C54" s="115">
        <f t="shared" si="25"/>
        <v>21</v>
      </c>
      <c r="D54" s="136">
        <v>0.0</v>
      </c>
      <c r="E54" s="135">
        <v>45297.0</v>
      </c>
      <c r="F54" s="13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199</v>
      </c>
      <c r="B55" s="120">
        <v>10.0</v>
      </c>
      <c r="C55" s="115">
        <f t="shared" si="25"/>
        <v>10</v>
      </c>
      <c r="D55" s="120">
        <v>0.0</v>
      </c>
      <c r="E55" s="135">
        <v>45327.0</v>
      </c>
      <c r="F55" s="138"/>
      <c r="G55" s="116"/>
      <c r="H55" s="108"/>
      <c r="I55" s="108"/>
      <c r="J55" s="125" t="s">
        <v>208</v>
      </c>
      <c r="K55" s="108">
        <f>SUM(K56:K59)</f>
        <v>1200000</v>
      </c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204</v>
      </c>
      <c r="B56" s="120">
        <v>18.0</v>
      </c>
      <c r="C56" s="115">
        <f t="shared" si="25"/>
        <v>18</v>
      </c>
      <c r="D56" s="120">
        <v>0.0</v>
      </c>
      <c r="E56" s="135">
        <v>45327.0</v>
      </c>
      <c r="F56" s="138"/>
      <c r="G56" s="116"/>
      <c r="H56" s="108"/>
      <c r="I56" s="108"/>
      <c r="J56" s="125" t="s">
        <v>254</v>
      </c>
      <c r="K56" s="125">
        <v>100000.0</v>
      </c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83</v>
      </c>
      <c r="B57" s="120">
        <v>18.0</v>
      </c>
      <c r="C57" s="115">
        <f t="shared" si="25"/>
        <v>18</v>
      </c>
      <c r="D57" s="120">
        <v>0.0</v>
      </c>
      <c r="E57" s="135">
        <v>45327.0</v>
      </c>
      <c r="F57" s="138"/>
      <c r="G57" s="116"/>
      <c r="H57" s="108"/>
      <c r="I57" s="108"/>
      <c r="J57" s="125" t="s">
        <v>255</v>
      </c>
      <c r="K57" s="125">
        <v>1000000.0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83</v>
      </c>
      <c r="B58" s="120">
        <v>18.0</v>
      </c>
      <c r="C58" s="115">
        <f t="shared" si="25"/>
        <v>17</v>
      </c>
      <c r="D58" s="120">
        <v>1.0</v>
      </c>
      <c r="E58" s="135">
        <v>45327.0</v>
      </c>
      <c r="F58" s="125"/>
      <c r="G58" s="116"/>
      <c r="H58" s="108"/>
      <c r="I58" s="108"/>
      <c r="J58" s="125" t="s">
        <v>256</v>
      </c>
      <c r="K58" s="125">
        <v>100000.0</v>
      </c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43" t="s">
        <v>180</v>
      </c>
      <c r="B59" s="144"/>
      <c r="C59" s="144"/>
      <c r="D59" s="144"/>
      <c r="E59" s="169"/>
      <c r="F59" s="130"/>
      <c r="G59" s="108"/>
      <c r="H59" s="108"/>
      <c r="I59" s="108"/>
      <c r="J59" s="125"/>
      <c r="K59" s="125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115</v>
      </c>
      <c r="B60" s="120">
        <v>26.0</v>
      </c>
      <c r="C60" s="115">
        <f t="shared" ref="C60:C65" si="26">B60-D60</f>
        <v>26</v>
      </c>
      <c r="D60" s="120">
        <v>0.0</v>
      </c>
      <c r="E60" s="135">
        <v>45297.0</v>
      </c>
      <c r="F60" s="130"/>
      <c r="G60" s="128"/>
      <c r="H60" s="128"/>
      <c r="I60" s="128"/>
      <c r="J60" s="128"/>
      <c r="K60" s="12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09" t="s">
        <v>250</v>
      </c>
      <c r="B61" s="120">
        <v>24.0</v>
      </c>
      <c r="C61" s="115">
        <f t="shared" si="26"/>
        <v>3</v>
      </c>
      <c r="D61" s="120">
        <v>21.0</v>
      </c>
      <c r="E61" s="135">
        <v>45297.0</v>
      </c>
      <c r="F61" s="130"/>
      <c r="G61" s="128"/>
      <c r="H61" s="12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231</v>
      </c>
      <c r="B62" s="120">
        <v>26.0</v>
      </c>
      <c r="C62" s="115">
        <f t="shared" si="26"/>
        <v>26</v>
      </c>
      <c r="D62" s="120">
        <v>0.0</v>
      </c>
      <c r="E62" s="135">
        <v>45297.0</v>
      </c>
      <c r="F62" s="130"/>
      <c r="G62" s="128"/>
      <c r="H62" s="128"/>
      <c r="I62" s="108"/>
      <c r="J62" s="125"/>
      <c r="K62" s="125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 t="s">
        <v>181</v>
      </c>
      <c r="B63" s="120">
        <v>26.0</v>
      </c>
      <c r="C63" s="115">
        <f t="shared" si="26"/>
        <v>20</v>
      </c>
      <c r="D63" s="120">
        <v>6.0</v>
      </c>
      <c r="E63" s="135">
        <v>45297.0</v>
      </c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249</v>
      </c>
      <c r="B64" s="120">
        <v>26.0</v>
      </c>
      <c r="C64" s="115">
        <f t="shared" si="26"/>
        <v>23</v>
      </c>
      <c r="D64" s="120">
        <v>3.0</v>
      </c>
      <c r="E64" s="135"/>
      <c r="F64" s="130"/>
      <c r="G64" s="128"/>
      <c r="H64" s="12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9" t="s">
        <v>186</v>
      </c>
      <c r="B65" s="120">
        <v>26.0</v>
      </c>
      <c r="C65" s="115">
        <f t="shared" si="26"/>
        <v>26</v>
      </c>
      <c r="D65" s="120">
        <v>0.0</v>
      </c>
      <c r="E65" s="135">
        <v>45297.0</v>
      </c>
      <c r="F65" s="130"/>
      <c r="G65" s="128"/>
      <c r="H65" s="128"/>
      <c r="I65" s="128"/>
      <c r="J65" s="128"/>
      <c r="K65" s="12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43" t="s">
        <v>182</v>
      </c>
      <c r="B66" s="144"/>
      <c r="C66" s="144"/>
      <c r="D66" s="144"/>
      <c r="E66" s="169"/>
      <c r="F66" s="130"/>
      <c r="G66" s="128"/>
      <c r="H66" s="12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18</v>
      </c>
      <c r="B67" s="120">
        <v>29.0</v>
      </c>
      <c r="C67" s="115">
        <f t="shared" ref="C67:C71" si="27">B67-D67</f>
        <v>29</v>
      </c>
      <c r="D67" s="120">
        <v>0.0</v>
      </c>
      <c r="E67" s="135">
        <v>45297.0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9" t="s">
        <v>239</v>
      </c>
      <c r="B68" s="120">
        <v>29.0</v>
      </c>
      <c r="C68" s="115">
        <f t="shared" si="27"/>
        <v>24</v>
      </c>
      <c r="D68" s="120">
        <v>5.0</v>
      </c>
      <c r="E68" s="135">
        <v>45297.0</v>
      </c>
      <c r="F68" s="125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206</v>
      </c>
      <c r="B69" s="120">
        <v>29.0</v>
      </c>
      <c r="C69" s="115">
        <f t="shared" si="27"/>
        <v>29</v>
      </c>
      <c r="D69" s="136">
        <v>0.0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24" t="s">
        <v>67</v>
      </c>
      <c r="B70" s="120">
        <v>29.0</v>
      </c>
      <c r="C70" s="115">
        <f t="shared" si="27"/>
        <v>20</v>
      </c>
      <c r="D70" s="120">
        <v>9.0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18" t="s">
        <v>41</v>
      </c>
      <c r="B71" s="120">
        <v>29.0</v>
      </c>
      <c r="C71" s="115">
        <f t="shared" si="27"/>
        <v>29</v>
      </c>
      <c r="D71" s="136">
        <v>0.0</v>
      </c>
      <c r="E71" s="135">
        <v>45327.0</v>
      </c>
      <c r="F71" s="130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70" t="s">
        <v>183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9" t="s">
        <v>164</v>
      </c>
      <c r="B73" s="120">
        <v>26.0</v>
      </c>
      <c r="C73" s="115">
        <f t="shared" ref="C73:C78" si="28">B73-D73</f>
        <v>25</v>
      </c>
      <c r="D73" s="120">
        <v>1.0</v>
      </c>
      <c r="E73" s="135">
        <v>45297.0</v>
      </c>
      <c r="F73" s="125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24" t="s">
        <v>71</v>
      </c>
      <c r="B74" s="120">
        <v>26.0</v>
      </c>
      <c r="C74" s="115">
        <f t="shared" si="28"/>
        <v>26</v>
      </c>
      <c r="D74" s="120"/>
      <c r="E74" s="135">
        <v>45327.0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18" t="s">
        <v>70</v>
      </c>
      <c r="B75" s="120">
        <v>24.0</v>
      </c>
      <c r="C75" s="115">
        <f t="shared" si="28"/>
        <v>24</v>
      </c>
      <c r="D75" s="120"/>
      <c r="E75" s="135">
        <v>45327.0</v>
      </c>
      <c r="F75" s="130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9" t="s">
        <v>191</v>
      </c>
      <c r="B76" s="120">
        <v>25.0</v>
      </c>
      <c r="C76" s="115">
        <f t="shared" si="28"/>
        <v>25</v>
      </c>
      <c r="D76" s="120"/>
      <c r="E76" s="135">
        <v>45327.0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9" t="s">
        <v>193</v>
      </c>
      <c r="B77" s="120">
        <v>24.0</v>
      </c>
      <c r="C77" s="115">
        <f t="shared" si="28"/>
        <v>6</v>
      </c>
      <c r="D77" s="120">
        <v>18.0</v>
      </c>
      <c r="E77" s="135">
        <v>45327.0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9" t="s">
        <v>257</v>
      </c>
      <c r="B78" s="120">
        <v>24.0</v>
      </c>
      <c r="C78" s="115">
        <f t="shared" si="28"/>
        <v>16</v>
      </c>
      <c r="D78" s="120">
        <v>8.0</v>
      </c>
      <c r="E78" s="135">
        <v>45327.0</v>
      </c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 ht="15.75" customHeight="1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  <row r="1007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</row>
  </sheetData>
  <mergeCells count="8">
    <mergeCell ref="A4:J4"/>
    <mergeCell ref="A20:J20"/>
    <mergeCell ref="A26:J26"/>
    <mergeCell ref="A31:J31"/>
    <mergeCell ref="A46:E46"/>
    <mergeCell ref="A59:E59"/>
    <mergeCell ref="A66:E66"/>
    <mergeCell ref="A72:E72"/>
  </mergeCells>
  <drawing r:id="rId4"/>
  <legacy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  <col customWidth="1" min="15" max="15" width="16.78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258</v>
      </c>
      <c r="B2" s="110">
        <v>330000.0</v>
      </c>
      <c r="C2" s="111">
        <v>330000.0</v>
      </c>
      <c r="D2" s="109"/>
      <c r="E2" s="117"/>
      <c r="F2" s="117"/>
      <c r="G2" s="117"/>
      <c r="H2" s="112"/>
      <c r="I2" s="113">
        <f t="shared" ref="I2:I3" si="1">L2*D44</f>
        <v>0</v>
      </c>
      <c r="J2" s="112"/>
      <c r="K2" s="114">
        <f>B2-C2-D2-E2-F2-I2+J2-G2-H2</f>
        <v>0</v>
      </c>
      <c r="L2" s="115">
        <f t="shared" ref="L2:L3" si="2">B2/B44</f>
        <v>18333.33333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259</v>
      </c>
      <c r="B3" s="110">
        <v>500000.0</v>
      </c>
      <c r="C3" s="110">
        <v>200000.0</v>
      </c>
      <c r="D3" s="197">
        <v>25000.0</v>
      </c>
      <c r="E3" s="117"/>
      <c r="F3" s="117"/>
      <c r="G3" s="109"/>
      <c r="H3" s="112"/>
      <c r="I3" s="113">
        <f t="shared" si="1"/>
        <v>0</v>
      </c>
      <c r="J3" s="112"/>
      <c r="K3" s="114">
        <f>B3-C3-D3-E3-F3-I3+J3-G3</f>
        <v>275000</v>
      </c>
      <c r="L3" s="115">
        <f t="shared" si="2"/>
        <v>27777.77778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260</v>
      </c>
      <c r="B5" s="110">
        <v>500000.0</v>
      </c>
      <c r="C5" s="111">
        <v>145000.0</v>
      </c>
      <c r="D5" s="109">
        <v>15000.0</v>
      </c>
      <c r="E5" s="117"/>
      <c r="F5" s="109"/>
      <c r="G5" s="117"/>
      <c r="H5" s="112"/>
      <c r="I5" s="113">
        <f t="shared" ref="I5:I6" si="3">L5*D47</f>
        <v>0</v>
      </c>
      <c r="J5" s="112"/>
      <c r="K5" s="114">
        <f>B5-C5-D5-E5-F5-I5+J5-G5-H5</f>
        <v>340000</v>
      </c>
      <c r="L5" s="115">
        <f t="shared" ref="L5:L6" si="4">B5/B47</f>
        <v>23809.52381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166000.0</v>
      </c>
      <c r="C6" s="119"/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166000</v>
      </c>
      <c r="L6" s="115">
        <f t="shared" si="4"/>
        <v>7904.761905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261</v>
      </c>
      <c r="B7" s="110">
        <v>63000.0</v>
      </c>
      <c r="C7" s="111"/>
      <c r="D7" s="109"/>
      <c r="E7" s="112"/>
      <c r="F7" s="109"/>
      <c r="G7" s="109"/>
      <c r="H7" s="112"/>
      <c r="I7" s="113">
        <f>L7*D53</f>
        <v>0</v>
      </c>
      <c r="J7" s="112"/>
      <c r="K7" s="114">
        <f>B7-C7-D7-E7-F7-I7+J7-G7-H7</f>
        <v>63000</v>
      </c>
      <c r="L7" s="115">
        <f>B7/B53</f>
        <v>6300</v>
      </c>
      <c r="M7" s="116" t="s">
        <v>140</v>
      </c>
      <c r="N7" s="125" t="s">
        <v>221</v>
      </c>
      <c r="O7" s="125" t="s">
        <v>222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262</v>
      </c>
      <c r="B8" s="110">
        <v>114000.0</v>
      </c>
      <c r="C8" s="119"/>
      <c r="D8" s="112"/>
      <c r="E8" s="112"/>
      <c r="F8" s="112"/>
      <c r="G8" s="112"/>
      <c r="H8" s="112"/>
      <c r="I8" s="113">
        <f t="shared" ref="I8:I9" si="5">L8*D51</f>
        <v>0</v>
      </c>
      <c r="J8" s="112"/>
      <c r="K8" s="114">
        <f t="shared" ref="K8:K9" si="6">B8-C8-D8-E8-F8-I8+J8-G8</f>
        <v>114000</v>
      </c>
      <c r="L8" s="115">
        <f t="shared" ref="L8:L9" si="7">B8/B51</f>
        <v>5428.571429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200000.0</v>
      </c>
      <c r="C9" s="111"/>
      <c r="D9" s="112"/>
      <c r="E9" s="112"/>
      <c r="F9" s="112"/>
      <c r="G9" s="117"/>
      <c r="H9" s="112"/>
      <c r="I9" s="113">
        <f t="shared" si="5"/>
        <v>0</v>
      </c>
      <c r="J9" s="112"/>
      <c r="K9" s="114">
        <f t="shared" si="6"/>
        <v>200000</v>
      </c>
      <c r="L9" s="115">
        <f t="shared" si="7"/>
        <v>8333.333333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263</v>
      </c>
      <c r="B10" s="110">
        <v>105000.0</v>
      </c>
      <c r="C10" s="111"/>
      <c r="D10" s="112"/>
      <c r="E10" s="112"/>
      <c r="F10" s="109"/>
      <c r="G10" s="109"/>
      <c r="H10" s="109"/>
      <c r="I10" s="113">
        <f>L10*D54</f>
        <v>0</v>
      </c>
      <c r="J10" s="112"/>
      <c r="K10" s="114">
        <f t="shared" ref="K10:K11" si="8">B10-C10-D10-E10-F10-I10+J10-G10-H10</f>
        <v>105000</v>
      </c>
      <c r="L10" s="115">
        <f>B10/B54</f>
        <v>5000</v>
      </c>
      <c r="M10" s="116" t="s">
        <v>140</v>
      </c>
      <c r="N10" s="125" t="s">
        <v>223</v>
      </c>
      <c r="O10" s="116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09" t="s">
        <v>264</v>
      </c>
      <c r="B11" s="110">
        <v>250000.0</v>
      </c>
      <c r="C11" s="111">
        <v>125000.0</v>
      </c>
      <c r="D11" s="112"/>
      <c r="E11" s="112"/>
      <c r="F11" s="112"/>
      <c r="G11" s="109"/>
      <c r="H11" s="109"/>
      <c r="I11" s="113">
        <f>L11*D61</f>
        <v>125000</v>
      </c>
      <c r="J11" s="164"/>
      <c r="K11" s="114">
        <f t="shared" si="8"/>
        <v>0</v>
      </c>
      <c r="L11" s="115">
        <f>B11/B61</f>
        <v>10416.66667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265</v>
      </c>
      <c r="B12" s="110">
        <v>200000.0</v>
      </c>
      <c r="C12" s="111"/>
      <c r="D12" s="112"/>
      <c r="E12" s="112"/>
      <c r="F12" s="112"/>
      <c r="G12" s="117"/>
      <c r="H12" s="112"/>
      <c r="I12" s="113">
        <f>L12*D56</f>
        <v>0</v>
      </c>
      <c r="J12" s="109"/>
      <c r="K12" s="114">
        <f t="shared" ref="K12:K13" si="9">B12-C12-D12-E12-F12-I12+J12-G12</f>
        <v>200000</v>
      </c>
      <c r="L12" s="115">
        <f>B12/B56</f>
        <v>11111.11111</v>
      </c>
      <c r="M12" s="116"/>
      <c r="N12" s="116"/>
      <c r="O12" s="116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/>
      <c r="B13" s="110">
        <v>0.0</v>
      </c>
      <c r="C13" s="111"/>
      <c r="D13" s="112"/>
      <c r="E13" s="112"/>
      <c r="F13" s="112"/>
      <c r="G13" s="117"/>
      <c r="H13" s="112"/>
      <c r="I13" s="113">
        <f>L13*D56</f>
        <v>0</v>
      </c>
      <c r="J13" s="112"/>
      <c r="K13" s="114">
        <f t="shared" si="9"/>
        <v>0</v>
      </c>
      <c r="L13" s="115">
        <f>B13/B56</f>
        <v>0</v>
      </c>
      <c r="M13" s="125" t="s">
        <v>225</v>
      </c>
      <c r="N13" s="125" t="s">
        <v>226</v>
      </c>
      <c r="O13" s="116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/>
      <c r="B14" s="110">
        <v>0.0</v>
      </c>
      <c r="C14" s="111"/>
      <c r="D14" s="112"/>
      <c r="E14" s="112"/>
      <c r="F14" s="109"/>
      <c r="G14" s="117"/>
      <c r="H14" s="112"/>
      <c r="I14" s="113">
        <f>L14*D58</f>
        <v>0</v>
      </c>
      <c r="J14" s="112"/>
      <c r="K14" s="114">
        <f t="shared" ref="K14:K19" si="10">B14-C14-D14-E14-F14-I14+J14-G14-H14</f>
        <v>0</v>
      </c>
      <c r="L14" s="115">
        <f>B14/B58</f>
        <v>0</v>
      </c>
      <c r="M14" s="116"/>
      <c r="N14" s="116"/>
      <c r="O14" s="116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 outlineLevel="1">
      <c r="A15" s="109" t="s">
        <v>266</v>
      </c>
      <c r="B15" s="110">
        <v>176000.0</v>
      </c>
      <c r="C15" s="111"/>
      <c r="D15" s="112"/>
      <c r="E15" s="112"/>
      <c r="F15" s="109"/>
      <c r="G15" s="117"/>
      <c r="H15" s="112"/>
      <c r="I15" s="120">
        <v>0.0</v>
      </c>
      <c r="J15" s="112"/>
      <c r="K15" s="114">
        <f t="shared" si="10"/>
        <v>176000</v>
      </c>
      <c r="L15" s="120">
        <v>0.0</v>
      </c>
      <c r="M15" s="116"/>
      <c r="N15" s="116"/>
      <c r="O15" s="116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 outlineLevel="1">
      <c r="A16" s="109"/>
      <c r="B16" s="110">
        <v>0.0</v>
      </c>
      <c r="C16" s="111"/>
      <c r="D16" s="112"/>
      <c r="E16" s="112"/>
      <c r="F16" s="109"/>
      <c r="G16" s="117"/>
      <c r="H16" s="112"/>
      <c r="I16" s="120">
        <v>0.0</v>
      </c>
      <c r="J16" s="112"/>
      <c r="K16" s="114">
        <f t="shared" si="10"/>
        <v>0</v>
      </c>
      <c r="L16" s="115">
        <f t="shared" ref="L16:L18" si="11">B16/B60</f>
        <v>0</v>
      </c>
      <c r="M16" s="116"/>
      <c r="N16" s="116"/>
      <c r="O16" s="116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09" t="s">
        <v>267</v>
      </c>
      <c r="B17" s="110">
        <v>72000.0</v>
      </c>
      <c r="C17" s="111"/>
      <c r="D17" s="112"/>
      <c r="E17" s="112"/>
      <c r="F17" s="109"/>
      <c r="G17" s="117"/>
      <c r="H17" s="112"/>
      <c r="I17" s="120">
        <v>0.0</v>
      </c>
      <c r="J17" s="112"/>
      <c r="K17" s="114">
        <f t="shared" si="10"/>
        <v>72000</v>
      </c>
      <c r="L17" s="115">
        <f t="shared" si="11"/>
        <v>3000</v>
      </c>
      <c r="M17" s="116"/>
      <c r="N17" s="116"/>
      <c r="O17" s="116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 outlineLevel="1">
      <c r="A18" s="109" t="s">
        <v>268</v>
      </c>
      <c r="B18" s="110">
        <v>66000.0</v>
      </c>
      <c r="C18" s="111">
        <v>57750.0</v>
      </c>
      <c r="D18" s="112"/>
      <c r="E18" s="112"/>
      <c r="F18" s="109"/>
      <c r="G18" s="117"/>
      <c r="H18" s="112"/>
      <c r="I18" s="113">
        <f>L18*D62</f>
        <v>0</v>
      </c>
      <c r="J18" s="112"/>
      <c r="K18" s="114">
        <f t="shared" si="10"/>
        <v>8250</v>
      </c>
      <c r="L18" s="115">
        <f t="shared" si="11"/>
        <v>2750</v>
      </c>
      <c r="M18" s="116"/>
      <c r="N18" s="116"/>
      <c r="O18" s="116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 outlineLevel="1">
      <c r="A19" s="157" t="s">
        <v>269</v>
      </c>
      <c r="B19" s="158">
        <v>203500.0</v>
      </c>
      <c r="C19" s="159"/>
      <c r="D19" s="160"/>
      <c r="E19" s="160"/>
      <c r="F19" s="157"/>
      <c r="G19" s="161"/>
      <c r="H19" s="160"/>
      <c r="I19" s="162"/>
      <c r="J19" s="160"/>
      <c r="K19" s="114">
        <f t="shared" si="10"/>
        <v>203500</v>
      </c>
      <c r="L19" s="163"/>
      <c r="M19" s="116"/>
      <c r="N19" s="116"/>
      <c r="O19" s="116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6.5" customHeight="1">
      <c r="A20" s="143" t="s">
        <v>180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09" t="s">
        <v>270</v>
      </c>
      <c r="B21" s="110">
        <v>200000.0</v>
      </c>
      <c r="C21" s="111"/>
      <c r="D21" s="112"/>
      <c r="E21" s="112"/>
      <c r="F21" s="109"/>
      <c r="G21" s="117"/>
      <c r="H21" s="109"/>
      <c r="I21" s="113">
        <f>L21*D60</f>
        <v>0</v>
      </c>
      <c r="J21" s="126">
        <f>IFERROR(__xludf.DUMMYFUNCTION("IMPORTRANGE(""https://docs.google.com/spreadsheets/d/1JJd44_6b1hsmD6e8liei_zzkkh-GYab6gE4K23IJPVI/edit?gid=0#gid=0&amp;range=J95"",""'Лист1'!K556"")"),159009.1492499996)</f>
        <v>159009.1493</v>
      </c>
      <c r="K21" s="114">
        <f t="shared" ref="K21:K22" si="12">B21-C21-D21-E21-F21-I21+J21-G21-H21</f>
        <v>359009.1493</v>
      </c>
      <c r="L21" s="115">
        <f>B21/B60</f>
        <v>8333.333333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271</v>
      </c>
      <c r="B22" s="111">
        <v>0.0</v>
      </c>
      <c r="C22" s="111"/>
      <c r="D22" s="112"/>
      <c r="E22" s="112"/>
      <c r="F22" s="112"/>
      <c r="G22" s="117"/>
      <c r="H22" s="109"/>
      <c r="I22" s="113">
        <f t="shared" ref="I22:I25" si="13">L22*D62</f>
        <v>0</v>
      </c>
      <c r="J22" s="111">
        <v>0.0</v>
      </c>
      <c r="K22" s="114">
        <f t="shared" si="12"/>
        <v>0</v>
      </c>
      <c r="L22" s="115">
        <f t="shared" ref="L22:L23" si="14">B22/B62</f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9"/>
      <c r="B23" s="111">
        <v>0.0</v>
      </c>
      <c r="C23" s="111"/>
      <c r="D23" s="109"/>
      <c r="E23" s="112"/>
      <c r="F23" s="109"/>
      <c r="G23" s="109"/>
      <c r="H23" s="109"/>
      <c r="I23" s="113">
        <f t="shared" si="13"/>
        <v>0</v>
      </c>
      <c r="J23" s="164">
        <v>0.0</v>
      </c>
      <c r="K23" s="110">
        <v>0.0</v>
      </c>
      <c r="L23" s="115">
        <f t="shared" si="14"/>
        <v>0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9" t="s">
        <v>244</v>
      </c>
      <c r="B24" s="111">
        <v>100000.0</v>
      </c>
      <c r="C24" s="111">
        <v>35000.0</v>
      </c>
      <c r="D24" s="112"/>
      <c r="E24" s="112"/>
      <c r="F24" s="112"/>
      <c r="G24" s="112"/>
      <c r="H24" s="112"/>
      <c r="I24" s="113">
        <f t="shared" si="13"/>
        <v>4166.666667</v>
      </c>
      <c r="J24" s="111">
        <f>42000+49200</f>
        <v>91200</v>
      </c>
      <c r="K24" s="114">
        <f>B24-C24-D24-E24-F24-I24+J24-G24-H24</f>
        <v>152033.3333</v>
      </c>
      <c r="L24" s="115">
        <f>B24/B63</f>
        <v>4166.666667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09"/>
      <c r="B25" s="111"/>
      <c r="C25" s="111"/>
      <c r="D25" s="112"/>
      <c r="E25" s="112"/>
      <c r="F25" s="112"/>
      <c r="G25" s="109"/>
      <c r="H25" s="112"/>
      <c r="I25" s="113">
        <f t="shared" si="13"/>
        <v>0</v>
      </c>
      <c r="J25" s="126"/>
      <c r="K25" s="110">
        <v>0.0</v>
      </c>
      <c r="L25" s="115">
        <f>B25/B65</f>
        <v>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43" t="s">
        <v>182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5"/>
      <c r="L26" s="146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18"/>
      <c r="B27" s="110">
        <v>0.0</v>
      </c>
      <c r="C27" s="111"/>
      <c r="D27" s="112"/>
      <c r="E27" s="112"/>
      <c r="F27" s="112"/>
      <c r="G27" s="117"/>
      <c r="H27" s="112"/>
      <c r="I27" s="113">
        <f>L27*D67</f>
        <v>0</v>
      </c>
      <c r="J27" s="114"/>
      <c r="K27" s="114">
        <f t="shared" ref="K27:K30" si="15">B27-C27-D27-E27-F27-I27+J27-G27-H27</f>
        <v>0</v>
      </c>
      <c r="L27" s="115">
        <f t="shared" ref="L27:L30" si="16">B27/B67</f>
        <v>0</v>
      </c>
      <c r="M27" s="125" t="s">
        <v>233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09"/>
      <c r="B28" s="110">
        <v>0.0</v>
      </c>
      <c r="C28" s="111"/>
      <c r="D28" s="112"/>
      <c r="E28" s="112"/>
      <c r="F28" s="109"/>
      <c r="G28" s="117"/>
      <c r="H28" s="112"/>
      <c r="I28" s="120">
        <v>0.0</v>
      </c>
      <c r="J28" s="119"/>
      <c r="K28" s="114">
        <f t="shared" si="15"/>
        <v>0</v>
      </c>
      <c r="L28" s="115">
        <f t="shared" si="16"/>
        <v>0</v>
      </c>
      <c r="M28" s="125" t="s">
        <v>235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09"/>
      <c r="B29" s="110">
        <v>0.0</v>
      </c>
      <c r="C29" s="111"/>
      <c r="D29" s="109"/>
      <c r="E29" s="112"/>
      <c r="F29" s="112"/>
      <c r="G29" s="117"/>
      <c r="H29" s="112"/>
      <c r="I29" s="113">
        <f t="shared" ref="I29:I30" si="17">L29*D69</f>
        <v>0</v>
      </c>
      <c r="J29" s="112"/>
      <c r="K29" s="114">
        <f t="shared" si="15"/>
        <v>0</v>
      </c>
      <c r="L29" s="115">
        <f t="shared" si="16"/>
        <v>0</v>
      </c>
      <c r="M29" s="125" t="s">
        <v>236</v>
      </c>
      <c r="N29" s="125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 outlineLevel="1">
      <c r="A30" s="124"/>
      <c r="B30" s="110">
        <v>0.0</v>
      </c>
      <c r="C30" s="119"/>
      <c r="D30" s="112"/>
      <c r="E30" s="112"/>
      <c r="F30" s="112"/>
      <c r="G30" s="112"/>
      <c r="H30" s="112"/>
      <c r="I30" s="113">
        <f t="shared" si="17"/>
        <v>0</v>
      </c>
      <c r="J30" s="112"/>
      <c r="K30" s="114">
        <f t="shared" si="15"/>
        <v>0</v>
      </c>
      <c r="L30" s="115">
        <f t="shared" si="16"/>
        <v>0</v>
      </c>
      <c r="M30" s="125" t="s">
        <v>237</v>
      </c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8.0" customHeight="1" outlineLevel="1">
      <c r="A31" s="143" t="s">
        <v>183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5"/>
      <c r="L31" s="146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 outlineLevel="1">
      <c r="A32" s="109" t="s">
        <v>164</v>
      </c>
      <c r="B32" s="110">
        <v>250000.0</v>
      </c>
      <c r="C32" s="111">
        <v>150000.0</v>
      </c>
      <c r="D32" s="112"/>
      <c r="E32" s="112"/>
      <c r="F32" s="112"/>
      <c r="G32" s="109"/>
      <c r="H32" s="109"/>
      <c r="I32" s="113">
        <f t="shared" ref="I32:I33" si="18">L32*D73</f>
        <v>15625</v>
      </c>
      <c r="J32" s="112"/>
      <c r="K32" s="114">
        <f t="shared" ref="K32:K33" si="19">B32-C32-D32-E32-F32-I32+J32-G32-H32</f>
        <v>84375</v>
      </c>
      <c r="L32" s="115">
        <f t="shared" ref="L32:L33" si="20">B32/B73</f>
        <v>10416.66667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4" t="s">
        <v>71</v>
      </c>
      <c r="B33" s="110">
        <v>150000.0</v>
      </c>
      <c r="C33" s="119"/>
      <c r="D33" s="117"/>
      <c r="E33" s="112"/>
      <c r="F33" s="112"/>
      <c r="G33" s="117"/>
      <c r="H33" s="112"/>
      <c r="I33" s="113">
        <f t="shared" si="18"/>
        <v>0</v>
      </c>
      <c r="J33" s="112"/>
      <c r="K33" s="114">
        <f t="shared" si="19"/>
        <v>150000</v>
      </c>
      <c r="L33" s="115">
        <f t="shared" si="20"/>
        <v>6250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 outlineLevel="1">
      <c r="A34" s="109"/>
      <c r="B34" s="110"/>
      <c r="C34" s="111"/>
      <c r="D34" s="112"/>
      <c r="E34" s="112"/>
      <c r="F34" s="112"/>
      <c r="G34" s="112"/>
      <c r="H34" s="112"/>
      <c r="I34" s="113"/>
      <c r="J34" s="112"/>
      <c r="K34" s="114"/>
      <c r="L34" s="115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09" t="s">
        <v>192</v>
      </c>
      <c r="B35" s="110">
        <v>80000.0</v>
      </c>
      <c r="C35" s="111">
        <v>80000.0</v>
      </c>
      <c r="D35" s="112"/>
      <c r="E35" s="112"/>
      <c r="F35" s="112"/>
      <c r="G35" s="112"/>
      <c r="H35" s="112"/>
      <c r="I35" s="113">
        <f>L35*D77</f>
        <v>0</v>
      </c>
      <c r="J35" s="112"/>
      <c r="K35" s="114">
        <f>B35-C35-D35-E35-F35-I35+J35-G35-H35</f>
        <v>0</v>
      </c>
      <c r="L35" s="115">
        <f>B35/B77</f>
        <v>3333.333333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18"/>
      <c r="B36" s="119"/>
      <c r="C36" s="119"/>
      <c r="D36" s="112"/>
      <c r="E36" s="112"/>
      <c r="F36" s="112"/>
      <c r="G36" s="112"/>
      <c r="H36" s="112"/>
      <c r="I36" s="112"/>
      <c r="J36" s="112"/>
      <c r="K36" s="126"/>
      <c r="L36" s="112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26</v>
      </c>
      <c r="B37" s="119">
        <f>SUM(B2:B34)</f>
        <v>3645500</v>
      </c>
      <c r="C37" s="119">
        <f>B37+J21+J23</f>
        <v>3804509.149</v>
      </c>
      <c r="D37" s="112"/>
      <c r="E37" s="112"/>
      <c r="F37" s="112"/>
      <c r="G37" s="112"/>
      <c r="H37" s="112"/>
      <c r="I37" s="112"/>
      <c r="J37" s="112"/>
      <c r="K37" s="126">
        <f>SUM(K2:K35)</f>
        <v>2668167.483</v>
      </c>
      <c r="L37" s="112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3"/>
      <c r="L38" s="12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29" t="s">
        <v>110</v>
      </c>
      <c r="E40" s="128"/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28"/>
      <c r="B41" s="128"/>
      <c r="C41" s="128"/>
      <c r="D41" s="130"/>
      <c r="E41" s="128"/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28"/>
      <c r="B42" s="128"/>
      <c r="C42" s="128"/>
      <c r="D42" s="128"/>
      <c r="E42" s="128"/>
      <c r="F42" s="130"/>
      <c r="G42" s="128"/>
      <c r="H42" s="128"/>
      <c r="I42" s="128"/>
      <c r="J42" s="128"/>
      <c r="K42" s="128"/>
      <c r="L42" s="123">
        <f>K43-'Февраль'!K4-'Март'!K5-'Апрель'!K5-'Май'!K5-'Июнь 2025'!K5-'Июль 2025'!K5-K5</f>
        <v>4948017.864</v>
      </c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79</v>
      </c>
      <c r="B43" s="166" t="s">
        <v>28</v>
      </c>
      <c r="C43" s="167" t="s">
        <v>29</v>
      </c>
      <c r="D43" s="168" t="s">
        <v>80</v>
      </c>
      <c r="E43" s="118" t="s">
        <v>81</v>
      </c>
      <c r="F43" s="128"/>
      <c r="G43" s="128"/>
      <c r="H43" s="128"/>
      <c r="I43" s="128"/>
      <c r="J43" s="125" t="s">
        <v>272</v>
      </c>
      <c r="K43" s="123">
        <f>'Февраль'!K34+'Март'!K38+'Апрель'!K35+'Май'!K33+'Июнь 2025'!K29+'Июль 2025'!K31+'Август 2025'!K31+'Сентябрь 2025'!K31+'Октябрь 2025'!K36+'Ноябрь 2025'!K37+K37</f>
        <v>6668017.864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9" t="s">
        <v>127</v>
      </c>
      <c r="B44" s="120">
        <v>18.0</v>
      </c>
      <c r="C44" s="115">
        <f t="shared" ref="C44:C45" si="21">B44-D44</f>
        <v>18</v>
      </c>
      <c r="D44" s="115">
        <v>0.0</v>
      </c>
      <c r="E44" s="135">
        <v>45327.0</v>
      </c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128</v>
      </c>
      <c r="B45" s="120">
        <v>18.0</v>
      </c>
      <c r="C45" s="115">
        <f t="shared" si="21"/>
        <v>18</v>
      </c>
      <c r="D45" s="115">
        <v>0.0</v>
      </c>
      <c r="E45" s="135">
        <v>45327.0</v>
      </c>
      <c r="F45" s="128"/>
      <c r="G45" s="128"/>
      <c r="H45" s="128"/>
      <c r="I45" s="128"/>
      <c r="J45" s="125" t="s">
        <v>273</v>
      </c>
      <c r="K45" s="128">
        <f>K46+K47+K48+K49+K50</f>
        <v>11912189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43" t="s">
        <v>174</v>
      </c>
      <c r="B46" s="144"/>
      <c r="C46" s="144"/>
      <c r="D46" s="144"/>
      <c r="E46" s="169"/>
      <c r="F46" s="128"/>
      <c r="G46" s="128"/>
      <c r="H46" s="128"/>
      <c r="I46" s="128"/>
      <c r="J46" s="125" t="s">
        <v>274</v>
      </c>
      <c r="K46" s="125">
        <v>3400000.0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129</v>
      </c>
      <c r="B47" s="120">
        <v>21.0</v>
      </c>
      <c r="C47" s="115">
        <f t="shared" ref="C47:C58" si="22">B47-D47</f>
        <v>21</v>
      </c>
      <c r="D47" s="115">
        <v>0.0</v>
      </c>
      <c r="E47" s="135">
        <v>45327.0</v>
      </c>
      <c r="F47" s="128"/>
      <c r="G47" s="128"/>
      <c r="H47" s="128"/>
      <c r="I47" s="128"/>
      <c r="J47" s="125" t="s">
        <v>275</v>
      </c>
      <c r="K47" s="128">
        <f>4632189-700000-300000-700000-300000-270000-60000-220000-110000-330000-330000</f>
        <v>1312189</v>
      </c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18" t="s">
        <v>132</v>
      </c>
      <c r="B48" s="120">
        <v>21.0</v>
      </c>
      <c r="C48" s="115">
        <f t="shared" si="22"/>
        <v>21</v>
      </c>
      <c r="D48" s="115">
        <v>0.0</v>
      </c>
      <c r="E48" s="135">
        <v>45327.0</v>
      </c>
      <c r="F48" s="128"/>
      <c r="G48" s="128"/>
      <c r="H48" s="128"/>
      <c r="I48" s="128"/>
      <c r="J48" s="125" t="s">
        <v>276</v>
      </c>
      <c r="K48" s="125">
        <v>2000000.0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34</v>
      </c>
      <c r="B49" s="120">
        <v>21.0</v>
      </c>
      <c r="C49" s="115">
        <f t="shared" si="22"/>
        <v>21</v>
      </c>
      <c r="D49" s="115">
        <v>0.0</v>
      </c>
      <c r="E49" s="135">
        <v>45327.0</v>
      </c>
      <c r="F49" s="128"/>
      <c r="G49" s="128"/>
      <c r="H49" s="128"/>
      <c r="I49" s="128"/>
      <c r="J49" s="125" t="s">
        <v>277</v>
      </c>
      <c r="K49" s="125">
        <v>3000000.0</v>
      </c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196</v>
      </c>
      <c r="B50" s="120">
        <v>21.0</v>
      </c>
      <c r="C50" s="115">
        <f t="shared" si="22"/>
        <v>21</v>
      </c>
      <c r="D50" s="120">
        <v>0.0</v>
      </c>
      <c r="E50" s="135">
        <v>45297.0</v>
      </c>
      <c r="F50" s="125"/>
      <c r="G50" s="128"/>
      <c r="H50" s="128"/>
      <c r="I50" s="128"/>
      <c r="J50" s="125" t="s">
        <v>278</v>
      </c>
      <c r="K50" s="125">
        <v>2200000.0</v>
      </c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197</v>
      </c>
      <c r="B51" s="120">
        <v>21.0</v>
      </c>
      <c r="C51" s="115">
        <f t="shared" si="22"/>
        <v>21</v>
      </c>
      <c r="D51" s="120">
        <v>0.0</v>
      </c>
      <c r="E51" s="135">
        <v>45327.0</v>
      </c>
      <c r="F51" s="138"/>
      <c r="G51" s="128"/>
      <c r="H51" s="128"/>
      <c r="I51" s="128"/>
      <c r="J51" s="125"/>
      <c r="K51" s="125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176</v>
      </c>
      <c r="B52" s="120">
        <v>24.0</v>
      </c>
      <c r="C52" s="115">
        <f t="shared" si="22"/>
        <v>24</v>
      </c>
      <c r="D52" s="120"/>
      <c r="E52" s="135">
        <v>45327.0</v>
      </c>
      <c r="F52" s="138"/>
      <c r="G52" s="128"/>
      <c r="H52" s="130"/>
      <c r="I52" s="128"/>
      <c r="J52" s="125" t="s">
        <v>203</v>
      </c>
      <c r="K52" s="125">
        <v>1500000.0</v>
      </c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24" t="s">
        <v>91</v>
      </c>
      <c r="B53" s="120">
        <v>10.0</v>
      </c>
      <c r="C53" s="115">
        <f t="shared" si="22"/>
        <v>10</v>
      </c>
      <c r="D53" s="120">
        <v>0.0</v>
      </c>
      <c r="E53" s="135">
        <v>45327.0</v>
      </c>
      <c r="F53" s="130"/>
      <c r="G53" s="128"/>
      <c r="H53" s="128"/>
      <c r="I53" s="128"/>
      <c r="J53" s="128"/>
      <c r="K53" s="12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224</v>
      </c>
      <c r="B54" s="120">
        <v>21.0</v>
      </c>
      <c r="C54" s="115">
        <f t="shared" si="22"/>
        <v>21</v>
      </c>
      <c r="D54" s="136">
        <v>0.0</v>
      </c>
      <c r="E54" s="135">
        <v>45297.0</v>
      </c>
      <c r="F54" s="13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199</v>
      </c>
      <c r="B55" s="120">
        <v>10.0</v>
      </c>
      <c r="C55" s="115">
        <f t="shared" si="22"/>
        <v>10</v>
      </c>
      <c r="D55" s="120">
        <v>0.0</v>
      </c>
      <c r="E55" s="135">
        <v>45327.0</v>
      </c>
      <c r="F55" s="138"/>
      <c r="G55" s="116"/>
      <c r="H55" s="108"/>
      <c r="I55" s="108"/>
      <c r="J55" s="125" t="s">
        <v>208</v>
      </c>
      <c r="K55" s="108">
        <f>SUM(K56:K59)</f>
        <v>800000</v>
      </c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204</v>
      </c>
      <c r="B56" s="120">
        <v>18.0</v>
      </c>
      <c r="C56" s="115">
        <f t="shared" si="22"/>
        <v>18</v>
      </c>
      <c r="D56" s="120">
        <v>0.0</v>
      </c>
      <c r="E56" s="135">
        <v>45327.0</v>
      </c>
      <c r="F56" s="138"/>
      <c r="G56" s="116"/>
      <c r="H56" s="108"/>
      <c r="I56" s="108"/>
      <c r="J56" s="125"/>
      <c r="K56" s="125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83</v>
      </c>
      <c r="B57" s="120">
        <v>18.0</v>
      </c>
      <c r="C57" s="115">
        <f t="shared" si="22"/>
        <v>18</v>
      </c>
      <c r="D57" s="120">
        <v>0.0</v>
      </c>
      <c r="E57" s="135">
        <v>45327.0</v>
      </c>
      <c r="F57" s="138"/>
      <c r="G57" s="116"/>
      <c r="H57" s="108"/>
      <c r="I57" s="108"/>
      <c r="J57" s="125" t="s">
        <v>255</v>
      </c>
      <c r="K57" s="125">
        <f>1000000-100000-100000</f>
        <v>800000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83</v>
      </c>
      <c r="B58" s="120">
        <v>18.0</v>
      </c>
      <c r="C58" s="115">
        <f t="shared" si="22"/>
        <v>18</v>
      </c>
      <c r="D58" s="120">
        <v>0.0</v>
      </c>
      <c r="E58" s="135">
        <v>45327.0</v>
      </c>
      <c r="F58" s="125"/>
      <c r="G58" s="116"/>
      <c r="H58" s="108"/>
      <c r="I58" s="108"/>
      <c r="J58" s="125"/>
      <c r="K58" s="125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43" t="s">
        <v>180</v>
      </c>
      <c r="B59" s="144"/>
      <c r="C59" s="144"/>
      <c r="D59" s="144"/>
      <c r="E59" s="169"/>
      <c r="F59" s="130"/>
      <c r="G59" s="108"/>
      <c r="H59" s="108"/>
      <c r="I59" s="108"/>
      <c r="J59" s="125"/>
      <c r="K59" s="125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115</v>
      </c>
      <c r="B60" s="120">
        <v>24.0</v>
      </c>
      <c r="C60" s="115">
        <f t="shared" ref="C60:C65" si="23">B60-D60</f>
        <v>24</v>
      </c>
      <c r="D60" s="120">
        <v>0.0</v>
      </c>
      <c r="E60" s="135">
        <v>45297.0</v>
      </c>
      <c r="F60" s="130"/>
      <c r="G60" s="128"/>
      <c r="H60" s="128"/>
      <c r="I60" s="128"/>
      <c r="J60" s="128"/>
      <c r="K60" s="12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09" t="s">
        <v>279</v>
      </c>
      <c r="B61" s="120">
        <v>24.0</v>
      </c>
      <c r="C61" s="115">
        <f t="shared" si="23"/>
        <v>12</v>
      </c>
      <c r="D61" s="120">
        <v>12.0</v>
      </c>
      <c r="E61" s="135">
        <v>45297.0</v>
      </c>
      <c r="F61" s="130"/>
      <c r="G61" s="128"/>
      <c r="H61" s="12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231</v>
      </c>
      <c r="B62" s="120">
        <v>24.0</v>
      </c>
      <c r="C62" s="115">
        <f t="shared" si="23"/>
        <v>24</v>
      </c>
      <c r="D62" s="120">
        <v>0.0</v>
      </c>
      <c r="E62" s="135">
        <v>45297.0</v>
      </c>
      <c r="F62" s="130"/>
      <c r="G62" s="128"/>
      <c r="H62" s="128"/>
      <c r="I62" s="108"/>
      <c r="J62" s="125"/>
      <c r="K62" s="125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 t="s">
        <v>181</v>
      </c>
      <c r="B63" s="120">
        <v>24.0</v>
      </c>
      <c r="C63" s="115">
        <f t="shared" si="23"/>
        <v>18</v>
      </c>
      <c r="D63" s="120">
        <v>6.0</v>
      </c>
      <c r="E63" s="135">
        <v>45297.0</v>
      </c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249</v>
      </c>
      <c r="B64" s="120">
        <v>24.0</v>
      </c>
      <c r="C64" s="115">
        <f t="shared" si="23"/>
        <v>23</v>
      </c>
      <c r="D64" s="120">
        <v>1.0</v>
      </c>
      <c r="E64" s="135"/>
      <c r="F64" s="130"/>
      <c r="G64" s="128"/>
      <c r="H64" s="12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9" t="s">
        <v>186</v>
      </c>
      <c r="B65" s="120">
        <v>24.0</v>
      </c>
      <c r="C65" s="115">
        <f t="shared" si="23"/>
        <v>24</v>
      </c>
      <c r="D65" s="120">
        <v>0.0</v>
      </c>
      <c r="E65" s="135">
        <v>45297.0</v>
      </c>
      <c r="F65" s="130"/>
      <c r="G65" s="128"/>
      <c r="H65" s="128"/>
      <c r="I65" s="128"/>
      <c r="J65" s="128"/>
      <c r="K65" s="12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43" t="s">
        <v>182</v>
      </c>
      <c r="B66" s="144"/>
      <c r="C66" s="144"/>
      <c r="D66" s="144"/>
      <c r="E66" s="169"/>
      <c r="F66" s="130"/>
      <c r="G66" s="128"/>
      <c r="H66" s="12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18</v>
      </c>
      <c r="B67" s="120">
        <v>29.0</v>
      </c>
      <c r="C67" s="115">
        <f t="shared" ref="C67:C71" si="24">B67-D67</f>
        <v>29</v>
      </c>
      <c r="D67" s="120">
        <v>0.0</v>
      </c>
      <c r="E67" s="135">
        <v>45297.0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9" t="s">
        <v>239</v>
      </c>
      <c r="B68" s="120">
        <v>29.0</v>
      </c>
      <c r="C68" s="115">
        <f t="shared" si="24"/>
        <v>24</v>
      </c>
      <c r="D68" s="120">
        <v>5.0</v>
      </c>
      <c r="E68" s="135">
        <v>45297.0</v>
      </c>
      <c r="F68" s="125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206</v>
      </c>
      <c r="B69" s="120">
        <v>29.0</v>
      </c>
      <c r="C69" s="115">
        <f t="shared" si="24"/>
        <v>29</v>
      </c>
      <c r="D69" s="136">
        <v>0.0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24" t="s">
        <v>67</v>
      </c>
      <c r="B70" s="120">
        <v>29.0</v>
      </c>
      <c r="C70" s="115">
        <f t="shared" si="24"/>
        <v>20</v>
      </c>
      <c r="D70" s="120">
        <v>9.0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18" t="s">
        <v>41</v>
      </c>
      <c r="B71" s="120">
        <v>29.0</v>
      </c>
      <c r="C71" s="115">
        <f t="shared" si="24"/>
        <v>29</v>
      </c>
      <c r="D71" s="136">
        <v>0.0</v>
      </c>
      <c r="E71" s="135">
        <v>45327.0</v>
      </c>
      <c r="F71" s="130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70" t="s">
        <v>183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9" t="s">
        <v>164</v>
      </c>
      <c r="B73" s="120">
        <v>24.0</v>
      </c>
      <c r="C73" s="115">
        <f t="shared" ref="C73:C77" si="25">B73-D73</f>
        <v>22.5</v>
      </c>
      <c r="D73" s="120">
        <v>1.5</v>
      </c>
      <c r="E73" s="135">
        <v>45297.0</v>
      </c>
      <c r="F73" s="125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24" t="s">
        <v>71</v>
      </c>
      <c r="B74" s="120">
        <v>24.0</v>
      </c>
      <c r="C74" s="115">
        <f t="shared" si="25"/>
        <v>24</v>
      </c>
      <c r="D74" s="120"/>
      <c r="E74" s="135">
        <v>45327.0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18" t="s">
        <v>70</v>
      </c>
      <c r="B75" s="120">
        <v>24.0</v>
      </c>
      <c r="C75" s="115">
        <f t="shared" si="25"/>
        <v>24</v>
      </c>
      <c r="D75" s="120"/>
      <c r="E75" s="135">
        <v>45327.0</v>
      </c>
      <c r="F75" s="130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9" t="s">
        <v>191</v>
      </c>
      <c r="B76" s="120">
        <v>24.0</v>
      </c>
      <c r="C76" s="115">
        <f t="shared" si="25"/>
        <v>24</v>
      </c>
      <c r="D76" s="120"/>
      <c r="E76" s="135">
        <v>45327.0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9" t="s">
        <v>193</v>
      </c>
      <c r="B77" s="120">
        <v>24.0</v>
      </c>
      <c r="C77" s="115">
        <f t="shared" si="25"/>
        <v>24</v>
      </c>
      <c r="D77" s="120">
        <v>0.0</v>
      </c>
      <c r="E77" s="135">
        <v>45327.0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 ht="15.75" customHeight="1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  <row r="1007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</row>
  </sheetData>
  <mergeCells count="8">
    <mergeCell ref="A4:J4"/>
    <mergeCell ref="A20:J20"/>
    <mergeCell ref="A26:J26"/>
    <mergeCell ref="A31:J31"/>
    <mergeCell ref="A46:E46"/>
    <mergeCell ref="A59:E59"/>
    <mergeCell ref="A66:E66"/>
    <mergeCell ref="A72:E72"/>
  </mergeCells>
  <drawing r:id="rId4"/>
  <legacy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  <col customWidth="1" min="15" max="15" width="16.78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330000.0</v>
      </c>
      <c r="C2" s="111"/>
      <c r="D2" s="109"/>
      <c r="E2" s="117"/>
      <c r="F2" s="117"/>
      <c r="G2" s="117"/>
      <c r="H2" s="112"/>
      <c r="I2" s="113">
        <f t="shared" ref="I2:I3" si="1">L2*D44</f>
        <v>0</v>
      </c>
      <c r="J2" s="112"/>
      <c r="K2" s="114">
        <f>B2-C2-D2-E2-F2-I2+J2-G2-H2</f>
        <v>330000</v>
      </c>
      <c r="L2" s="115">
        <f t="shared" ref="L2:L3" si="2">B2/B44</f>
        <v>18333.33333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500000.0</v>
      </c>
      <c r="C3" s="110">
        <f>55000+83333</f>
        <v>138333</v>
      </c>
      <c r="D3" s="197"/>
      <c r="E3" s="117"/>
      <c r="F3" s="117"/>
      <c r="G3" s="109"/>
      <c r="H3" s="112"/>
      <c r="I3" s="113">
        <f t="shared" si="1"/>
        <v>0</v>
      </c>
      <c r="J3" s="112"/>
      <c r="K3" s="114">
        <f>B3-C3-D3-E3-F3-I3+J3-G3</f>
        <v>361667</v>
      </c>
      <c r="L3" s="115">
        <f t="shared" si="2"/>
        <v>27777.77778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500000.0</v>
      </c>
      <c r="C5" s="111">
        <v>145000.0</v>
      </c>
      <c r="D5" s="109">
        <v>15000.0</v>
      </c>
      <c r="E5" s="117"/>
      <c r="F5" s="109"/>
      <c r="G5" s="117"/>
      <c r="H5" s="112"/>
      <c r="I5" s="113">
        <f t="shared" ref="I5:I6" si="3">L5*D47</f>
        <v>0</v>
      </c>
      <c r="J5" s="112"/>
      <c r="K5" s="114">
        <f>B5-C5-D5-E5-F5-I5+J5-G5-H5</f>
        <v>340000</v>
      </c>
      <c r="L5" s="115">
        <f t="shared" ref="L5:L6" si="4">B5/B47</f>
        <v>23809.52381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152250.0</v>
      </c>
      <c r="C6" s="119"/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152250</v>
      </c>
      <c r="L6" s="115">
        <f t="shared" si="4"/>
        <v>7250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34</v>
      </c>
      <c r="B7" s="110">
        <f>75000+59500</f>
        <v>134500</v>
      </c>
      <c r="C7" s="111"/>
      <c r="D7" s="109"/>
      <c r="E7" s="112"/>
      <c r="F7" s="109"/>
      <c r="G7" s="109"/>
      <c r="H7" s="112"/>
      <c r="I7" s="113">
        <f>L7*D53</f>
        <v>0</v>
      </c>
      <c r="J7" s="112"/>
      <c r="K7" s="114">
        <f>B7-C7-D7-E7-F7-I7+J7-G7-H7</f>
        <v>134500</v>
      </c>
      <c r="L7" s="115">
        <f>B7/B53</f>
        <v>13450</v>
      </c>
      <c r="M7" s="116" t="s">
        <v>140</v>
      </c>
      <c r="N7" s="125" t="s">
        <v>221</v>
      </c>
      <c r="O7" s="125" t="s">
        <v>222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196</v>
      </c>
      <c r="B8" s="110">
        <v>80000.0</v>
      </c>
      <c r="C8" s="119"/>
      <c r="D8" s="112"/>
      <c r="E8" s="112"/>
      <c r="F8" s="112"/>
      <c r="G8" s="112"/>
      <c r="H8" s="112"/>
      <c r="I8" s="113">
        <f t="shared" ref="I8:I9" si="5">L8*D51</f>
        <v>0</v>
      </c>
      <c r="J8" s="112"/>
      <c r="K8" s="114">
        <f t="shared" ref="K8:K9" si="6">B8-C8-D8-E8-F8-I8+J8-G8</f>
        <v>80000</v>
      </c>
      <c r="L8" s="115">
        <f t="shared" ref="L8:L9" si="7">B8/B51</f>
        <v>3809.52381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200000.0</v>
      </c>
      <c r="C9" s="111"/>
      <c r="D9" s="112"/>
      <c r="E9" s="112"/>
      <c r="F9" s="112"/>
      <c r="G9" s="117"/>
      <c r="H9" s="112"/>
      <c r="I9" s="113">
        <f t="shared" si="5"/>
        <v>0</v>
      </c>
      <c r="J9" s="112"/>
      <c r="K9" s="114">
        <f t="shared" si="6"/>
        <v>200000</v>
      </c>
      <c r="L9" s="115">
        <f t="shared" si="7"/>
        <v>7692.307692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240</v>
      </c>
      <c r="B10" s="110">
        <v>96000.0</v>
      </c>
      <c r="C10" s="111"/>
      <c r="D10" s="112"/>
      <c r="E10" s="112"/>
      <c r="F10" s="109"/>
      <c r="G10" s="109"/>
      <c r="H10" s="109"/>
      <c r="I10" s="113">
        <f>L10*D54</f>
        <v>0</v>
      </c>
      <c r="J10" s="112"/>
      <c r="K10" s="114">
        <f t="shared" ref="K10:K11" si="8">B10-C10-D10-E10-F10-I10+J10-G10-H10</f>
        <v>96000</v>
      </c>
      <c r="L10" s="115">
        <f>B10/B54</f>
        <v>4571.428571</v>
      </c>
      <c r="M10" s="116" t="s">
        <v>140</v>
      </c>
      <c r="N10" s="125" t="s">
        <v>223</v>
      </c>
      <c r="O10" s="116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09" t="s">
        <v>264</v>
      </c>
      <c r="B11" s="110">
        <v>250000.0</v>
      </c>
      <c r="C11" s="119"/>
      <c r="D11" s="112"/>
      <c r="E11" s="112"/>
      <c r="F11" s="112"/>
      <c r="G11" s="109"/>
      <c r="H11" s="109"/>
      <c r="I11" s="113">
        <f>L11*D61</f>
        <v>0</v>
      </c>
      <c r="J11" s="164"/>
      <c r="K11" s="114">
        <f t="shared" si="8"/>
        <v>250000</v>
      </c>
      <c r="L11" s="115">
        <f>B11/B61</f>
        <v>9615.384615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224</v>
      </c>
      <c r="B12" s="110">
        <v>200000.0</v>
      </c>
      <c r="C12" s="111"/>
      <c r="D12" s="112"/>
      <c r="E12" s="112"/>
      <c r="F12" s="112"/>
      <c r="G12" s="117"/>
      <c r="H12" s="112"/>
      <c r="I12" s="113">
        <f>L12*D56</f>
        <v>0</v>
      </c>
      <c r="J12" s="109"/>
      <c r="K12" s="114">
        <f t="shared" ref="K12:K13" si="9">B12-C12-D12-E12-F12-I12+J12-G12</f>
        <v>200000</v>
      </c>
      <c r="L12" s="115">
        <f>B12/B56</f>
        <v>11111.11111</v>
      </c>
      <c r="M12" s="116"/>
      <c r="N12" s="116"/>
      <c r="O12" s="116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246</v>
      </c>
      <c r="B13" s="110">
        <v>0.0</v>
      </c>
      <c r="C13" s="111"/>
      <c r="D13" s="112"/>
      <c r="E13" s="112"/>
      <c r="F13" s="112"/>
      <c r="G13" s="117"/>
      <c r="H13" s="112"/>
      <c r="I13" s="113">
        <f>L13*D56</f>
        <v>0</v>
      </c>
      <c r="J13" s="112"/>
      <c r="K13" s="114">
        <f t="shared" si="9"/>
        <v>0</v>
      </c>
      <c r="L13" s="115">
        <f>B13/B56</f>
        <v>0</v>
      </c>
      <c r="M13" s="125" t="s">
        <v>225</v>
      </c>
      <c r="N13" s="125" t="s">
        <v>226</v>
      </c>
      <c r="O13" s="116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 t="s">
        <v>204</v>
      </c>
      <c r="B14" s="110">
        <v>0.0</v>
      </c>
      <c r="C14" s="111"/>
      <c r="D14" s="112"/>
      <c r="E14" s="112"/>
      <c r="F14" s="109"/>
      <c r="G14" s="117"/>
      <c r="H14" s="112"/>
      <c r="I14" s="113">
        <f>L14*D58</f>
        <v>0</v>
      </c>
      <c r="J14" s="112"/>
      <c r="K14" s="114">
        <f t="shared" ref="K14:K19" si="10">B14-C14-D14-E14-F14-I14+J14-G14-H14</f>
        <v>0</v>
      </c>
      <c r="L14" s="115">
        <f>B14/B58</f>
        <v>0</v>
      </c>
      <c r="M14" s="116"/>
      <c r="N14" s="116"/>
      <c r="O14" s="116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 outlineLevel="1">
      <c r="A15" s="109" t="s">
        <v>227</v>
      </c>
      <c r="B15" s="110">
        <v>222000.0</v>
      </c>
      <c r="C15" s="111"/>
      <c r="D15" s="112"/>
      <c r="E15" s="112"/>
      <c r="F15" s="109"/>
      <c r="G15" s="117"/>
      <c r="H15" s="112"/>
      <c r="I15" s="120">
        <v>0.0</v>
      </c>
      <c r="J15" s="112"/>
      <c r="K15" s="114">
        <f t="shared" si="10"/>
        <v>222000</v>
      </c>
      <c r="L15" s="120">
        <v>0.0</v>
      </c>
      <c r="M15" s="116"/>
      <c r="N15" s="116"/>
      <c r="O15" s="116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 outlineLevel="1">
      <c r="A16" s="109" t="s">
        <v>228</v>
      </c>
      <c r="B16" s="110">
        <v>0.0</v>
      </c>
      <c r="C16" s="111"/>
      <c r="D16" s="112"/>
      <c r="E16" s="112"/>
      <c r="F16" s="109"/>
      <c r="G16" s="117"/>
      <c r="H16" s="112"/>
      <c r="I16" s="120">
        <v>0.0</v>
      </c>
      <c r="J16" s="112"/>
      <c r="K16" s="114">
        <f t="shared" si="10"/>
        <v>0</v>
      </c>
      <c r="L16" s="115">
        <f t="shared" ref="L16:L18" si="11">B16/B60</f>
        <v>0</v>
      </c>
      <c r="M16" s="116"/>
      <c r="N16" s="116"/>
      <c r="O16" s="116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09" t="s">
        <v>229</v>
      </c>
      <c r="B17" s="110">
        <v>70000.0</v>
      </c>
      <c r="C17" s="111"/>
      <c r="D17" s="112"/>
      <c r="E17" s="112"/>
      <c r="F17" s="109"/>
      <c r="G17" s="117"/>
      <c r="H17" s="112"/>
      <c r="I17" s="120">
        <v>0.0</v>
      </c>
      <c r="J17" s="112"/>
      <c r="K17" s="114">
        <f t="shared" si="10"/>
        <v>70000</v>
      </c>
      <c r="L17" s="115">
        <f t="shared" si="11"/>
        <v>2692.307692</v>
      </c>
      <c r="M17" s="116"/>
      <c r="N17" s="116"/>
      <c r="O17" s="116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 outlineLevel="1">
      <c r="A18" s="109" t="s">
        <v>230</v>
      </c>
      <c r="B18" s="110">
        <v>0.0</v>
      </c>
      <c r="C18" s="111"/>
      <c r="D18" s="112"/>
      <c r="E18" s="112"/>
      <c r="F18" s="109"/>
      <c r="G18" s="117"/>
      <c r="H18" s="112"/>
      <c r="I18" s="113">
        <f>L18*D62</f>
        <v>0</v>
      </c>
      <c r="J18" s="112"/>
      <c r="K18" s="114">
        <f t="shared" si="10"/>
        <v>0</v>
      </c>
      <c r="L18" s="115">
        <f t="shared" si="11"/>
        <v>0</v>
      </c>
      <c r="M18" s="116"/>
      <c r="N18" s="116"/>
      <c r="O18" s="116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 outlineLevel="1">
      <c r="A19" s="157" t="s">
        <v>248</v>
      </c>
      <c r="B19" s="158">
        <v>254000.0</v>
      </c>
      <c r="C19" s="159"/>
      <c r="D19" s="160"/>
      <c r="E19" s="160"/>
      <c r="F19" s="157"/>
      <c r="G19" s="161"/>
      <c r="H19" s="160"/>
      <c r="I19" s="162"/>
      <c r="J19" s="160"/>
      <c r="K19" s="114">
        <f t="shared" si="10"/>
        <v>254000</v>
      </c>
      <c r="L19" s="163"/>
      <c r="M19" s="116"/>
      <c r="N19" s="116"/>
      <c r="O19" s="116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6.5" customHeight="1">
      <c r="A20" s="143" t="s">
        <v>180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24" t="s">
        <v>115</v>
      </c>
      <c r="B21" s="110">
        <v>200000.0</v>
      </c>
      <c r="C21" s="111"/>
      <c r="D21" s="112"/>
      <c r="E21" s="112"/>
      <c r="F21" s="109"/>
      <c r="G21" s="117"/>
      <c r="H21" s="109"/>
      <c r="I21" s="113">
        <f>L21*D60</f>
        <v>0</v>
      </c>
      <c r="J21" s="126">
        <f>IFERROR(__xludf.DUMMYFUNCTION("IMPORTRANGE(""https://docs.google.com/spreadsheets/d/1JJd44_6b1hsmD6e8liei_zzkkh-GYab6gE4K23IJPVI/edit?gid=0#gid=0&amp;range=J95"",""'Лист1'!K583"")"),44076.780000000166)</f>
        <v>44076.78</v>
      </c>
      <c r="K21" s="114">
        <f t="shared" ref="K21:K22" si="12">B21-C21-D21-E21-F21-I21+J21-G21-H21</f>
        <v>244076.78</v>
      </c>
      <c r="L21" s="115">
        <f>B21/B60</f>
        <v>7692.307692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243</v>
      </c>
      <c r="B22" s="111">
        <v>0.0</v>
      </c>
      <c r="C22" s="111"/>
      <c r="D22" s="112"/>
      <c r="E22" s="112"/>
      <c r="F22" s="112"/>
      <c r="G22" s="117"/>
      <c r="H22" s="109"/>
      <c r="I22" s="113">
        <f t="shared" ref="I22:I25" si="13">L22*D62</f>
        <v>0</v>
      </c>
      <c r="J22" s="111">
        <v>0.0</v>
      </c>
      <c r="K22" s="114">
        <f t="shared" si="12"/>
        <v>0</v>
      </c>
      <c r="L22" s="115">
        <f t="shared" ref="L22:L23" si="14">B22/B62</f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9" t="s">
        <v>181</v>
      </c>
      <c r="B23" s="111">
        <v>0.0</v>
      </c>
      <c r="C23" s="111"/>
      <c r="D23" s="109"/>
      <c r="E23" s="112"/>
      <c r="F23" s="109"/>
      <c r="G23" s="109"/>
      <c r="H23" s="109"/>
      <c r="I23" s="113">
        <f t="shared" si="13"/>
        <v>0</v>
      </c>
      <c r="J23" s="164">
        <v>0.0</v>
      </c>
      <c r="K23" s="110">
        <v>0.0</v>
      </c>
      <c r="L23" s="115">
        <f t="shared" si="14"/>
        <v>0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9" t="s">
        <v>244</v>
      </c>
      <c r="B24" s="111">
        <v>100000.0</v>
      </c>
      <c r="C24" s="111"/>
      <c r="D24" s="112"/>
      <c r="E24" s="112"/>
      <c r="F24" s="112"/>
      <c r="G24" s="112"/>
      <c r="H24" s="112"/>
      <c r="I24" s="113">
        <f t="shared" si="13"/>
        <v>0</v>
      </c>
      <c r="J24" s="111">
        <v>160000.0</v>
      </c>
      <c r="K24" s="114">
        <f>B24-C24-D24-E24-F24-I24+J24-G24-H24</f>
        <v>260000</v>
      </c>
      <c r="L24" s="115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09"/>
      <c r="B25" s="111"/>
      <c r="C25" s="111"/>
      <c r="D25" s="112"/>
      <c r="E25" s="112"/>
      <c r="F25" s="112"/>
      <c r="G25" s="109"/>
      <c r="H25" s="112"/>
      <c r="I25" s="113">
        <f t="shared" si="13"/>
        <v>0</v>
      </c>
      <c r="J25" s="126"/>
      <c r="K25" s="110">
        <v>0.0</v>
      </c>
      <c r="L25" s="115">
        <f>B25/B65</f>
        <v>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43" t="s">
        <v>182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5"/>
      <c r="L26" s="146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18" t="s">
        <v>18</v>
      </c>
      <c r="B27" s="110">
        <v>0.0</v>
      </c>
      <c r="C27" s="111"/>
      <c r="D27" s="112"/>
      <c r="E27" s="112"/>
      <c r="F27" s="112"/>
      <c r="G27" s="117"/>
      <c r="H27" s="112"/>
      <c r="I27" s="113">
        <f>L27*D67</f>
        <v>0</v>
      </c>
      <c r="J27" s="114"/>
      <c r="K27" s="114">
        <f t="shared" ref="K27:K30" si="15">B27-C27-D27-E27-F27-I27+J27-G27-H27</f>
        <v>0</v>
      </c>
      <c r="L27" s="115">
        <f t="shared" ref="L27:L30" si="16">B27/B67</f>
        <v>0</v>
      </c>
      <c r="M27" s="125" t="s">
        <v>233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09" t="s">
        <v>245</v>
      </c>
      <c r="B28" s="110">
        <v>0.0</v>
      </c>
      <c r="C28" s="111"/>
      <c r="D28" s="112"/>
      <c r="E28" s="112"/>
      <c r="F28" s="109"/>
      <c r="G28" s="117"/>
      <c r="H28" s="112"/>
      <c r="I28" s="120">
        <v>0.0</v>
      </c>
      <c r="J28" s="119"/>
      <c r="K28" s="114">
        <f t="shared" si="15"/>
        <v>0</v>
      </c>
      <c r="L28" s="115">
        <f t="shared" si="16"/>
        <v>0</v>
      </c>
      <c r="M28" s="125" t="s">
        <v>235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09" t="s">
        <v>206</v>
      </c>
      <c r="B29" s="110">
        <v>0.0</v>
      </c>
      <c r="C29" s="111"/>
      <c r="D29" s="109"/>
      <c r="E29" s="112"/>
      <c r="F29" s="112"/>
      <c r="G29" s="117"/>
      <c r="H29" s="112"/>
      <c r="I29" s="113">
        <f t="shared" ref="I29:I30" si="17">L29*D69</f>
        <v>0</v>
      </c>
      <c r="J29" s="112"/>
      <c r="K29" s="114">
        <f t="shared" si="15"/>
        <v>0</v>
      </c>
      <c r="L29" s="115">
        <f t="shared" si="16"/>
        <v>0</v>
      </c>
      <c r="M29" s="125" t="s">
        <v>236</v>
      </c>
      <c r="N29" s="125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 outlineLevel="1">
      <c r="A30" s="124" t="s">
        <v>67</v>
      </c>
      <c r="B30" s="110">
        <v>0.0</v>
      </c>
      <c r="C30" s="119"/>
      <c r="D30" s="112"/>
      <c r="E30" s="112"/>
      <c r="F30" s="112"/>
      <c r="G30" s="112"/>
      <c r="H30" s="112"/>
      <c r="I30" s="113">
        <f t="shared" si="17"/>
        <v>0</v>
      </c>
      <c r="J30" s="112"/>
      <c r="K30" s="114">
        <f t="shared" si="15"/>
        <v>0</v>
      </c>
      <c r="L30" s="115">
        <f t="shared" si="16"/>
        <v>0</v>
      </c>
      <c r="M30" s="125" t="s">
        <v>237</v>
      </c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8.0" customHeight="1" outlineLevel="1">
      <c r="A31" s="143" t="s">
        <v>183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5"/>
      <c r="L31" s="146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 outlineLevel="1">
      <c r="A32" s="109" t="s">
        <v>164</v>
      </c>
      <c r="B32" s="110">
        <v>250000.0</v>
      </c>
      <c r="C32" s="111">
        <v>150000.0</v>
      </c>
      <c r="D32" s="112"/>
      <c r="E32" s="112"/>
      <c r="F32" s="112"/>
      <c r="G32" s="109"/>
      <c r="H32" s="109"/>
      <c r="I32" s="113">
        <f t="shared" ref="I32:I33" si="18">L32*D73</f>
        <v>14423.07692</v>
      </c>
      <c r="J32" s="112"/>
      <c r="K32" s="114">
        <f t="shared" ref="K32:K33" si="19">B32-C32-D32-E32-F32-I32+J32-G32-H32</f>
        <v>85576.92308</v>
      </c>
      <c r="L32" s="115">
        <f t="shared" ref="L32:L33" si="20">B32/B73</f>
        <v>9615.384615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4" t="s">
        <v>71</v>
      </c>
      <c r="B33" s="110">
        <v>150000.0</v>
      </c>
      <c r="C33" s="119"/>
      <c r="D33" s="117"/>
      <c r="E33" s="112"/>
      <c r="F33" s="112"/>
      <c r="G33" s="117"/>
      <c r="H33" s="112"/>
      <c r="I33" s="113">
        <f t="shared" si="18"/>
        <v>0</v>
      </c>
      <c r="J33" s="112"/>
      <c r="K33" s="114">
        <f t="shared" si="19"/>
        <v>150000</v>
      </c>
      <c r="L33" s="115">
        <f t="shared" si="20"/>
        <v>5769.230769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 outlineLevel="1">
      <c r="A34" s="109"/>
      <c r="B34" s="110"/>
      <c r="C34" s="111"/>
      <c r="D34" s="112"/>
      <c r="E34" s="112"/>
      <c r="F34" s="112"/>
      <c r="G34" s="112"/>
      <c r="H34" s="112"/>
      <c r="I34" s="113"/>
      <c r="J34" s="112"/>
      <c r="K34" s="114"/>
      <c r="L34" s="115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09" t="s">
        <v>192</v>
      </c>
      <c r="B35" s="110">
        <v>80000.0</v>
      </c>
      <c r="C35" s="111"/>
      <c r="D35" s="112"/>
      <c r="E35" s="112"/>
      <c r="F35" s="112"/>
      <c r="G35" s="112"/>
      <c r="H35" s="112"/>
      <c r="I35" s="113">
        <f>L35*D77</f>
        <v>0</v>
      </c>
      <c r="J35" s="112"/>
      <c r="K35" s="114">
        <f>B35-C35-D35-E35-F35-I35+J35-G35-H35</f>
        <v>80000</v>
      </c>
      <c r="L35" s="115">
        <f>B35/B77</f>
        <v>3333.333333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18"/>
      <c r="B36" s="119"/>
      <c r="C36" s="119"/>
      <c r="D36" s="112"/>
      <c r="E36" s="112"/>
      <c r="F36" s="112"/>
      <c r="G36" s="112"/>
      <c r="H36" s="112"/>
      <c r="I36" s="112"/>
      <c r="J36" s="112"/>
      <c r="K36" s="126"/>
      <c r="L36" s="112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26</v>
      </c>
      <c r="B37" s="119">
        <f>SUM(B2:B34)</f>
        <v>3688750</v>
      </c>
      <c r="C37" s="119">
        <f>B37+J21+J23</f>
        <v>3732826.78</v>
      </c>
      <c r="D37" s="112"/>
      <c r="E37" s="112"/>
      <c r="F37" s="112"/>
      <c r="G37" s="112"/>
      <c r="H37" s="112"/>
      <c r="I37" s="112"/>
      <c r="J37" s="112"/>
      <c r="K37" s="126">
        <f>SUM(K2:K35)</f>
        <v>3510070.703</v>
      </c>
      <c r="L37" s="112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3"/>
      <c r="L38" s="12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29" t="s">
        <v>110</v>
      </c>
      <c r="E40" s="128"/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28"/>
      <c r="B41" s="128"/>
      <c r="C41" s="128"/>
      <c r="D41" s="130"/>
      <c r="E41" s="128"/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28"/>
      <c r="B42" s="128"/>
      <c r="C42" s="128"/>
      <c r="D42" s="128"/>
      <c r="E42" s="128"/>
      <c r="F42" s="130"/>
      <c r="G42" s="128"/>
      <c r="H42" s="128"/>
      <c r="I42" s="128"/>
      <c r="J42" s="128"/>
      <c r="K42" s="128"/>
      <c r="L42" s="123">
        <f>K43-'Февраль'!K4-'Март'!K5-'Апрель'!K5-'Май'!K5-'Июнь 2025'!K5-'Июль 2025'!K5-K5</f>
        <v>5789921.084</v>
      </c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79</v>
      </c>
      <c r="B43" s="166" t="s">
        <v>28</v>
      </c>
      <c r="C43" s="167" t="s">
        <v>29</v>
      </c>
      <c r="D43" s="168" t="s">
        <v>80</v>
      </c>
      <c r="E43" s="118" t="s">
        <v>81</v>
      </c>
      <c r="F43" s="128"/>
      <c r="G43" s="128"/>
      <c r="H43" s="128"/>
      <c r="I43" s="128"/>
      <c r="J43" s="125" t="s">
        <v>200</v>
      </c>
      <c r="K43" s="123">
        <f>'Февраль'!K34+'Март'!K38+'Апрель'!K35+'Май'!K33+'Июнь 2025'!K29+'Июль 2025'!K31+'Август 2025'!K31+'Сентябрь 2025'!K31+'Октябрь 2025'!K36+'Ноябрь 2025'!K37+K37</f>
        <v>7509921.084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9" t="s">
        <v>127</v>
      </c>
      <c r="B44" s="120">
        <v>18.0</v>
      </c>
      <c r="C44" s="115">
        <f t="shared" ref="C44:C45" si="21">B44-D44</f>
        <v>18</v>
      </c>
      <c r="D44" s="115">
        <v>0.0</v>
      </c>
      <c r="E44" s="135">
        <v>45327.0</v>
      </c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128</v>
      </c>
      <c r="B45" s="120">
        <v>18.0</v>
      </c>
      <c r="C45" s="115">
        <f t="shared" si="21"/>
        <v>18</v>
      </c>
      <c r="D45" s="115">
        <v>0.0</v>
      </c>
      <c r="E45" s="135">
        <v>45327.0</v>
      </c>
      <c r="F45" s="128"/>
      <c r="G45" s="128"/>
      <c r="H45" s="128"/>
      <c r="I45" s="128"/>
      <c r="J45" s="125" t="s">
        <v>201</v>
      </c>
      <c r="K45" s="128">
        <f>K46+K47+K48+K49+K50</f>
        <v>11912189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43" t="s">
        <v>174</v>
      </c>
      <c r="B46" s="144"/>
      <c r="C46" s="144"/>
      <c r="D46" s="144"/>
      <c r="E46" s="169"/>
      <c r="F46" s="128"/>
      <c r="G46" s="128"/>
      <c r="H46" s="128"/>
      <c r="I46" s="128"/>
      <c r="J46" s="125" t="s">
        <v>202</v>
      </c>
      <c r="K46" s="125">
        <v>3400000.0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129</v>
      </c>
      <c r="B47" s="120">
        <v>21.0</v>
      </c>
      <c r="C47" s="115">
        <f t="shared" ref="C47:C58" si="22">B47-D47</f>
        <v>21</v>
      </c>
      <c r="D47" s="115">
        <v>0.0</v>
      </c>
      <c r="E47" s="135">
        <v>45327.0</v>
      </c>
      <c r="F47" s="128"/>
      <c r="G47" s="128"/>
      <c r="H47" s="128"/>
      <c r="I47" s="128"/>
      <c r="J47" s="125" t="s">
        <v>127</v>
      </c>
      <c r="K47" s="128">
        <f>4632189-700000-300000-700000-300000-270000-60000-220000-110000-330000-330000</f>
        <v>1312189</v>
      </c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18" t="s">
        <v>132</v>
      </c>
      <c r="B48" s="120">
        <v>21.0</v>
      </c>
      <c r="C48" s="115">
        <f t="shared" si="22"/>
        <v>21</v>
      </c>
      <c r="D48" s="115">
        <v>0.0</v>
      </c>
      <c r="E48" s="135">
        <v>45327.0</v>
      </c>
      <c r="F48" s="128"/>
      <c r="G48" s="128"/>
      <c r="H48" s="128"/>
      <c r="I48" s="128"/>
      <c r="J48" s="125" t="s">
        <v>128</v>
      </c>
      <c r="K48" s="125">
        <v>2000000.0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34</v>
      </c>
      <c r="B49" s="120">
        <v>21.0</v>
      </c>
      <c r="C49" s="115">
        <f t="shared" si="22"/>
        <v>21</v>
      </c>
      <c r="D49" s="115">
        <v>0.0</v>
      </c>
      <c r="E49" s="135">
        <v>45327.0</v>
      </c>
      <c r="F49" s="128"/>
      <c r="G49" s="128"/>
      <c r="H49" s="128"/>
      <c r="I49" s="128"/>
      <c r="J49" s="125" t="s">
        <v>129</v>
      </c>
      <c r="K49" s="125">
        <v>3000000.0</v>
      </c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196</v>
      </c>
      <c r="B50" s="120">
        <v>21.0</v>
      </c>
      <c r="C50" s="115">
        <f t="shared" si="22"/>
        <v>21</v>
      </c>
      <c r="D50" s="120">
        <v>0.0</v>
      </c>
      <c r="E50" s="135">
        <v>45297.0</v>
      </c>
      <c r="F50" s="125"/>
      <c r="G50" s="128"/>
      <c r="H50" s="128"/>
      <c r="I50" s="128"/>
      <c r="J50" s="125" t="s">
        <v>280</v>
      </c>
      <c r="K50" s="125">
        <v>2200000.0</v>
      </c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197</v>
      </c>
      <c r="B51" s="120">
        <v>21.0</v>
      </c>
      <c r="C51" s="115">
        <f t="shared" si="22"/>
        <v>21</v>
      </c>
      <c r="D51" s="120">
        <v>0.0</v>
      </c>
      <c r="E51" s="135">
        <v>45327.0</v>
      </c>
      <c r="F51" s="138"/>
      <c r="G51" s="128"/>
      <c r="H51" s="128"/>
      <c r="I51" s="128"/>
      <c r="J51" s="125"/>
      <c r="K51" s="125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176</v>
      </c>
      <c r="B52" s="120">
        <v>26.0</v>
      </c>
      <c r="C52" s="115">
        <f t="shared" si="22"/>
        <v>26</v>
      </c>
      <c r="D52" s="120"/>
      <c r="E52" s="135">
        <v>45327.0</v>
      </c>
      <c r="F52" s="138"/>
      <c r="G52" s="128"/>
      <c r="H52" s="130"/>
      <c r="I52" s="128"/>
      <c r="J52" s="125" t="s">
        <v>203</v>
      </c>
      <c r="K52" s="125">
        <v>1500000.0</v>
      </c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24" t="s">
        <v>91</v>
      </c>
      <c r="B53" s="120">
        <v>10.0</v>
      </c>
      <c r="C53" s="115">
        <f t="shared" si="22"/>
        <v>10</v>
      </c>
      <c r="D53" s="120">
        <v>0.0</v>
      </c>
      <c r="E53" s="135">
        <v>45327.0</v>
      </c>
      <c r="F53" s="130"/>
      <c r="G53" s="128"/>
      <c r="H53" s="128"/>
      <c r="I53" s="128"/>
      <c r="J53" s="128"/>
      <c r="K53" s="12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224</v>
      </c>
      <c r="B54" s="120">
        <v>21.0</v>
      </c>
      <c r="C54" s="115">
        <f t="shared" si="22"/>
        <v>21</v>
      </c>
      <c r="D54" s="136">
        <v>0.0</v>
      </c>
      <c r="E54" s="135">
        <v>45297.0</v>
      </c>
      <c r="F54" s="13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199</v>
      </c>
      <c r="B55" s="120">
        <v>10.0</v>
      </c>
      <c r="C55" s="115">
        <f t="shared" si="22"/>
        <v>10</v>
      </c>
      <c r="D55" s="120">
        <v>0.0</v>
      </c>
      <c r="E55" s="135">
        <v>45327.0</v>
      </c>
      <c r="F55" s="138"/>
      <c r="G55" s="116"/>
      <c r="H55" s="108"/>
      <c r="I55" s="108"/>
      <c r="J55" s="125" t="s">
        <v>208</v>
      </c>
      <c r="K55" s="108">
        <f>SUM(K56:K59)</f>
        <v>800000</v>
      </c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204</v>
      </c>
      <c r="B56" s="120">
        <v>18.0</v>
      </c>
      <c r="C56" s="115">
        <f t="shared" si="22"/>
        <v>18</v>
      </c>
      <c r="D56" s="120">
        <v>0.0</v>
      </c>
      <c r="E56" s="135">
        <v>45327.0</v>
      </c>
      <c r="F56" s="138"/>
      <c r="G56" s="116"/>
      <c r="H56" s="108"/>
      <c r="I56" s="108"/>
      <c r="J56" s="125"/>
      <c r="K56" s="125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83</v>
      </c>
      <c r="B57" s="120">
        <v>18.0</v>
      </c>
      <c r="C57" s="115">
        <f t="shared" si="22"/>
        <v>18</v>
      </c>
      <c r="D57" s="120">
        <v>0.0</v>
      </c>
      <c r="E57" s="135">
        <v>45327.0</v>
      </c>
      <c r="F57" s="138"/>
      <c r="G57" s="116"/>
      <c r="H57" s="108"/>
      <c r="I57" s="108"/>
      <c r="J57" s="125" t="s">
        <v>255</v>
      </c>
      <c r="K57" s="125">
        <f>1000000-100000-100000</f>
        <v>800000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83</v>
      </c>
      <c r="B58" s="120">
        <v>18.0</v>
      </c>
      <c r="C58" s="115">
        <f t="shared" si="22"/>
        <v>18</v>
      </c>
      <c r="D58" s="120">
        <v>0.0</v>
      </c>
      <c r="E58" s="135">
        <v>45327.0</v>
      </c>
      <c r="F58" s="125"/>
      <c r="G58" s="116"/>
      <c r="H58" s="108"/>
      <c r="I58" s="108"/>
      <c r="J58" s="125"/>
      <c r="K58" s="125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43" t="s">
        <v>180</v>
      </c>
      <c r="B59" s="144"/>
      <c r="C59" s="144"/>
      <c r="D59" s="144"/>
      <c r="E59" s="169"/>
      <c r="F59" s="130"/>
      <c r="G59" s="108"/>
      <c r="H59" s="108"/>
      <c r="I59" s="108"/>
      <c r="J59" s="125"/>
      <c r="K59" s="125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115</v>
      </c>
      <c r="B60" s="120">
        <v>26.0</v>
      </c>
      <c r="C60" s="115">
        <f t="shared" ref="C60:C65" si="23">B60-D60</f>
        <v>26</v>
      </c>
      <c r="D60" s="120">
        <v>0.0</v>
      </c>
      <c r="E60" s="135">
        <v>45297.0</v>
      </c>
      <c r="F60" s="130"/>
      <c r="G60" s="128"/>
      <c r="H60" s="128"/>
      <c r="I60" s="128"/>
      <c r="J60" s="128"/>
      <c r="K60" s="12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24" t="s">
        <v>91</v>
      </c>
      <c r="B61" s="120">
        <v>26.0</v>
      </c>
      <c r="C61" s="115">
        <f t="shared" si="23"/>
        <v>26</v>
      </c>
      <c r="D61" s="120">
        <v>0.0</v>
      </c>
      <c r="E61" s="135">
        <v>45297.0</v>
      </c>
      <c r="F61" s="130"/>
      <c r="G61" s="128"/>
      <c r="H61" s="12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231</v>
      </c>
      <c r="B62" s="120">
        <v>26.0</v>
      </c>
      <c r="C62" s="115">
        <f t="shared" si="23"/>
        <v>26</v>
      </c>
      <c r="D62" s="120">
        <v>0.0</v>
      </c>
      <c r="E62" s="135">
        <v>45297.0</v>
      </c>
      <c r="F62" s="130"/>
      <c r="G62" s="128"/>
      <c r="H62" s="128"/>
      <c r="I62" s="108"/>
      <c r="J62" s="125"/>
      <c r="K62" s="125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 t="s">
        <v>181</v>
      </c>
      <c r="B63" s="120">
        <v>26.0</v>
      </c>
      <c r="C63" s="115">
        <f t="shared" si="23"/>
        <v>20</v>
      </c>
      <c r="D63" s="120">
        <v>6.0</v>
      </c>
      <c r="E63" s="135">
        <v>45297.0</v>
      </c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249</v>
      </c>
      <c r="B64" s="120">
        <v>26.0</v>
      </c>
      <c r="C64" s="115">
        <f t="shared" si="23"/>
        <v>23</v>
      </c>
      <c r="D64" s="120">
        <v>3.0</v>
      </c>
      <c r="E64" s="135"/>
      <c r="F64" s="130"/>
      <c r="G64" s="128"/>
      <c r="H64" s="12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9" t="s">
        <v>186</v>
      </c>
      <c r="B65" s="120">
        <v>26.0</v>
      </c>
      <c r="C65" s="115">
        <f t="shared" si="23"/>
        <v>26</v>
      </c>
      <c r="D65" s="120">
        <v>0.0</v>
      </c>
      <c r="E65" s="135">
        <v>45297.0</v>
      </c>
      <c r="F65" s="130"/>
      <c r="G65" s="128"/>
      <c r="H65" s="128"/>
      <c r="I65" s="128"/>
      <c r="J65" s="128"/>
      <c r="K65" s="12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43" t="s">
        <v>182</v>
      </c>
      <c r="B66" s="144"/>
      <c r="C66" s="144"/>
      <c r="D66" s="144"/>
      <c r="E66" s="169"/>
      <c r="F66" s="130"/>
      <c r="G66" s="128"/>
      <c r="H66" s="12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18</v>
      </c>
      <c r="B67" s="120">
        <v>29.0</v>
      </c>
      <c r="C67" s="115">
        <f t="shared" ref="C67:C71" si="24">B67-D67</f>
        <v>29</v>
      </c>
      <c r="D67" s="120">
        <v>0.0</v>
      </c>
      <c r="E67" s="135">
        <v>45297.0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9" t="s">
        <v>239</v>
      </c>
      <c r="B68" s="120">
        <v>29.0</v>
      </c>
      <c r="C68" s="115">
        <f t="shared" si="24"/>
        <v>24</v>
      </c>
      <c r="D68" s="120">
        <v>5.0</v>
      </c>
      <c r="E68" s="135">
        <v>45297.0</v>
      </c>
      <c r="F68" s="125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206</v>
      </c>
      <c r="B69" s="120">
        <v>29.0</v>
      </c>
      <c r="C69" s="115">
        <f t="shared" si="24"/>
        <v>29</v>
      </c>
      <c r="D69" s="136">
        <v>0.0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24" t="s">
        <v>67</v>
      </c>
      <c r="B70" s="120">
        <v>29.0</v>
      </c>
      <c r="C70" s="115">
        <f t="shared" si="24"/>
        <v>20</v>
      </c>
      <c r="D70" s="120">
        <v>9.0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18" t="s">
        <v>41</v>
      </c>
      <c r="B71" s="120">
        <v>29.0</v>
      </c>
      <c r="C71" s="115">
        <f t="shared" si="24"/>
        <v>29</v>
      </c>
      <c r="D71" s="136">
        <v>0.0</v>
      </c>
      <c r="E71" s="135">
        <v>45327.0</v>
      </c>
      <c r="F71" s="130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70" t="s">
        <v>183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9" t="s">
        <v>164</v>
      </c>
      <c r="B73" s="120">
        <v>26.0</v>
      </c>
      <c r="C73" s="115">
        <f t="shared" ref="C73:C77" si="25">B73-D73</f>
        <v>24.5</v>
      </c>
      <c r="D73" s="120">
        <v>1.5</v>
      </c>
      <c r="E73" s="135">
        <v>45297.0</v>
      </c>
      <c r="F73" s="125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24" t="s">
        <v>71</v>
      </c>
      <c r="B74" s="120">
        <v>26.0</v>
      </c>
      <c r="C74" s="115">
        <f t="shared" si="25"/>
        <v>26</v>
      </c>
      <c r="D74" s="120"/>
      <c r="E74" s="135">
        <v>45327.0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18" t="s">
        <v>70</v>
      </c>
      <c r="B75" s="120">
        <v>24.0</v>
      </c>
      <c r="C75" s="115">
        <f t="shared" si="25"/>
        <v>24</v>
      </c>
      <c r="D75" s="120"/>
      <c r="E75" s="135">
        <v>45327.0</v>
      </c>
      <c r="F75" s="130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9" t="s">
        <v>191</v>
      </c>
      <c r="B76" s="120">
        <v>25.0</v>
      </c>
      <c r="C76" s="115">
        <f t="shared" si="25"/>
        <v>25</v>
      </c>
      <c r="D76" s="120"/>
      <c r="E76" s="135">
        <v>45327.0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9" t="s">
        <v>193</v>
      </c>
      <c r="B77" s="120">
        <v>24.0</v>
      </c>
      <c r="C77" s="115">
        <f t="shared" si="25"/>
        <v>24</v>
      </c>
      <c r="D77" s="120">
        <v>0.0</v>
      </c>
      <c r="E77" s="135">
        <v>45327.0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 ht="15.75" customHeight="1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  <row r="1007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</row>
  </sheetData>
  <mergeCells count="8">
    <mergeCell ref="A4:J4"/>
    <mergeCell ref="A20:J20"/>
    <mergeCell ref="A26:J26"/>
    <mergeCell ref="A31:J31"/>
    <mergeCell ref="A46:E46"/>
    <mergeCell ref="A59:E59"/>
    <mergeCell ref="A66:E66"/>
    <mergeCell ref="A72:E72"/>
  </mergeCells>
  <drawing r:id="rId1"/>
</worksheet>
</file>