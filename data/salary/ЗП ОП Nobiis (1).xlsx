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<sst xmlns="http://schemas.openxmlformats.org/spreadsheetml/2006/main" count="2530" uniqueCount="112">
  <si>
    <t>Менеджер: Мадияр</t>
  </si>
  <si>
    <t>Менеджер: Мадина</t>
  </si>
  <si>
    <t>Менеджер: Анель</t>
  </si>
  <si>
    <t>Июнь</t>
  </si>
  <si>
    <t>июнь</t>
  </si>
  <si>
    <t>Номер договора</t>
  </si>
  <si>
    <t>Kaspi</t>
  </si>
  <si>
    <t>Airbapay</t>
  </si>
  <si>
    <t>Наличные</t>
  </si>
  <si>
    <t>Kaspi QR</t>
  </si>
  <si>
    <t>Kaspi Жұма</t>
  </si>
  <si>
    <t>Вычетом %</t>
  </si>
  <si>
    <t>Общ сумма продаж</t>
  </si>
  <si>
    <t>Общ с вычетом %</t>
  </si>
  <si>
    <t>3% без уд пенс</t>
  </si>
  <si>
    <t>5% без уд пенс</t>
  </si>
  <si>
    <t>7% без уд пенс</t>
  </si>
  <si>
    <t>Аян 11</t>
  </si>
  <si>
    <t xml:space="preserve">Айнура </t>
  </si>
  <si>
    <t>Фараби 12</t>
  </si>
  <si>
    <t>ОБЩ к-лво Продаж</t>
  </si>
  <si>
    <t>3% с уд пенс</t>
  </si>
  <si>
    <t>5% с уд пенс</t>
  </si>
  <si>
    <t>7% с уд пенс</t>
  </si>
  <si>
    <t>Дарина 13</t>
  </si>
  <si>
    <t>Батима 14</t>
  </si>
  <si>
    <t>Аслан 15</t>
  </si>
  <si>
    <t>Июль</t>
  </si>
  <si>
    <t>Талгат доплата</t>
  </si>
  <si>
    <t>3% с уд налог</t>
  </si>
  <si>
    <t>5% с уд налог</t>
  </si>
  <si>
    <t>7% с уд налог</t>
  </si>
  <si>
    <t>Август</t>
  </si>
  <si>
    <t>11.08.2024 гульмира предоплата</t>
  </si>
  <si>
    <t>16.08.2024 гульмира доплата</t>
  </si>
  <si>
    <t>РОП Алмат %</t>
  </si>
  <si>
    <t>1,5% с уд налог</t>
  </si>
  <si>
    <t>Сентябрь</t>
  </si>
  <si>
    <t>Kaspi 12</t>
  </si>
  <si>
    <t>Общ с свычетом %</t>
  </si>
  <si>
    <t>05.09.2024 Лиана</t>
  </si>
  <si>
    <t>пред оп 14.09.2024</t>
  </si>
  <si>
    <t>доплата 19.09</t>
  </si>
  <si>
    <t>25.09 Серик</t>
  </si>
  <si>
    <t>1,5% без уд налог</t>
  </si>
  <si>
    <t>Курсы Менеджер: Камиля</t>
  </si>
  <si>
    <t>Курсы Менеджер: Динара</t>
  </si>
  <si>
    <t>Курсы Менеджер: Асель</t>
  </si>
  <si>
    <t>Октябрь</t>
  </si>
  <si>
    <t xml:space="preserve">7% с уд </t>
  </si>
  <si>
    <t>02.10.2024 талгат допл</t>
  </si>
  <si>
    <t>Дима доплата 16.10</t>
  </si>
  <si>
    <t>1% без уд налог</t>
  </si>
  <si>
    <t>1% с уд налог</t>
  </si>
  <si>
    <t>Курсы Менеджер: Айгерим</t>
  </si>
  <si>
    <t>Ноябрь</t>
  </si>
  <si>
    <t>4% без уд пенс</t>
  </si>
  <si>
    <t>РОМ Нурым %</t>
  </si>
  <si>
    <t>РОП Гульнара%</t>
  </si>
  <si>
    <t>План Мадина</t>
  </si>
  <si>
    <t>План Анель</t>
  </si>
  <si>
    <t>План Мадияр</t>
  </si>
  <si>
    <t>Менеджер: Динара</t>
  </si>
  <si>
    <t>Декабрь</t>
  </si>
  <si>
    <t>03.12.2024 пред оплата</t>
  </si>
  <si>
    <t>РОП Мадияр%</t>
  </si>
  <si>
    <t>Общ</t>
  </si>
  <si>
    <t>Январь</t>
  </si>
  <si>
    <t>Февраль</t>
  </si>
  <si>
    <t>05.02.2025 допл дог 62 от 23.10.2024</t>
  </si>
  <si>
    <t>Менеджер: Алтынбек</t>
  </si>
  <si>
    <t>Менеджер: Жанибек</t>
  </si>
  <si>
    <t>Март</t>
  </si>
  <si>
    <t>35млн</t>
  </si>
  <si>
    <t>Менеджер: Али</t>
  </si>
  <si>
    <t>Апрель</t>
  </si>
  <si>
    <t>25встреч</t>
  </si>
  <si>
    <t xml:space="preserve">24 встречи </t>
  </si>
  <si>
    <t>План Дианар</t>
  </si>
  <si>
    <t>План Али</t>
  </si>
  <si>
    <t>1.5%</t>
  </si>
  <si>
    <t>287500+87 за март</t>
  </si>
  <si>
    <t>22780 %</t>
  </si>
  <si>
    <t>Май</t>
  </si>
  <si>
    <t>хоум</t>
  </si>
  <si>
    <t>30млн</t>
  </si>
  <si>
    <t xml:space="preserve">анельПлан </t>
  </si>
  <si>
    <t>Август 2025</t>
  </si>
  <si>
    <t>Салтанат</t>
  </si>
  <si>
    <t>Сентябрь 2025</t>
  </si>
  <si>
    <t>рано</t>
  </si>
  <si>
    <t>даниил кур 6. мес</t>
  </si>
  <si>
    <t>сат</t>
  </si>
  <si>
    <t>дилбара сат</t>
  </si>
  <si>
    <t>Октябрь 2025</t>
  </si>
  <si>
    <t>курс индив 07.10</t>
  </si>
  <si>
    <t>курс</t>
  </si>
  <si>
    <t>Дарина</t>
  </si>
  <si>
    <t>ноябрь 2025</t>
  </si>
  <si>
    <t>ежмес. Айбар</t>
  </si>
  <si>
    <t>Курсы Ильяс</t>
  </si>
  <si>
    <t>Иван</t>
  </si>
  <si>
    <t>курс айлтс</t>
  </si>
  <si>
    <t>Декабрь 2025</t>
  </si>
  <si>
    <t>139 доплата 5.12</t>
  </si>
  <si>
    <t>Январь 2025</t>
  </si>
  <si>
    <t>Халык рассрочка</t>
  </si>
  <si>
    <t>Менеджер: Салтанат</t>
  </si>
  <si>
    <t>Февраль 2025</t>
  </si>
  <si>
    <t>2% без уд пенс</t>
  </si>
  <si>
    <t>2% с уд пенс</t>
  </si>
  <si>
    <t>Март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</si>
</sst>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"/>
    <numFmt numFmtId="165" formatCode="dd.MM.yyyy"/>
    <numFmt numFmtId="166" formatCode="[$р.-419]#,##0.00"/>
    <numFmt numFmtId="167" formatCode="d.m"/>
    <numFmt numFmtId="168" formatCode="d m yyyy"/>
    <numFmt numFmtId="169" formatCode="d m yy"/>
  </numFmts>
  <fonts count="16">
    <font>
      <sz val="10.0"/>
      <color rgb="FF000000"/>
      <name val="Arial"/>
      <scheme val="minor"/>
    </font>
    <font>
      <color rgb="FF1C4587"/>
      <name val="Arial"/>
    </font>
    <font/>
    <font>
      <sz val="11.0"/>
      <color rgb="FFFFFFFF"/>
      <name val="Calibri"/>
    </font>
    <font>
      <color rgb="FF000000"/>
      <name val="Calibri"/>
    </font>
    <font>
      <color rgb="FF000000"/>
      <name val="Arial"/>
    </font>
    <font>
      <sz val="11.0"/>
      <color rgb="FF000000"/>
      <name val="Calibri"/>
    </font>
    <font>
      <sz val="11.0"/>
      <color rgb="FF000000"/>
      <name val="Inconsolata"/>
    </font>
    <font>
      <color rgb="FFFFFFFF"/>
      <name val="Arial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color theme="1"/>
      <name val="Calibri"/>
    </font>
    <font>
      <sz val="11.0"/>
      <color theme="1"/>
      <name val="Inconsolata"/>
    </font>
    <font>
      <sz val="9.0"/>
      <color rgb="FF000000"/>
      <name val="&quot;Google Sans Mono&quot;"/>
    </font>
    <font>
      <sz val="9.0"/>
      <color theme="1"/>
      <name val="Google Sans Mono"/>
    </font>
  </fonts>
  <fills count="11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0" fillId="0" fontId="1" numFmtId="0" xfId="0" applyAlignment="1" applyFont="1">
      <alignment horizontal="center" readingOrder="0" vertical="bottom"/>
    </xf>
    <xf borderId="1" fillId="2" fontId="3" numFmtId="0" xfId="0" applyAlignment="1" applyBorder="1" applyFill="1" applyFont="1">
      <alignment horizontal="center" readingOrder="0" vertical="bottom"/>
    </xf>
    <xf borderId="0" fillId="2" fontId="3" numFmtId="0" xfId="0" applyAlignment="1" applyFont="1">
      <alignment horizontal="center" readingOrder="0" vertical="bottom"/>
    </xf>
    <xf borderId="3" fillId="0" fontId="4" numFmtId="0" xfId="0" applyAlignment="1" applyBorder="1" applyFont="1">
      <alignment horizontal="center" vertical="bottom"/>
    </xf>
    <xf borderId="2" fillId="3" fontId="3" numFmtId="0" xfId="0" applyAlignment="1" applyBorder="1" applyFill="1" applyFont="1">
      <alignment horizontal="center" readingOrder="0" vertical="bottom"/>
    </xf>
    <xf borderId="2" fillId="4" fontId="3" numFmtId="0" xfId="0" applyAlignment="1" applyBorder="1" applyFill="1" applyFont="1">
      <alignment horizontal="center" readingOrder="0" vertical="bottom"/>
    </xf>
    <xf borderId="2" fillId="5" fontId="3" numFmtId="0" xfId="0" applyAlignment="1" applyBorder="1" applyFill="1" applyFont="1">
      <alignment horizontal="center" readingOrder="0" vertical="bottom"/>
    </xf>
    <xf borderId="2" fillId="6" fontId="3" numFmtId="0" xfId="0" applyAlignment="1" applyBorder="1" applyFill="1" applyFont="1">
      <alignment horizontal="center" readingOrder="0" vertical="bottom"/>
    </xf>
    <xf borderId="2" fillId="0" fontId="4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4" fillId="0" fontId="5" numFmtId="0" xfId="0" applyAlignment="1" applyBorder="1" applyFont="1">
      <alignment vertical="bottom"/>
    </xf>
    <xf borderId="3" fillId="0" fontId="6" numFmtId="0" xfId="0" applyAlignment="1" applyBorder="1" applyFont="1">
      <alignment horizontal="center" readingOrder="0" vertical="bottom"/>
    </xf>
    <xf borderId="2" fillId="3" fontId="6" numFmtId="0" xfId="0" applyAlignment="1" applyBorder="1" applyFont="1">
      <alignment horizontal="center" readingOrder="0" shrinkToFit="0" vertical="bottom" wrapText="0"/>
    </xf>
    <xf borderId="2" fillId="4" fontId="5" numFmtId="0" xfId="0" applyAlignment="1" applyBorder="1" applyFont="1">
      <alignment shrinkToFit="0" vertical="bottom" wrapText="0"/>
    </xf>
    <xf borderId="2" fillId="5" fontId="5" numFmtId="0" xfId="0" applyAlignment="1" applyBorder="1" applyFont="1">
      <alignment horizontal="right" readingOrder="0" shrinkToFit="0" vertical="bottom" wrapText="0"/>
    </xf>
    <xf borderId="2" fillId="6" fontId="5" numFmtId="0" xfId="0" applyAlignment="1" applyBorder="1" applyFont="1">
      <alignment horizontal="right" readingOrder="0" shrinkToFit="0" vertical="bottom" wrapText="0"/>
    </xf>
    <xf borderId="5" fillId="6" fontId="5" numFmtId="0" xfId="0" applyAlignment="1" applyBorder="1" applyFont="1">
      <alignment horizontal="right" readingOrder="0" shrinkToFit="0" vertical="bottom" wrapText="0"/>
    </xf>
    <xf borderId="0" fillId="7" fontId="7" numFmtId="0" xfId="0" applyAlignment="1" applyFill="1" applyFont="1">
      <alignment horizontal="right" vertical="bottom"/>
    </xf>
    <xf borderId="0" fillId="0" fontId="5" numFmtId="0" xfId="0" applyAlignment="1" applyFont="1">
      <alignment horizontal="right" vertical="bottom"/>
    </xf>
    <xf borderId="4" fillId="7" fontId="7" numFmtId="0" xfId="0" applyAlignment="1" applyBorder="1" applyFont="1">
      <alignment horizontal="right" vertical="bottom"/>
    </xf>
    <xf borderId="2" fillId="3" fontId="6" numFmtId="0" xfId="0" applyAlignment="1" applyBorder="1" applyFont="1">
      <alignment horizontal="center" readingOrder="0" vertical="bottom"/>
    </xf>
    <xf borderId="2" fillId="4" fontId="5" numFmtId="0" xfId="0" applyAlignment="1" applyBorder="1" applyFont="1">
      <alignment vertical="bottom"/>
    </xf>
    <xf borderId="2" fillId="3" fontId="6" numFmtId="0" xfId="0" applyAlignment="1" applyBorder="1" applyFont="1">
      <alignment horizontal="center" shrinkToFit="0" vertical="bottom" wrapText="0"/>
    </xf>
    <xf borderId="2" fillId="3" fontId="5" numFmtId="0" xfId="0" applyAlignment="1" applyBorder="1" applyFont="1">
      <alignment horizontal="right" readingOrder="0" shrinkToFit="0" vertical="bottom" wrapText="0"/>
    </xf>
    <xf borderId="2" fillId="5" fontId="5" numFmtId="0" xfId="0" applyAlignment="1" applyBorder="1" applyFont="1">
      <alignment readingOrder="0" shrinkToFit="0" vertical="bottom" wrapText="0"/>
    </xf>
    <xf borderId="2" fillId="6" fontId="5" numFmtId="0" xfId="0" applyAlignment="1" applyBorder="1" applyFont="1">
      <alignment readingOrder="0" shrinkToFit="0" vertical="bottom" wrapText="0"/>
    </xf>
    <xf borderId="5" fillId="6" fontId="5" numFmtId="0" xfId="0" applyAlignment="1" applyBorder="1" applyFont="1">
      <alignment readingOrder="0" shrinkToFit="0" vertical="bottom" wrapText="0"/>
    </xf>
    <xf borderId="0" fillId="7" fontId="7" numFmtId="0" xfId="0" applyAlignment="1" applyFont="1">
      <alignment shrinkToFit="0" vertical="bottom" wrapText="0"/>
    </xf>
    <xf borderId="2" fillId="3" fontId="5" numFmtId="0" xfId="0" applyAlignment="1" applyBorder="1" applyFont="1">
      <alignment vertical="bottom"/>
    </xf>
    <xf borderId="2" fillId="5" fontId="5" numFmtId="0" xfId="0" applyAlignment="1" applyBorder="1" applyFont="1">
      <alignment readingOrder="0" vertical="bottom"/>
    </xf>
    <xf borderId="2" fillId="6" fontId="5" numFmtId="0" xfId="0" applyAlignment="1" applyBorder="1" applyFont="1">
      <alignment readingOrder="0" vertical="bottom"/>
    </xf>
    <xf borderId="2" fillId="3" fontId="5" numFmtId="0" xfId="0" applyAlignment="1" applyBorder="1" applyFont="1">
      <alignment readingOrder="0" shrinkToFit="0" vertical="bottom" wrapText="0"/>
    </xf>
    <xf borderId="0" fillId="8" fontId="5" numFmtId="0" xfId="0" applyAlignment="1" applyFill="1" applyFont="1">
      <alignment horizontal="right" vertical="bottom"/>
    </xf>
    <xf borderId="2" fillId="3" fontId="5" numFmtId="0" xfId="0" applyAlignment="1" applyBorder="1" applyFont="1">
      <alignment readingOrder="0" vertical="bottom"/>
    </xf>
    <xf borderId="3" fillId="0" fontId="6" numFmtId="0" xfId="0" applyAlignment="1" applyBorder="1" applyFont="1">
      <alignment horizontal="center" vertical="bottom"/>
    </xf>
    <xf borderId="2" fillId="3" fontId="5" numFmtId="0" xfId="0" applyAlignment="1" applyBorder="1" applyFont="1">
      <alignment shrinkToFit="0" vertical="bottom" wrapText="0"/>
    </xf>
    <xf borderId="2" fillId="5" fontId="5" numFmtId="0" xfId="0" applyAlignment="1" applyBorder="1" applyFont="1">
      <alignment shrinkToFit="0" vertical="bottom" wrapText="0"/>
    </xf>
    <xf borderId="2" fillId="5" fontId="5" numFmtId="0" xfId="0" applyAlignment="1" applyBorder="1" applyFont="1">
      <alignment vertical="bottom"/>
    </xf>
    <xf borderId="2" fillId="5" fontId="5" numFmtId="0" xfId="0" applyAlignment="1" applyBorder="1" applyFont="1">
      <alignment shrinkToFit="0" vertical="bottom" wrapText="0"/>
    </xf>
    <xf borderId="2" fillId="4" fontId="5" numFmtId="0" xfId="0" applyAlignment="1" applyBorder="1" applyFont="1">
      <alignment readingOrder="0" shrinkToFit="0" vertical="bottom" wrapText="0"/>
    </xf>
    <xf borderId="2" fillId="4" fontId="5" numFmtId="0" xfId="0" applyAlignment="1" applyBorder="1" applyFont="1">
      <alignment horizontal="right" readingOrder="0" shrinkToFit="0" vertical="bottom" wrapText="0"/>
    </xf>
    <xf borderId="2" fillId="3" fontId="5" numFmtId="0" xfId="0" applyAlignment="1" applyBorder="1" applyFont="1">
      <alignment shrinkToFit="0" vertical="bottom" wrapText="0"/>
    </xf>
    <xf borderId="5" fillId="6" fontId="5" numFmtId="0" xfId="0" applyAlignment="1" applyBorder="1" applyFont="1">
      <alignment readingOrder="0" vertical="bottom"/>
    </xf>
    <xf borderId="2" fillId="3" fontId="6" numFmtId="0" xfId="0" applyAlignment="1" applyBorder="1" applyFont="1">
      <alignment horizontal="center" vertical="bottom"/>
    </xf>
    <xf borderId="2" fillId="3" fontId="6" numFmtId="0" xfId="0" applyAlignment="1" applyBorder="1" applyFont="1">
      <alignment horizontal="center" shrinkToFit="0" vertical="bottom" wrapText="0"/>
    </xf>
    <xf borderId="5" fillId="6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4" fillId="3" fontId="5" numFmtId="0" xfId="0" applyAlignment="1" applyBorder="1" applyFont="1">
      <alignment vertical="bottom"/>
    </xf>
    <xf borderId="4" fillId="4" fontId="5" numFmtId="0" xfId="0" applyAlignment="1" applyBorder="1" applyFont="1">
      <alignment vertical="bottom"/>
    </xf>
    <xf borderId="5" fillId="3" fontId="8" numFmtId="0" xfId="0" applyAlignment="1" applyBorder="1" applyFont="1">
      <alignment horizontal="right" readingOrder="0" shrinkToFit="0" vertical="bottom" wrapText="0"/>
    </xf>
    <xf borderId="2" fillId="4" fontId="3" numFmtId="0" xfId="0" applyAlignment="1" applyBorder="1" applyFont="1">
      <alignment horizontal="center" shrinkToFit="0" vertical="bottom" wrapText="0"/>
    </xf>
    <xf borderId="2" fillId="5" fontId="3" numFmtId="0" xfId="0" applyAlignment="1" applyBorder="1" applyFont="1">
      <alignment horizontal="center" readingOrder="0" shrinkToFit="0" vertical="bottom" wrapText="0"/>
    </xf>
    <xf borderId="5" fillId="6" fontId="8" numFmtId="0" xfId="0" applyAlignment="1" applyBorder="1" applyFont="1">
      <alignment horizontal="right" readingOrder="0" shrinkToFit="0" vertical="bottom" wrapText="0"/>
    </xf>
    <xf borderId="2" fillId="4" fontId="8" numFmtId="0" xfId="0" applyAlignment="1" applyBorder="1" applyFont="1">
      <alignment vertical="bottom"/>
    </xf>
    <xf borderId="2" fillId="5" fontId="8" numFmtId="0" xfId="0" applyAlignment="1" applyBorder="1" applyFont="1">
      <alignment horizontal="right" readingOrder="0" shrinkToFit="0" vertical="bottom" wrapText="0"/>
    </xf>
    <xf borderId="3" fillId="0" fontId="6" numFmtId="164" xfId="0" applyAlignment="1" applyBorder="1" applyFont="1" applyNumberFormat="1">
      <alignment horizontal="center" readingOrder="0" vertical="bottom"/>
    </xf>
    <xf borderId="2" fillId="3" fontId="8" numFmtId="0" xfId="0" applyAlignment="1" applyBorder="1" applyFont="1">
      <alignment horizontal="right" readingOrder="0" shrinkToFit="0" vertical="bottom" wrapText="0"/>
    </xf>
    <xf borderId="2" fillId="4" fontId="8" numFmtId="0" xfId="0" applyAlignment="1" applyBorder="1" applyFont="1">
      <alignment shrinkToFit="0" vertical="bottom" wrapText="0"/>
    </xf>
    <xf borderId="2" fillId="5" fontId="8" numFmtId="0" xfId="0" applyAlignment="1" applyBorder="1" applyFont="1">
      <alignment shrinkToFit="0" vertical="bottom" wrapText="0"/>
    </xf>
    <xf borderId="5" fillId="6" fontId="8" numFmtId="0" xfId="0" applyAlignment="1" applyBorder="1" applyFont="1">
      <alignment readingOrder="0" shrinkToFit="0" vertical="bottom" wrapText="0"/>
    </xf>
    <xf borderId="2" fillId="3" fontId="3" numFmtId="0" xfId="0" applyAlignment="1" applyBorder="1" applyFont="1">
      <alignment horizontal="center" readingOrder="0" shrinkToFit="0" vertical="bottom" wrapText="0"/>
    </xf>
    <xf borderId="2" fillId="5" fontId="8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4" fillId="0" fontId="5" numFmtId="0" xfId="0" applyAlignment="1" applyBorder="1" applyFont="1">
      <alignment readingOrder="0" vertical="bottom"/>
    </xf>
    <xf borderId="2" fillId="3" fontId="8" numFmtId="0" xfId="0" applyAlignment="1" applyBorder="1" applyFont="1">
      <alignment readingOrder="0" vertical="bottom"/>
    </xf>
    <xf borderId="2" fillId="5" fontId="8" numFmtId="0" xfId="0" applyAlignment="1" applyBorder="1" applyFont="1">
      <alignment readingOrder="0" vertical="bottom"/>
    </xf>
    <xf borderId="2" fillId="3" fontId="8" numFmtId="0" xfId="0" applyAlignment="1" applyBorder="1" applyFont="1">
      <alignment shrinkToFit="0" vertical="bottom" wrapText="0"/>
    </xf>
    <xf borderId="2" fillId="3" fontId="8" numFmtId="0" xfId="0" applyAlignment="1" applyBorder="1" applyFont="1">
      <alignment vertical="bottom"/>
    </xf>
    <xf borderId="2" fillId="3" fontId="8" numFmtId="0" xfId="0" applyAlignment="1" applyBorder="1" applyFont="1">
      <alignment readingOrder="0" shrinkToFit="0" vertical="bottom" wrapText="0"/>
    </xf>
    <xf borderId="0" fillId="0" fontId="5" numFmtId="165" xfId="0" applyAlignment="1" applyFont="1" applyNumberFormat="1">
      <alignment vertical="bottom"/>
    </xf>
    <xf borderId="2" fillId="3" fontId="3" numFmtId="0" xfId="0" applyAlignment="1" applyBorder="1" applyFont="1">
      <alignment horizontal="center" shrinkToFit="0" vertical="bottom" wrapText="0"/>
    </xf>
    <xf borderId="2" fillId="3" fontId="8" numFmtId="0" xfId="0" applyAlignment="1" applyBorder="1" applyFont="1">
      <alignment shrinkToFit="0" vertical="bottom" wrapText="0"/>
    </xf>
    <xf borderId="2" fillId="5" fontId="8" numFmtId="0" xfId="0" applyAlignment="1" applyBorder="1" applyFont="1">
      <alignment vertical="bottom"/>
    </xf>
    <xf borderId="2" fillId="5" fontId="8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horizontal="center" shrinkToFit="0" vertical="bottom" wrapText="0"/>
    </xf>
    <xf borderId="2" fillId="4" fontId="8" numFmtId="0" xfId="0" applyAlignment="1" applyBorder="1" applyFont="1">
      <alignment horizontal="right" readingOrder="0" shrinkToFit="0" vertical="bottom" wrapText="0"/>
    </xf>
    <xf borderId="5" fillId="6" fontId="8" numFmtId="0" xfId="0" applyAlignment="1" applyBorder="1" applyFont="1">
      <alignment readingOrder="0" vertical="bottom"/>
    </xf>
    <xf borderId="2" fillId="3" fontId="3" numFmtId="0" xfId="0" applyAlignment="1" applyBorder="1" applyFont="1">
      <alignment horizontal="center" vertical="bottom"/>
    </xf>
    <xf borderId="5" fillId="6" fontId="8" numFmtId="0" xfId="0" applyAlignment="1" applyBorder="1" applyFont="1">
      <alignment vertical="bottom"/>
    </xf>
    <xf borderId="4" fillId="3" fontId="8" numFmtId="0" xfId="0" applyAlignment="1" applyBorder="1" applyFont="1">
      <alignment vertical="bottom"/>
    </xf>
    <xf borderId="4" fillId="4" fontId="8" numFmtId="0" xfId="0" applyAlignment="1" applyBorder="1" applyFont="1">
      <alignment vertical="bottom"/>
    </xf>
    <xf borderId="5" fillId="9" fontId="5" numFmtId="0" xfId="0" applyAlignment="1" applyBorder="1" applyFill="1" applyFont="1">
      <alignment readingOrder="0" vertical="bottom"/>
    </xf>
    <xf borderId="5" fillId="9" fontId="7" numFmtId="0" xfId="0" applyAlignment="1" applyBorder="1" applyFont="1">
      <alignment horizontal="right" vertical="bottom"/>
    </xf>
    <xf borderId="1" fillId="7" fontId="7" numFmtId="0" xfId="0" applyAlignment="1" applyBorder="1" applyFont="1">
      <alignment horizontal="right" vertical="bottom"/>
    </xf>
    <xf borderId="1" fillId="0" fontId="5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2" fillId="0" fontId="4" numFmtId="0" xfId="0" applyAlignment="1" applyBorder="1" applyFont="1">
      <alignment horizontal="center" readingOrder="0" vertical="bottom"/>
    </xf>
    <xf borderId="3" fillId="10" fontId="6" numFmtId="164" xfId="0" applyAlignment="1" applyBorder="1" applyFill="1" applyFont="1" applyNumberFormat="1">
      <alignment horizontal="center" readingOrder="0" vertical="bottom"/>
    </xf>
    <xf borderId="2" fillId="4" fontId="5" numFmtId="0" xfId="0" applyAlignment="1" applyBorder="1" applyFont="1">
      <alignment readingOrder="0" vertical="bottom"/>
    </xf>
    <xf borderId="5" fillId="9" fontId="4" numFmtId="0" xfId="0" applyAlignment="1" applyBorder="1" applyFont="1">
      <alignment horizontal="center" vertical="bottom"/>
    </xf>
    <xf borderId="5" fillId="9" fontId="5" numFmtId="0" xfId="0" applyAlignment="1" applyBorder="1" applyFont="1">
      <alignment vertical="bottom"/>
    </xf>
    <xf borderId="3" fillId="0" fontId="9" numFmtId="164" xfId="0" applyAlignment="1" applyBorder="1" applyFont="1" applyNumberFormat="1">
      <alignment horizontal="center" vertical="bottom"/>
    </xf>
    <xf borderId="2" fillId="3" fontId="10" numFmtId="0" xfId="0" applyAlignment="1" applyBorder="1" applyFont="1">
      <alignment vertical="bottom"/>
    </xf>
    <xf borderId="2" fillId="4" fontId="10" numFmtId="0" xfId="0" applyAlignment="1" applyBorder="1" applyFont="1">
      <alignment vertical="bottom"/>
    </xf>
    <xf borderId="2" fillId="5" fontId="10" numFmtId="0" xfId="0" applyAlignment="1" applyBorder="1" applyFont="1">
      <alignment vertical="bottom"/>
    </xf>
    <xf borderId="5" fillId="6" fontId="10" numFmtId="0" xfId="0" applyAlignment="1" applyBorder="1" applyFont="1">
      <alignment horizontal="right" vertical="bottom"/>
    </xf>
    <xf borderId="5" fillId="6" fontId="10" numFmtId="0" xfId="0" applyAlignment="1" applyBorder="1" applyFont="1">
      <alignment vertical="bottom"/>
    </xf>
    <xf borderId="5" fillId="9" fontId="5" numFmtId="166" xfId="0" applyAlignment="1" applyBorder="1" applyFont="1" applyNumberFormat="1">
      <alignment readingOrder="0" vertical="bottom"/>
    </xf>
    <xf borderId="0" fillId="9" fontId="11" numFmtId="0" xfId="0" applyFont="1"/>
    <xf borderId="1" fillId="0" fontId="5" numFmtId="0" xfId="0" applyAlignment="1" applyBorder="1" applyFont="1">
      <alignment readingOrder="0" vertical="bottom"/>
    </xf>
    <xf borderId="3" fillId="0" fontId="6" numFmtId="167" xfId="0" applyAlignment="1" applyBorder="1" applyFont="1" applyNumberFormat="1">
      <alignment horizontal="center" readingOrder="0" vertical="bottom"/>
    </xf>
    <xf borderId="2" fillId="3" fontId="10" numFmtId="0" xfId="0" applyAlignment="1" applyBorder="1" applyFont="1">
      <alignment readingOrder="0" vertical="bottom"/>
    </xf>
    <xf borderId="0" fillId="0" fontId="10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0" numFmtId="164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6" fontId="10" numFmtId="0" xfId="0" applyAlignment="1" applyBorder="1" applyFont="1">
      <alignment horizontal="right" readingOrder="0" vertical="bottom"/>
    </xf>
    <xf borderId="0" fillId="9" fontId="14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9" xfId="0" applyAlignment="1" applyBorder="1" applyFont="1" applyNumberFormat="1">
      <alignment readingOrder="0" vertical="bottom"/>
    </xf>
    <xf borderId="4" fillId="5" fontId="5" numFmtId="0" xfId="0" applyAlignment="1" applyBorder="1" applyFont="1">
      <alignment vertical="bottom"/>
    </xf>
    <xf borderId="7" fillId="6" fontId="5" numFmtId="0" xfId="0" applyAlignment="1" applyBorder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6" numFmtId="164" xfId="0" applyAlignment="1" applyFont="1" applyNumberFormat="1">
      <alignment horizontal="center" readingOrder="0" vertical="bottom"/>
    </xf>
    <xf borderId="0" fillId="0" fontId="6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9" numFmtId="164" xfId="0" applyAlignment="1" applyFont="1" applyNumberFormat="1">
      <alignment horizontal="center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horizontal="right"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5" numFmtId="9" xfId="0" applyAlignment="1" applyFont="1" applyNumberFormat="1">
      <alignment readingOrder="0" vertical="bottom"/>
    </xf>
    <xf borderId="2" fillId="3" fontId="10" numFmtId="0" xfId="0" applyAlignment="1" applyBorder="1" applyFont="1">
      <alignment vertical="bottom"/>
    </xf>
    <xf borderId="0" fillId="0" fontId="5" numFmtId="168" xfId="0" applyAlignment="1" applyFont="1" applyNumberFormat="1">
      <alignment readingOrder="0" vertical="bottom"/>
    </xf>
    <xf borderId="0" fillId="0" fontId="5" numFmtId="169" xfId="0" applyAlignment="1" applyFont="1" applyNumberFormat="1">
      <alignment readingOrder="0" vertical="bottom"/>
    </xf>
    <xf borderId="0" fillId="0" fontId="10" numFmtId="9" xfId="0" applyAlignment="1" applyFont="1" applyNumberFormat="1">
      <alignment horizontal="right" vertical="bottom"/>
    </xf>
    <xf borderId="2" fillId="6" fontId="6" numFmtId="0" xfId="0" applyAlignment="1" applyBorder="1" applyFont="1">
      <alignment horizontal="center" readingOrder="0" shrinkToFit="0" vertical="bottom" wrapText="0"/>
    </xf>
    <xf borderId="2" fillId="6" fontId="6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10" numFmtId="0" xfId="0" applyAlignment="1" applyBorder="1" applyFont="1">
      <alignment vertical="bottom"/>
    </xf>
    <xf borderId="1" fillId="2" fontId="3" numFmtId="0" xfId="0" applyAlignment="1" applyBorder="1" applyFont="1">
      <alignment horizontal="center" vertical="bottom"/>
    </xf>
    <xf borderId="3" fillId="0" fontId="12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2" fillId="5" fontId="3" numFmtId="0" xfId="0" applyAlignment="1" applyBorder="1" applyFont="1">
      <alignment horizontal="center" vertical="bottom"/>
    </xf>
    <xf borderId="2" fillId="6" fontId="3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center" vertical="bottom"/>
    </xf>
    <xf borderId="4" fillId="0" fontId="10" numFmtId="0" xfId="0" applyAlignment="1" applyBorder="1" applyFont="1">
      <alignment vertical="bottom"/>
    </xf>
    <xf borderId="3" fillId="0" fontId="10" numFmtId="164" xfId="0" applyAlignment="1" applyBorder="1" applyFont="1" applyNumberFormat="1">
      <alignment vertical="bottom"/>
    </xf>
    <xf borderId="2" fillId="5" fontId="10" numFmtId="0" xfId="0" applyAlignment="1" applyBorder="1" applyFont="1">
      <alignment vertical="bottom"/>
    </xf>
    <xf borderId="5" fillId="6" fontId="10" numFmtId="0" xfId="0" applyAlignment="1" applyBorder="1" applyFont="1">
      <alignment vertical="bottom"/>
    </xf>
    <xf borderId="0" fillId="7" fontId="13" numFmtId="0" xfId="0" applyAlignment="1" applyFont="1">
      <alignment horizontal="right" vertical="bottom"/>
    </xf>
    <xf borderId="4" fillId="7" fontId="13" numFmtId="0" xfId="0" applyAlignment="1" applyBorder="1" applyFont="1">
      <alignment horizontal="right" vertical="bottom"/>
    </xf>
    <xf borderId="3" fillId="0" fontId="10" numFmtId="0" xfId="0" applyAlignment="1" applyBorder="1" applyFont="1">
      <alignment vertical="bottom"/>
    </xf>
    <xf borderId="2" fillId="6" fontId="10" numFmtId="0" xfId="0" applyAlignment="1" applyBorder="1" applyFont="1">
      <alignment vertical="bottom"/>
    </xf>
    <xf borderId="3" fillId="0" fontId="9" numFmtId="0" xfId="0" applyAlignment="1" applyBorder="1" applyFont="1">
      <alignment horizontal="center" vertical="bottom"/>
    </xf>
    <xf borderId="0" fillId="7" fontId="13" numFmtId="0" xfId="0" applyAlignment="1" applyFont="1">
      <alignment vertical="bottom"/>
    </xf>
    <xf borderId="0" fillId="8" fontId="10" numFmtId="0" xfId="0" applyAlignment="1" applyFont="1">
      <alignment vertical="bottom"/>
    </xf>
    <xf borderId="3" fillId="0" fontId="10" numFmtId="167" xfId="0" applyAlignment="1" applyBorder="1" applyFont="1" applyNumberFormat="1">
      <alignment vertical="bottom"/>
    </xf>
    <xf borderId="5" fillId="9" fontId="12" numFmtId="0" xfId="0" applyAlignment="1" applyBorder="1" applyFont="1">
      <alignment horizontal="center" vertical="bottom"/>
    </xf>
    <xf borderId="5" fillId="9" fontId="10" numFmtId="0" xfId="0" applyAlignment="1" applyBorder="1" applyFont="1">
      <alignment vertical="bottom"/>
    </xf>
    <xf borderId="5" fillId="9" fontId="10" numFmtId="0" xfId="0" applyAlignment="1" applyBorder="1" applyFont="1">
      <alignment horizontal="right" vertical="bottom"/>
    </xf>
    <xf borderId="5" fillId="9" fontId="10" numFmtId="166" xfId="0" applyAlignment="1" applyBorder="1" applyFont="1" applyNumberFormat="1">
      <alignment vertical="bottom"/>
    </xf>
    <xf borderId="0" fillId="9" fontId="15" numFmtId="0" xfId="0" applyAlignment="1" applyFont="1">
      <alignment horizontal="right" vertical="bottom"/>
    </xf>
    <xf borderId="5" fillId="9" fontId="13" numFmtId="0" xfId="0" applyAlignment="1" applyBorder="1" applyFont="1">
      <alignment horizontal="right" vertical="bottom"/>
    </xf>
    <xf borderId="5" fillId="0" fontId="10" numFmtId="0" xfId="0" applyAlignment="1" applyBorder="1" applyFont="1">
      <alignment vertical="bottom"/>
    </xf>
    <xf borderId="5" fillId="0" fontId="10" numFmtId="9" xfId="0" applyAlignment="1" applyBorder="1" applyFont="1" applyNumberFormat="1">
      <alignment horizontal="right" vertical="bottom"/>
    </xf>
    <xf borderId="5" fillId="0" fontId="10" numFmtId="9" xfId="0" applyAlignment="1" applyBorder="1" applyFont="1" applyNumberFormat="1">
      <alignment vertical="bottom"/>
    </xf>
    <xf borderId="5" fillId="0" fontId="10" numFmtId="0" xfId="0" applyAlignment="1" applyBorder="1" applyFont="1">
      <alignment horizontal="right" vertical="bottom"/>
    </xf>
    <xf borderId="0" fillId="0" fontId="10" numFmtId="169" xfId="0" applyAlignment="1" applyFont="1" applyNumberFormat="1">
      <alignment horizontal="right" vertical="bottom"/>
    </xf>
    <xf borderId="1" fillId="7" fontId="13" numFmtId="0" xfId="0" applyAlignment="1" applyBorder="1" applyFont="1">
      <alignment horizontal="right" vertical="bottom"/>
    </xf>
    <xf borderId="2" fillId="0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8" max="8" width="16.13"/>
    <col customWidth="1" min="9" max="9" width="13.75"/>
    <col customWidth="1" min="10" max="10" width="15.5"/>
    <col customWidth="1" min="11" max="11" width="15.25"/>
    <col customWidth="1" min="12" max="12" width="15.13"/>
    <col customWidth="1" min="13" max="13" width="17.75"/>
    <col customWidth="1" min="19" max="19" width="13.0"/>
    <col customWidth="1" min="20" max="20" width="15.25"/>
    <col customWidth="1" min="21" max="21" width="14.25"/>
    <col customWidth="1" min="25" max="25" width="27.13"/>
    <col customWidth="1" min="56" max="56" width="14.88"/>
    <col customWidth="1" min="57" max="57" width="15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1" t="s">
        <v>2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</row>
    <row r="2">
      <c r="A2" s="5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5" t="s">
        <v>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</row>
    <row r="3">
      <c r="A3" s="7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11" t="s">
        <v>10</v>
      </c>
      <c r="G3" s="12" t="s">
        <v>11</v>
      </c>
      <c r="H3" s="12" t="s">
        <v>12</v>
      </c>
      <c r="I3" s="12" t="s">
        <v>13</v>
      </c>
      <c r="J3" s="13" t="s">
        <v>14</v>
      </c>
      <c r="K3" s="13" t="s">
        <v>15</v>
      </c>
      <c r="L3" s="14" t="s">
        <v>16</v>
      </c>
      <c r="M3" s="7" t="s">
        <v>5</v>
      </c>
      <c r="N3" s="8" t="s">
        <v>6</v>
      </c>
      <c r="O3" s="9" t="s">
        <v>7</v>
      </c>
      <c r="P3" s="10" t="s">
        <v>8</v>
      </c>
      <c r="Q3" s="11" t="s">
        <v>9</v>
      </c>
      <c r="R3" s="11" t="s">
        <v>10</v>
      </c>
      <c r="S3" s="12" t="s">
        <v>11</v>
      </c>
      <c r="T3" s="12" t="s">
        <v>12</v>
      </c>
      <c r="U3" s="12" t="s">
        <v>13</v>
      </c>
      <c r="V3" s="13" t="s">
        <v>14</v>
      </c>
      <c r="W3" s="13" t="s">
        <v>15</v>
      </c>
      <c r="X3" s="14" t="s">
        <v>16</v>
      </c>
      <c r="Y3" s="7" t="s">
        <v>5</v>
      </c>
      <c r="Z3" s="8" t="s">
        <v>6</v>
      </c>
      <c r="AA3" s="9" t="s">
        <v>7</v>
      </c>
      <c r="AB3" s="10" t="s">
        <v>8</v>
      </c>
      <c r="AC3" s="11" t="s">
        <v>9</v>
      </c>
      <c r="AD3" s="11" t="s">
        <v>10</v>
      </c>
      <c r="AE3" s="12" t="s">
        <v>11</v>
      </c>
      <c r="AF3" s="12" t="s">
        <v>12</v>
      </c>
      <c r="AG3" s="12" t="s">
        <v>13</v>
      </c>
      <c r="AH3" s="13" t="s">
        <v>14</v>
      </c>
      <c r="AI3" s="13" t="s">
        <v>15</v>
      </c>
      <c r="AJ3" s="14" t="s">
        <v>16</v>
      </c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</row>
    <row r="4">
      <c r="A4" s="15" t="s">
        <v>17</v>
      </c>
      <c r="B4" s="16"/>
      <c r="C4" s="17"/>
      <c r="D4" s="18"/>
      <c r="E4" s="19">
        <v>600000.0</v>
      </c>
      <c r="F4" s="20"/>
      <c r="G4" s="21">
        <f t="shared" ref="G4:G6" si="1">SUM(B4)-(B4*15%)+(C4)-(C4*18%)+(D4)+(E4)-(E4*0.95%)+(F4)-(F4*28%)</f>
        <v>594300</v>
      </c>
      <c r="H4" s="22">
        <f>SUM(B4:F27)</f>
        <v>5200000</v>
      </c>
      <c r="I4" s="21">
        <f>SUM(G4:G27)</f>
        <v>4471075</v>
      </c>
      <c r="J4" s="21">
        <f>SUM(I4)-(I4*97%)</f>
        <v>134132.25</v>
      </c>
      <c r="K4" s="21">
        <f>SUM(I4)-(I4*95%)</f>
        <v>223553.75</v>
      </c>
      <c r="L4" s="23">
        <f>SUM(I4)-(I4*93%)</f>
        <v>312975.25</v>
      </c>
      <c r="M4" s="15">
        <v>16.0</v>
      </c>
      <c r="N4" s="24"/>
      <c r="O4" s="25"/>
      <c r="P4" s="18"/>
      <c r="Q4" s="20"/>
      <c r="R4" s="20">
        <v>1600000.0</v>
      </c>
      <c r="S4" s="21">
        <f t="shared" ref="S4:S27" si="2">SUM(N4)-(N4*15%)+(O4)-(O4*18%)+(P4)+(Q4)-(Q4*0.95%)+(R4)-(R4*28%)</f>
        <v>1152000</v>
      </c>
      <c r="T4" s="22">
        <f>SUM(N4:R27)</f>
        <v>3220000</v>
      </c>
      <c r="U4" s="21">
        <f>SUM(S4:S27)</f>
        <v>2531810</v>
      </c>
      <c r="V4" s="21">
        <f>SUM(U4)-(U4*97%)</f>
        <v>75954.3</v>
      </c>
      <c r="W4" s="21">
        <f>SUM(U4)-(U4*95%)</f>
        <v>126590.5</v>
      </c>
      <c r="X4" s="23">
        <f>SUM(U4)-(U4*93%)</f>
        <v>177226.7</v>
      </c>
      <c r="Y4" s="15" t="s">
        <v>18</v>
      </c>
      <c r="Z4" s="26"/>
      <c r="AA4" s="17"/>
      <c r="AB4" s="18"/>
      <c r="AC4" s="20"/>
      <c r="AD4" s="20">
        <v>1600000.0</v>
      </c>
      <c r="AE4" s="21">
        <f t="shared" ref="AE4:AE27" si="3">SUM(Z4)-(Z4*15%)+(AA4)-(AA4*18%)+(AB4)+(AC4)-(AC4*0.95%)+(AD4)-(AD4*28%)</f>
        <v>1152000</v>
      </c>
      <c r="AF4" s="22">
        <f>SUM(Z4:AD27)</f>
        <v>3400000</v>
      </c>
      <c r="AG4" s="21">
        <f>SUM(AE4:AE27)</f>
        <v>2719500</v>
      </c>
      <c r="AH4" s="21">
        <f>SUM(AG4)-(AG4*97%)</f>
        <v>81585</v>
      </c>
      <c r="AI4" s="21">
        <f>SUM(AG4)-(AG4*95%)</f>
        <v>135975</v>
      </c>
      <c r="AJ4" s="23">
        <f>SUM(AG4)-(AG4*93%)</f>
        <v>190365</v>
      </c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</row>
    <row r="5">
      <c r="A5" s="15" t="s">
        <v>19</v>
      </c>
      <c r="B5" s="27"/>
      <c r="C5" s="17"/>
      <c r="D5" s="28"/>
      <c r="E5" s="29">
        <v>500000.0</v>
      </c>
      <c r="F5" s="30"/>
      <c r="G5" s="21">
        <f t="shared" si="1"/>
        <v>495250</v>
      </c>
      <c r="H5" s="31" t="s">
        <v>20</v>
      </c>
      <c r="I5" s="13"/>
      <c r="J5" s="13" t="s">
        <v>21</v>
      </c>
      <c r="K5" s="13" t="s">
        <v>22</v>
      </c>
      <c r="L5" s="14" t="s">
        <v>23</v>
      </c>
      <c r="M5" s="15"/>
      <c r="N5" s="32"/>
      <c r="O5" s="25"/>
      <c r="P5" s="33"/>
      <c r="Q5" s="34">
        <v>20000.0</v>
      </c>
      <c r="R5" s="30"/>
      <c r="S5" s="21">
        <f t="shared" si="2"/>
        <v>19810</v>
      </c>
      <c r="T5" s="31" t="s">
        <v>20</v>
      </c>
      <c r="U5" s="13"/>
      <c r="V5" s="13" t="s">
        <v>21</v>
      </c>
      <c r="W5" s="13" t="s">
        <v>22</v>
      </c>
      <c r="X5" s="14" t="s">
        <v>23</v>
      </c>
      <c r="Y5" s="15"/>
      <c r="Z5" s="27">
        <v>1350000.0</v>
      </c>
      <c r="AA5" s="17"/>
      <c r="AB5" s="28">
        <v>250000.0</v>
      </c>
      <c r="AC5" s="30"/>
      <c r="AD5" s="30"/>
      <c r="AE5" s="21">
        <f t="shared" si="3"/>
        <v>1397500</v>
      </c>
      <c r="AF5" s="31" t="s">
        <v>20</v>
      </c>
      <c r="AG5" s="13"/>
      <c r="AH5" s="13" t="s">
        <v>21</v>
      </c>
      <c r="AI5" s="13" t="s">
        <v>22</v>
      </c>
      <c r="AJ5" s="14" t="s">
        <v>23</v>
      </c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</row>
    <row r="6">
      <c r="A6" s="15" t="s">
        <v>24</v>
      </c>
      <c r="B6" s="35"/>
      <c r="C6" s="17"/>
      <c r="D6" s="18">
        <v>400000.0</v>
      </c>
      <c r="E6" s="20">
        <v>50000.0</v>
      </c>
      <c r="F6" s="29">
        <v>1150000.0</v>
      </c>
      <c r="G6" s="21">
        <f t="shared" si="1"/>
        <v>1277525</v>
      </c>
      <c r="H6" s="36"/>
      <c r="I6" s="13"/>
      <c r="J6" s="21">
        <f t="shared" ref="J6:K6" si="4">SUM(J4)-(J4*24%)</f>
        <v>101940.51</v>
      </c>
      <c r="K6" s="21">
        <f t="shared" si="4"/>
        <v>169900.85</v>
      </c>
      <c r="L6" s="23">
        <f>SUM(L4)-(L4*18%)</f>
        <v>256639.705</v>
      </c>
      <c r="M6" s="15"/>
      <c r="N6" s="37">
        <v>1600000.0</v>
      </c>
      <c r="O6" s="25"/>
      <c r="P6" s="33"/>
      <c r="Q6" s="20"/>
      <c r="R6" s="20"/>
      <c r="S6" s="21">
        <f t="shared" si="2"/>
        <v>1360000</v>
      </c>
      <c r="T6" s="36"/>
      <c r="U6" s="13"/>
      <c r="V6" s="21">
        <f t="shared" ref="V6:W6" si="5">SUM(V4)-(V4*24%)</f>
        <v>57725.268</v>
      </c>
      <c r="W6" s="21">
        <f t="shared" si="5"/>
        <v>96208.78</v>
      </c>
      <c r="X6" s="23">
        <f>SUM(X4)-(X4*18%)</f>
        <v>145325.894</v>
      </c>
      <c r="Y6" s="15"/>
      <c r="Z6" s="35">
        <v>200000.0</v>
      </c>
      <c r="AA6" s="17"/>
      <c r="AB6" s="18"/>
      <c r="AC6" s="20"/>
      <c r="AD6" s="20"/>
      <c r="AE6" s="21">
        <f t="shared" si="3"/>
        <v>170000</v>
      </c>
      <c r="AF6" s="36"/>
      <c r="AG6" s="13"/>
      <c r="AH6" s="21">
        <f t="shared" ref="AH6:AI6" si="6">SUM(AH4)-(AH4*24%)</f>
        <v>62004.6</v>
      </c>
      <c r="AI6" s="21">
        <f t="shared" si="6"/>
        <v>103341</v>
      </c>
      <c r="AJ6" s="23">
        <f>SUM(AJ4)-(AJ4*18%)</f>
        <v>156099.3</v>
      </c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</row>
    <row r="7">
      <c r="A7" s="15" t="s">
        <v>25</v>
      </c>
      <c r="B7" s="27">
        <v>900000.0</v>
      </c>
      <c r="C7" s="17"/>
      <c r="D7" s="18"/>
      <c r="E7" s="20"/>
      <c r="F7" s="20"/>
      <c r="G7" s="21">
        <f t="shared" ref="G7:G8" si="7">SUM(B7)-(B7*18%)+(C7)-(C7*18%)+(D7)+(E7)-(E7*0.95%)+(F7)-(F7*28%)</f>
        <v>738000</v>
      </c>
      <c r="H7" s="13"/>
      <c r="I7" s="13"/>
      <c r="J7" s="13"/>
      <c r="K7" s="13"/>
      <c r="L7" s="14"/>
      <c r="M7" s="15"/>
      <c r="N7" s="37"/>
      <c r="O7" s="25"/>
      <c r="P7" s="33"/>
      <c r="Q7" s="20"/>
      <c r="R7" s="20"/>
      <c r="S7" s="21">
        <f t="shared" si="2"/>
        <v>0</v>
      </c>
      <c r="T7" s="13"/>
      <c r="U7" s="13"/>
      <c r="V7" s="13"/>
      <c r="W7" s="13"/>
      <c r="X7" s="14"/>
      <c r="Y7" s="38"/>
      <c r="Z7" s="39"/>
      <c r="AA7" s="17"/>
      <c r="AB7" s="18"/>
      <c r="AC7" s="20"/>
      <c r="AD7" s="20"/>
      <c r="AE7" s="21">
        <f t="shared" si="3"/>
        <v>0</v>
      </c>
      <c r="AF7" s="13"/>
      <c r="AG7" s="13"/>
      <c r="AH7" s="13"/>
      <c r="AI7" s="13"/>
      <c r="AJ7" s="14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</row>
    <row r="8">
      <c r="A8" s="15" t="s">
        <v>26</v>
      </c>
      <c r="B8" s="35">
        <v>1300000.0</v>
      </c>
      <c r="C8" s="17"/>
      <c r="D8" s="18">
        <v>300000.0</v>
      </c>
      <c r="E8" s="20"/>
      <c r="F8" s="20"/>
      <c r="G8" s="21">
        <f t="shared" si="7"/>
        <v>1366000</v>
      </c>
      <c r="H8" s="13"/>
      <c r="I8" s="13"/>
      <c r="J8" s="13"/>
      <c r="K8" s="13"/>
      <c r="L8" s="14"/>
      <c r="M8" s="15"/>
      <c r="N8" s="37"/>
      <c r="O8" s="25"/>
      <c r="P8" s="33"/>
      <c r="Q8" s="20"/>
      <c r="R8" s="20"/>
      <c r="S8" s="21">
        <f t="shared" si="2"/>
        <v>0</v>
      </c>
      <c r="T8" s="13"/>
      <c r="U8" s="13"/>
      <c r="V8" s="13"/>
      <c r="W8" s="13"/>
      <c r="X8" s="14"/>
      <c r="Y8" s="38"/>
      <c r="Z8" s="27"/>
      <c r="AA8" s="17"/>
      <c r="AB8" s="18"/>
      <c r="AC8" s="20"/>
      <c r="AD8" s="20"/>
      <c r="AE8" s="21">
        <f t="shared" si="3"/>
        <v>0</v>
      </c>
      <c r="AF8" s="13"/>
      <c r="AG8" s="13"/>
      <c r="AH8" s="13"/>
      <c r="AI8" s="13"/>
      <c r="AJ8" s="14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</row>
    <row r="9">
      <c r="A9" s="15"/>
      <c r="B9" s="35"/>
      <c r="C9" s="17"/>
      <c r="D9" s="18"/>
      <c r="E9" s="20"/>
      <c r="F9" s="20"/>
      <c r="G9" s="21">
        <f t="shared" ref="G9:G27" si="8">SUM(B9)-(B9*15%)+(C9)-(C9*18%)+(D9)+(E9)-(E9*0.95%)+(F9)-(F9*28%)</f>
        <v>0</v>
      </c>
      <c r="H9" s="13"/>
      <c r="I9" s="13"/>
      <c r="J9" s="13"/>
      <c r="K9" s="13"/>
      <c r="L9" s="14"/>
      <c r="M9" s="38"/>
      <c r="N9" s="32"/>
      <c r="O9" s="25"/>
      <c r="P9" s="33"/>
      <c r="Q9" s="20"/>
      <c r="R9" s="20"/>
      <c r="S9" s="21">
        <f t="shared" si="2"/>
        <v>0</v>
      </c>
      <c r="T9" s="13"/>
      <c r="U9" s="13"/>
      <c r="V9" s="13"/>
      <c r="W9" s="13"/>
      <c r="X9" s="14"/>
      <c r="Y9" s="38"/>
      <c r="Z9" s="39"/>
      <c r="AA9" s="17"/>
      <c r="AB9" s="18"/>
      <c r="AC9" s="20"/>
      <c r="AD9" s="20"/>
      <c r="AE9" s="21">
        <f t="shared" si="3"/>
        <v>0</v>
      </c>
      <c r="AF9" s="13"/>
      <c r="AG9" s="13"/>
      <c r="AH9" s="13"/>
      <c r="AI9" s="13"/>
      <c r="AJ9" s="14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</row>
    <row r="10">
      <c r="A10" s="15"/>
      <c r="B10" s="35"/>
      <c r="C10" s="17"/>
      <c r="D10" s="18"/>
      <c r="E10" s="20"/>
      <c r="F10" s="20"/>
      <c r="G10" s="21">
        <f t="shared" si="8"/>
        <v>0</v>
      </c>
      <c r="H10" s="13"/>
      <c r="I10" s="13"/>
      <c r="J10" s="13"/>
      <c r="K10" s="13"/>
      <c r="L10" s="14"/>
      <c r="M10" s="38"/>
      <c r="N10" s="32"/>
      <c r="O10" s="25"/>
      <c r="P10" s="33"/>
      <c r="Q10" s="20"/>
      <c r="R10" s="20"/>
      <c r="S10" s="21">
        <f t="shared" si="2"/>
        <v>0</v>
      </c>
      <c r="T10" s="13"/>
      <c r="U10" s="13"/>
      <c r="V10" s="13"/>
      <c r="W10" s="13"/>
      <c r="X10" s="14"/>
      <c r="Y10" s="38"/>
      <c r="Z10" s="27"/>
      <c r="AA10" s="17"/>
      <c r="AB10" s="40"/>
      <c r="AC10" s="20"/>
      <c r="AD10" s="20"/>
      <c r="AE10" s="21">
        <f t="shared" si="3"/>
        <v>0</v>
      </c>
      <c r="AF10" s="13"/>
      <c r="AG10" s="13"/>
      <c r="AH10" s="13"/>
      <c r="AI10" s="13"/>
      <c r="AJ10" s="14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</row>
    <row r="11">
      <c r="A11" s="15"/>
      <c r="B11" s="35"/>
      <c r="C11" s="17"/>
      <c r="D11" s="18"/>
      <c r="E11" s="20"/>
      <c r="F11" s="20"/>
      <c r="G11" s="21">
        <f t="shared" si="8"/>
        <v>0</v>
      </c>
      <c r="H11" s="13">
        <f>AG4+I4+U4</f>
        <v>9722385</v>
      </c>
      <c r="I11" s="13"/>
      <c r="J11" s="13"/>
      <c r="K11" s="13"/>
      <c r="L11" s="14"/>
      <c r="M11" s="38"/>
      <c r="N11" s="37"/>
      <c r="O11" s="25"/>
      <c r="P11" s="41"/>
      <c r="Q11" s="20"/>
      <c r="R11" s="20"/>
      <c r="S11" s="21">
        <f t="shared" si="2"/>
        <v>0</v>
      </c>
      <c r="T11" s="13"/>
      <c r="U11" s="13"/>
      <c r="V11" s="13"/>
      <c r="W11" s="13"/>
      <c r="X11" s="14"/>
      <c r="Y11" s="38"/>
      <c r="Z11" s="27"/>
      <c r="AA11" s="17"/>
      <c r="AB11" s="42"/>
      <c r="AC11" s="20"/>
      <c r="AD11" s="20"/>
      <c r="AE11" s="21">
        <f t="shared" si="3"/>
        <v>0</v>
      </c>
      <c r="AF11" s="13"/>
      <c r="AG11" s="13"/>
      <c r="AH11" s="13"/>
      <c r="AI11" s="13"/>
      <c r="AJ11" s="14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</row>
    <row r="12">
      <c r="A12" s="15"/>
      <c r="B12" s="16"/>
      <c r="C12" s="43"/>
      <c r="D12" s="28"/>
      <c r="E12" s="30"/>
      <c r="F12" s="30"/>
      <c r="G12" s="21">
        <f t="shared" si="8"/>
        <v>0</v>
      </c>
      <c r="H12" s="13">
        <f>H4+T4+AF4</f>
        <v>11820000</v>
      </c>
      <c r="I12" s="13"/>
      <c r="J12" s="13"/>
      <c r="K12" s="13"/>
      <c r="L12" s="14"/>
      <c r="M12" s="38"/>
      <c r="N12" s="24"/>
      <c r="O12" s="25"/>
      <c r="P12" s="41"/>
      <c r="Q12" s="30"/>
      <c r="R12" s="30"/>
      <c r="S12" s="21">
        <f t="shared" si="2"/>
        <v>0</v>
      </c>
      <c r="T12" s="13"/>
      <c r="U12" s="13"/>
      <c r="V12" s="13"/>
      <c r="W12" s="13"/>
      <c r="X12" s="14"/>
      <c r="Y12" s="38"/>
      <c r="Z12" s="26"/>
      <c r="AA12" s="44"/>
      <c r="AB12" s="42"/>
      <c r="AC12" s="30"/>
      <c r="AD12" s="30"/>
      <c r="AE12" s="21">
        <f t="shared" si="3"/>
        <v>0</v>
      </c>
      <c r="AF12" s="13"/>
      <c r="AG12" s="13"/>
      <c r="AH12" s="13"/>
      <c r="AI12" s="13"/>
      <c r="AJ12" s="14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</row>
    <row r="13">
      <c r="A13" s="15"/>
      <c r="B13" s="35"/>
      <c r="C13" s="17"/>
      <c r="D13" s="18"/>
      <c r="E13" s="20"/>
      <c r="F13" s="20"/>
      <c r="G13" s="21">
        <f t="shared" si="8"/>
        <v>0</v>
      </c>
      <c r="H13" s="13"/>
      <c r="I13" s="13"/>
      <c r="J13" s="13"/>
      <c r="K13" s="13"/>
      <c r="L13" s="14"/>
      <c r="M13" s="38"/>
      <c r="N13" s="37"/>
      <c r="O13" s="25"/>
      <c r="P13" s="41"/>
      <c r="Q13" s="20"/>
      <c r="R13" s="20"/>
      <c r="S13" s="21">
        <f t="shared" si="2"/>
        <v>0</v>
      </c>
      <c r="T13" s="13"/>
      <c r="U13" s="13"/>
      <c r="V13" s="13"/>
      <c r="W13" s="13"/>
      <c r="X13" s="14"/>
      <c r="Y13" s="38"/>
      <c r="Z13" s="45"/>
      <c r="AA13" s="17"/>
      <c r="AB13" s="18"/>
      <c r="AC13" s="20"/>
      <c r="AD13" s="20"/>
      <c r="AE13" s="21">
        <f t="shared" si="3"/>
        <v>0</v>
      </c>
      <c r="AF13" s="13"/>
      <c r="AG13" s="13"/>
      <c r="AH13" s="13"/>
      <c r="AI13" s="13"/>
      <c r="AJ13" s="14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</row>
    <row r="14">
      <c r="A14" s="15"/>
      <c r="B14" s="24"/>
      <c r="C14" s="25"/>
      <c r="D14" s="33"/>
      <c r="E14" s="46"/>
      <c r="F14" s="46"/>
      <c r="G14" s="21">
        <f t="shared" si="8"/>
        <v>0</v>
      </c>
      <c r="H14" s="13"/>
      <c r="I14" s="13"/>
      <c r="J14" s="13"/>
      <c r="K14" s="13"/>
      <c r="L14" s="14"/>
      <c r="M14" s="38"/>
      <c r="N14" s="24"/>
      <c r="O14" s="25"/>
      <c r="P14" s="41"/>
      <c r="Q14" s="46"/>
      <c r="R14" s="46"/>
      <c r="S14" s="21">
        <f t="shared" si="2"/>
        <v>0</v>
      </c>
      <c r="T14" s="13"/>
      <c r="U14" s="13"/>
      <c r="V14" s="13"/>
      <c r="W14" s="13"/>
      <c r="X14" s="14"/>
      <c r="Y14" s="38"/>
      <c r="Z14" s="16"/>
      <c r="AA14" s="17"/>
      <c r="AB14" s="42"/>
      <c r="AC14" s="46"/>
      <c r="AD14" s="46"/>
      <c r="AE14" s="21">
        <f t="shared" si="3"/>
        <v>0</v>
      </c>
      <c r="AF14" s="13"/>
      <c r="AG14" s="13"/>
      <c r="AH14" s="13"/>
      <c r="AI14" s="13"/>
      <c r="AJ14" s="14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</row>
    <row r="15">
      <c r="A15" s="15"/>
      <c r="B15" s="24"/>
      <c r="C15" s="25"/>
      <c r="D15" s="33"/>
      <c r="E15" s="46"/>
      <c r="F15" s="46"/>
      <c r="G15" s="21">
        <f t="shared" si="8"/>
        <v>0</v>
      </c>
      <c r="H15" s="13"/>
      <c r="I15" s="13"/>
      <c r="J15" s="13"/>
      <c r="K15" s="13"/>
      <c r="L15" s="14"/>
      <c r="M15" s="38"/>
      <c r="N15" s="47"/>
      <c r="O15" s="25"/>
      <c r="P15" s="41"/>
      <c r="Q15" s="46"/>
      <c r="R15" s="46"/>
      <c r="S15" s="21">
        <f t="shared" si="2"/>
        <v>0</v>
      </c>
      <c r="T15" s="13"/>
      <c r="U15" s="13"/>
      <c r="V15" s="13"/>
      <c r="W15" s="13"/>
      <c r="X15" s="14"/>
      <c r="Y15" s="38"/>
      <c r="Z15" s="48"/>
      <c r="AA15" s="17"/>
      <c r="AB15" s="18"/>
      <c r="AC15" s="46"/>
      <c r="AD15" s="46"/>
      <c r="AE15" s="21">
        <f t="shared" si="3"/>
        <v>0</v>
      </c>
      <c r="AF15" s="13"/>
      <c r="AG15" s="13"/>
      <c r="AH15" s="13"/>
      <c r="AI15" s="13"/>
      <c r="AJ15" s="14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</row>
    <row r="16">
      <c r="A16" s="15"/>
      <c r="B16" s="37"/>
      <c r="C16" s="25"/>
      <c r="D16" s="33"/>
      <c r="E16" s="46"/>
      <c r="F16" s="46"/>
      <c r="G16" s="21">
        <f t="shared" si="8"/>
        <v>0</v>
      </c>
      <c r="H16" s="13"/>
      <c r="I16" s="13"/>
      <c r="J16" s="13"/>
      <c r="K16" s="13"/>
      <c r="L16" s="14"/>
      <c r="M16" s="38"/>
      <c r="N16" s="32"/>
      <c r="O16" s="25"/>
      <c r="P16" s="41"/>
      <c r="Q16" s="46"/>
      <c r="R16" s="46"/>
      <c r="S16" s="21">
        <f t="shared" si="2"/>
        <v>0</v>
      </c>
      <c r="T16" s="13"/>
      <c r="U16" s="13"/>
      <c r="V16" s="13"/>
      <c r="W16" s="13"/>
      <c r="X16" s="14"/>
      <c r="Y16" s="38"/>
      <c r="Z16" s="27"/>
      <c r="AA16" s="17"/>
      <c r="AB16" s="42"/>
      <c r="AC16" s="46"/>
      <c r="AD16" s="46"/>
      <c r="AE16" s="21">
        <f t="shared" si="3"/>
        <v>0</v>
      </c>
      <c r="AF16" s="13"/>
      <c r="AG16" s="13"/>
      <c r="AH16" s="13"/>
      <c r="AI16" s="13"/>
      <c r="AJ16" s="14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</row>
    <row r="17">
      <c r="A17" s="15"/>
      <c r="B17" s="24"/>
      <c r="C17" s="25"/>
      <c r="D17" s="33"/>
      <c r="E17" s="46"/>
      <c r="F17" s="46"/>
      <c r="G17" s="21">
        <f t="shared" si="8"/>
        <v>0</v>
      </c>
      <c r="H17" s="13"/>
      <c r="I17" s="13"/>
      <c r="J17" s="13"/>
      <c r="K17" s="13"/>
      <c r="L17" s="14"/>
      <c r="M17" s="38"/>
      <c r="N17" s="47"/>
      <c r="O17" s="25"/>
      <c r="P17" s="41"/>
      <c r="Q17" s="46"/>
      <c r="R17" s="46"/>
      <c r="S17" s="21">
        <f t="shared" si="2"/>
        <v>0</v>
      </c>
      <c r="T17" s="13"/>
      <c r="U17" s="13"/>
      <c r="V17" s="13"/>
      <c r="W17" s="13"/>
      <c r="X17" s="14"/>
      <c r="Y17" s="38"/>
      <c r="Z17" s="47"/>
      <c r="AA17" s="25"/>
      <c r="AB17" s="41"/>
      <c r="AC17" s="46"/>
      <c r="AD17" s="46"/>
      <c r="AE17" s="21">
        <f t="shared" si="3"/>
        <v>0</v>
      </c>
      <c r="AF17" s="13"/>
      <c r="AG17" s="13"/>
      <c r="AH17" s="13"/>
      <c r="AI17" s="13"/>
      <c r="AJ17" s="14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</row>
    <row r="18">
      <c r="A18" s="15"/>
      <c r="B18" s="24"/>
      <c r="C18" s="25"/>
      <c r="D18" s="33"/>
      <c r="E18" s="46"/>
      <c r="F18" s="46"/>
      <c r="G18" s="21">
        <f t="shared" si="8"/>
        <v>0</v>
      </c>
      <c r="H18" s="13"/>
      <c r="I18" s="13"/>
      <c r="J18" s="13"/>
      <c r="K18" s="13"/>
      <c r="L18" s="14"/>
      <c r="M18" s="38"/>
      <c r="N18" s="47"/>
      <c r="O18" s="25"/>
      <c r="P18" s="41"/>
      <c r="Q18" s="46"/>
      <c r="R18" s="46"/>
      <c r="S18" s="21">
        <f t="shared" si="2"/>
        <v>0</v>
      </c>
      <c r="T18" s="13"/>
      <c r="U18" s="13"/>
      <c r="V18" s="13"/>
      <c r="W18" s="13"/>
      <c r="X18" s="14"/>
      <c r="Y18" s="38"/>
      <c r="Z18" s="47"/>
      <c r="AA18" s="25"/>
      <c r="AB18" s="41"/>
      <c r="AC18" s="46"/>
      <c r="AD18" s="46"/>
      <c r="AE18" s="21">
        <f t="shared" si="3"/>
        <v>0</v>
      </c>
      <c r="AF18" s="13"/>
      <c r="AG18" s="13"/>
      <c r="AH18" s="13"/>
      <c r="AI18" s="13"/>
      <c r="AJ18" s="14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</row>
    <row r="19">
      <c r="B19" s="24"/>
      <c r="C19" s="25"/>
      <c r="D19" s="33"/>
      <c r="E19" s="46"/>
      <c r="F19" s="46"/>
      <c r="G19" s="21">
        <f t="shared" si="8"/>
        <v>0</v>
      </c>
      <c r="H19" s="13"/>
      <c r="I19" s="13"/>
      <c r="J19" s="13"/>
      <c r="K19" s="13"/>
      <c r="L19" s="14"/>
      <c r="M19" s="38"/>
      <c r="N19" s="47"/>
      <c r="O19" s="25"/>
      <c r="P19" s="41"/>
      <c r="Q19" s="46"/>
      <c r="R19" s="46"/>
      <c r="S19" s="21">
        <f t="shared" si="2"/>
        <v>0</v>
      </c>
      <c r="T19" s="13"/>
      <c r="U19" s="13"/>
      <c r="V19" s="13"/>
      <c r="W19" s="13"/>
      <c r="X19" s="14"/>
      <c r="Y19" s="38"/>
      <c r="Z19" s="47"/>
      <c r="AA19" s="25"/>
      <c r="AB19" s="41"/>
      <c r="AC19" s="46"/>
      <c r="AD19" s="46"/>
      <c r="AE19" s="21">
        <f t="shared" si="3"/>
        <v>0</v>
      </c>
      <c r="AF19" s="13"/>
      <c r="AG19" s="13"/>
      <c r="AH19" s="13"/>
      <c r="AI19" s="13"/>
      <c r="AJ19" s="14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</row>
    <row r="20">
      <c r="A20" s="15"/>
      <c r="B20" s="37"/>
      <c r="C20" s="25"/>
      <c r="D20" s="41"/>
      <c r="E20" s="49"/>
      <c r="F20" s="49"/>
      <c r="G20" s="21">
        <f t="shared" si="8"/>
        <v>0</v>
      </c>
      <c r="H20" s="13"/>
      <c r="I20" s="13"/>
      <c r="J20" s="13"/>
      <c r="K20" s="13"/>
      <c r="L20" s="14"/>
      <c r="M20" s="38"/>
      <c r="N20" s="32"/>
      <c r="O20" s="25"/>
      <c r="P20" s="41"/>
      <c r="Q20" s="49"/>
      <c r="R20" s="49"/>
      <c r="S20" s="21">
        <f t="shared" si="2"/>
        <v>0</v>
      </c>
      <c r="T20" s="13"/>
      <c r="U20" s="13"/>
      <c r="V20" s="13"/>
      <c r="W20" s="13"/>
      <c r="X20" s="14"/>
      <c r="Y20" s="38"/>
      <c r="Z20" s="32"/>
      <c r="AA20" s="25"/>
      <c r="AB20" s="41"/>
      <c r="AC20" s="49"/>
      <c r="AD20" s="49"/>
      <c r="AE20" s="21">
        <f t="shared" si="3"/>
        <v>0</v>
      </c>
      <c r="AF20" s="13"/>
      <c r="AG20" s="13"/>
      <c r="AH20" s="13"/>
      <c r="AI20" s="13"/>
      <c r="AJ20" s="14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</row>
    <row r="21">
      <c r="A21" s="15"/>
      <c r="B21" s="37"/>
      <c r="C21" s="25"/>
      <c r="D21" s="41"/>
      <c r="E21" s="49"/>
      <c r="F21" s="49"/>
      <c r="G21" s="21">
        <f t="shared" si="8"/>
        <v>0</v>
      </c>
      <c r="H21" s="13"/>
      <c r="I21" s="13"/>
      <c r="J21" s="13"/>
      <c r="K21" s="13"/>
      <c r="L21" s="14"/>
      <c r="M21" s="38"/>
      <c r="N21" s="32"/>
      <c r="O21" s="25"/>
      <c r="P21" s="41"/>
      <c r="Q21" s="49"/>
      <c r="R21" s="49"/>
      <c r="S21" s="21">
        <f t="shared" si="2"/>
        <v>0</v>
      </c>
      <c r="T21" s="13"/>
      <c r="U21" s="13"/>
      <c r="V21" s="13"/>
      <c r="W21" s="13"/>
      <c r="X21" s="14"/>
      <c r="Y21" s="38"/>
      <c r="Z21" s="32"/>
      <c r="AA21" s="25"/>
      <c r="AB21" s="41"/>
      <c r="AC21" s="49"/>
      <c r="AD21" s="49"/>
      <c r="AE21" s="21">
        <f t="shared" si="3"/>
        <v>0</v>
      </c>
      <c r="AF21" s="13"/>
      <c r="AG21" s="13"/>
      <c r="AH21" s="13"/>
      <c r="AI21" s="13"/>
      <c r="AJ21" s="14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</row>
    <row r="22">
      <c r="A22" s="15"/>
      <c r="B22" s="37"/>
      <c r="C22" s="25"/>
      <c r="D22" s="41"/>
      <c r="E22" s="49"/>
      <c r="F22" s="49"/>
      <c r="G22" s="21">
        <f t="shared" si="8"/>
        <v>0</v>
      </c>
      <c r="H22" s="13"/>
      <c r="I22" s="13"/>
      <c r="J22" s="13"/>
      <c r="K22" s="13"/>
      <c r="L22" s="14"/>
      <c r="M22" s="38"/>
      <c r="N22" s="32"/>
      <c r="O22" s="25"/>
      <c r="P22" s="41"/>
      <c r="Q22" s="49"/>
      <c r="R22" s="49"/>
      <c r="S22" s="21">
        <f t="shared" si="2"/>
        <v>0</v>
      </c>
      <c r="T22" s="13"/>
      <c r="U22" s="13"/>
      <c r="V22" s="13"/>
      <c r="W22" s="13"/>
      <c r="X22" s="14"/>
      <c r="Y22" s="38"/>
      <c r="Z22" s="32"/>
      <c r="AA22" s="25"/>
      <c r="AB22" s="41"/>
      <c r="AC22" s="49"/>
      <c r="AD22" s="49"/>
      <c r="AE22" s="21">
        <f t="shared" si="3"/>
        <v>0</v>
      </c>
      <c r="AF22" s="13"/>
      <c r="AG22" s="13"/>
      <c r="AH22" s="13"/>
      <c r="AI22" s="13"/>
      <c r="AJ22" s="14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</row>
    <row r="23">
      <c r="A23" s="15"/>
      <c r="B23" s="37"/>
      <c r="C23" s="25"/>
      <c r="D23" s="33"/>
      <c r="E23" s="46"/>
      <c r="F23" s="46"/>
      <c r="G23" s="21">
        <f t="shared" si="8"/>
        <v>0</v>
      </c>
      <c r="H23" s="13"/>
      <c r="I23" s="13"/>
      <c r="J23" s="13"/>
      <c r="K23" s="13"/>
      <c r="L23" s="14"/>
      <c r="M23" s="38"/>
      <c r="N23" s="32"/>
      <c r="O23" s="25"/>
      <c r="P23" s="41"/>
      <c r="Q23" s="46"/>
      <c r="R23" s="46"/>
      <c r="S23" s="21">
        <f t="shared" si="2"/>
        <v>0</v>
      </c>
      <c r="T23" s="13"/>
      <c r="U23" s="13"/>
      <c r="V23" s="13"/>
      <c r="W23" s="13"/>
      <c r="X23" s="14"/>
      <c r="Y23" s="38"/>
      <c r="Z23" s="32"/>
      <c r="AA23" s="25"/>
      <c r="AB23" s="41"/>
      <c r="AC23" s="46"/>
      <c r="AD23" s="46"/>
      <c r="AE23" s="21">
        <f t="shared" si="3"/>
        <v>0</v>
      </c>
      <c r="AF23" s="13"/>
      <c r="AG23" s="13"/>
      <c r="AH23" s="13"/>
      <c r="AI23" s="13"/>
      <c r="AJ23" s="14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</row>
    <row r="24">
      <c r="A24" s="38"/>
      <c r="B24" s="47"/>
      <c r="C24" s="25"/>
      <c r="D24" s="41"/>
      <c r="E24" s="49"/>
      <c r="F24" s="49"/>
      <c r="G24" s="21">
        <f t="shared" si="8"/>
        <v>0</v>
      </c>
      <c r="H24" s="13"/>
      <c r="I24" s="13"/>
      <c r="J24" s="13"/>
      <c r="K24" s="13"/>
      <c r="L24" s="14"/>
      <c r="M24" s="38"/>
      <c r="N24" s="47"/>
      <c r="O24" s="25"/>
      <c r="P24" s="41"/>
      <c r="Q24" s="49"/>
      <c r="R24" s="49"/>
      <c r="S24" s="21">
        <f t="shared" si="2"/>
        <v>0</v>
      </c>
      <c r="T24" s="13"/>
      <c r="U24" s="13"/>
      <c r="V24" s="13"/>
      <c r="W24" s="13"/>
      <c r="X24" s="14"/>
      <c r="Y24" s="38"/>
      <c r="Z24" s="47"/>
      <c r="AA24" s="25"/>
      <c r="AB24" s="41"/>
      <c r="AC24" s="49"/>
      <c r="AD24" s="49"/>
      <c r="AE24" s="21">
        <f t="shared" si="3"/>
        <v>0</v>
      </c>
      <c r="AF24" s="13"/>
      <c r="AG24" s="13"/>
      <c r="AH24" s="13"/>
      <c r="AI24" s="13"/>
      <c r="AJ24" s="14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</row>
    <row r="25">
      <c r="A25" s="38"/>
      <c r="B25" s="32"/>
      <c r="C25" s="25"/>
      <c r="D25" s="41"/>
      <c r="E25" s="49"/>
      <c r="F25" s="49"/>
      <c r="G25" s="21">
        <f t="shared" si="8"/>
        <v>0</v>
      </c>
      <c r="H25" s="13"/>
      <c r="I25" s="13"/>
      <c r="J25" s="13"/>
      <c r="K25" s="13"/>
      <c r="L25" s="14"/>
      <c r="M25" s="38"/>
      <c r="N25" s="32"/>
      <c r="O25" s="25"/>
      <c r="P25" s="41"/>
      <c r="Q25" s="49"/>
      <c r="R25" s="49"/>
      <c r="S25" s="21">
        <f t="shared" si="2"/>
        <v>0</v>
      </c>
      <c r="T25" s="13"/>
      <c r="U25" s="13"/>
      <c r="V25" s="13"/>
      <c r="W25" s="13"/>
      <c r="X25" s="14"/>
      <c r="Y25" s="38"/>
      <c r="Z25" s="32"/>
      <c r="AA25" s="25"/>
      <c r="AB25" s="41"/>
      <c r="AC25" s="49"/>
      <c r="AD25" s="49"/>
      <c r="AE25" s="21">
        <f t="shared" si="3"/>
        <v>0</v>
      </c>
      <c r="AF25" s="13"/>
      <c r="AG25" s="13"/>
      <c r="AH25" s="13"/>
      <c r="AI25" s="13"/>
      <c r="AJ25" s="14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</row>
    <row r="26">
      <c r="A26" s="38"/>
      <c r="B26" s="32"/>
      <c r="C26" s="25"/>
      <c r="D26" s="41"/>
      <c r="E26" s="49"/>
      <c r="F26" s="49"/>
      <c r="G26" s="21">
        <f t="shared" si="8"/>
        <v>0</v>
      </c>
      <c r="H26" s="13"/>
      <c r="I26" s="13"/>
      <c r="J26" s="13"/>
      <c r="K26" s="13"/>
      <c r="L26" s="14"/>
      <c r="M26" s="38"/>
      <c r="N26" s="32"/>
      <c r="O26" s="25"/>
      <c r="P26" s="41"/>
      <c r="Q26" s="49"/>
      <c r="R26" s="49"/>
      <c r="S26" s="21">
        <f t="shared" si="2"/>
        <v>0</v>
      </c>
      <c r="T26" s="13"/>
      <c r="U26" s="13"/>
      <c r="V26" s="13"/>
      <c r="W26" s="13"/>
      <c r="X26" s="14"/>
      <c r="Y26" s="38"/>
      <c r="Z26" s="32"/>
      <c r="AA26" s="25"/>
      <c r="AB26" s="41"/>
      <c r="AC26" s="49"/>
      <c r="AD26" s="49"/>
      <c r="AE26" s="21">
        <f t="shared" si="3"/>
        <v>0</v>
      </c>
      <c r="AF26" s="13"/>
      <c r="AG26" s="13"/>
      <c r="AH26" s="13"/>
      <c r="AI26" s="13"/>
      <c r="AJ26" s="14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</row>
    <row r="27">
      <c r="A27" s="50"/>
      <c r="B27" s="32"/>
      <c r="C27" s="25"/>
      <c r="D27" s="41"/>
      <c r="E27" s="49"/>
      <c r="F27" s="49"/>
      <c r="G27" s="21">
        <f t="shared" si="8"/>
        <v>0</v>
      </c>
      <c r="H27" s="13"/>
      <c r="I27" s="13"/>
      <c r="J27" s="13"/>
      <c r="K27" s="13"/>
      <c r="L27" s="14"/>
      <c r="M27" s="51"/>
      <c r="N27" s="52"/>
      <c r="O27" s="53"/>
      <c r="P27" s="41"/>
      <c r="Q27" s="49"/>
      <c r="R27" s="49"/>
      <c r="S27" s="21">
        <f t="shared" si="2"/>
        <v>0</v>
      </c>
      <c r="T27" s="13"/>
      <c r="U27" s="13"/>
      <c r="V27" s="13"/>
      <c r="W27" s="13"/>
      <c r="X27" s="14"/>
      <c r="Y27" s="51"/>
      <c r="Z27" s="52"/>
      <c r="AA27" s="53"/>
      <c r="AB27" s="41"/>
      <c r="AC27" s="49"/>
      <c r="AD27" s="49"/>
      <c r="AE27" s="21">
        <f t="shared" si="3"/>
        <v>0</v>
      </c>
      <c r="AF27" s="13"/>
      <c r="AG27" s="13"/>
      <c r="AH27" s="13"/>
      <c r="AI27" s="13"/>
      <c r="AJ27" s="14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</row>
    <row r="28">
      <c r="A28" s="1" t="s">
        <v>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1" t="s">
        <v>1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3"/>
      <c r="Y28" s="1" t="s">
        <v>2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3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</row>
    <row r="29">
      <c r="A29" s="5" t="s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5" t="s">
        <v>27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5" t="s">
        <v>27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</row>
    <row r="30">
      <c r="A30" s="7" t="s">
        <v>5</v>
      </c>
      <c r="B30" s="8" t="s">
        <v>6</v>
      </c>
      <c r="C30" s="9" t="s">
        <v>7</v>
      </c>
      <c r="D30" s="10" t="s">
        <v>8</v>
      </c>
      <c r="E30" s="11" t="s">
        <v>9</v>
      </c>
      <c r="F30" s="11" t="s">
        <v>10</v>
      </c>
      <c r="G30" s="12" t="s">
        <v>11</v>
      </c>
      <c r="H30" s="12" t="s">
        <v>12</v>
      </c>
      <c r="I30" s="12" t="s">
        <v>13</v>
      </c>
      <c r="J30" s="13" t="s">
        <v>14</v>
      </c>
      <c r="K30" s="13" t="s">
        <v>15</v>
      </c>
      <c r="L30" s="14" t="s">
        <v>16</v>
      </c>
      <c r="M30" s="7" t="s">
        <v>5</v>
      </c>
      <c r="N30" s="8" t="s">
        <v>6</v>
      </c>
      <c r="O30" s="9" t="s">
        <v>7</v>
      </c>
      <c r="P30" s="10" t="s">
        <v>8</v>
      </c>
      <c r="Q30" s="11" t="s">
        <v>9</v>
      </c>
      <c r="R30" s="11" t="s">
        <v>10</v>
      </c>
      <c r="S30" s="12" t="s">
        <v>11</v>
      </c>
      <c r="T30" s="12" t="s">
        <v>12</v>
      </c>
      <c r="U30" s="12" t="s">
        <v>13</v>
      </c>
      <c r="V30" s="13" t="s">
        <v>14</v>
      </c>
      <c r="W30" s="13" t="s">
        <v>15</v>
      </c>
      <c r="X30" s="14" t="s">
        <v>16</v>
      </c>
      <c r="Y30" s="7" t="s">
        <v>5</v>
      </c>
      <c r="Z30" s="8" t="s">
        <v>6</v>
      </c>
      <c r="AA30" s="9" t="s">
        <v>7</v>
      </c>
      <c r="AB30" s="10" t="s">
        <v>8</v>
      </c>
      <c r="AC30" s="11" t="s">
        <v>9</v>
      </c>
      <c r="AD30" s="11" t="s">
        <v>10</v>
      </c>
      <c r="AE30" s="12" t="s">
        <v>11</v>
      </c>
      <c r="AF30" s="12" t="s">
        <v>12</v>
      </c>
      <c r="AG30" s="12" t="s">
        <v>13</v>
      </c>
      <c r="AH30" s="13" t="s">
        <v>14</v>
      </c>
      <c r="AI30" s="13" t="s">
        <v>15</v>
      </c>
      <c r="AJ30" s="14" t="s">
        <v>16</v>
      </c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</row>
    <row r="31">
      <c r="A31" s="15" t="s">
        <v>28</v>
      </c>
      <c r="B31" s="54"/>
      <c r="C31" s="55"/>
      <c r="D31" s="56"/>
      <c r="E31" s="57">
        <v>200000.0</v>
      </c>
      <c r="F31" s="57"/>
      <c r="G31" s="21">
        <f t="shared" ref="G31:G54" si="9">SUM(B31)-(B31*15%)+(C31)-(C31*18%)+(D31)+(E31)-(E31*0.95%)+(F31)-(F31*15.5%)</f>
        <v>198100</v>
      </c>
      <c r="H31" s="22">
        <f>SUM(B31:F54)</f>
        <v>3790000</v>
      </c>
      <c r="I31" s="21">
        <f>SUM(G31:G54)</f>
        <v>3529195</v>
      </c>
      <c r="J31" s="21">
        <f>SUM(I31)-(I31*97%)</f>
        <v>105875.85</v>
      </c>
      <c r="K31" s="21">
        <f>SUM(I31)-(I31*95%)</f>
        <v>176459.75</v>
      </c>
      <c r="L31" s="23">
        <f>SUM(I31)-(I31*93%)</f>
        <v>247043.65</v>
      </c>
      <c r="M31" s="38"/>
      <c r="N31" s="8">
        <v>1000000.0</v>
      </c>
      <c r="O31" s="58"/>
      <c r="P31" s="59"/>
      <c r="Q31" s="57">
        <v>600000.0</v>
      </c>
      <c r="R31" s="57"/>
      <c r="S31" s="21">
        <f t="shared" ref="S31:S54" si="10">SUM(N31)-(N31*15%)+(O31)-(O31*18%)+(P31)+(Q31)-(Q31*0.95%)+(R31)-(R31*15.5%)</f>
        <v>1444300</v>
      </c>
      <c r="T31" s="22">
        <f>SUM(N31:R54)</f>
        <v>5200000</v>
      </c>
      <c r="U31" s="21">
        <f>SUM(S31:S54)</f>
        <v>4496482.5</v>
      </c>
      <c r="V31" s="21">
        <f>SUM(U31)-(U31*97%)</f>
        <v>134894.475</v>
      </c>
      <c r="W31" s="21">
        <f>SUM(U31)-(U31*95%)</f>
        <v>224824.125</v>
      </c>
      <c r="X31" s="23">
        <f>SUM(U31)-(U31*93%)</f>
        <v>314753.775</v>
      </c>
      <c r="Y31" s="60">
        <v>45475.0</v>
      </c>
      <c r="Z31" s="61"/>
      <c r="AA31" s="62"/>
      <c r="AB31" s="63"/>
      <c r="AC31" s="64">
        <v>90000.0</v>
      </c>
      <c r="AD31" s="57"/>
      <c r="AE31" s="21">
        <f t="shared" ref="AE31:AE54" si="11">SUM(Z31)-(Z31*15%)+(AA31)-(AA31*18%)+(AB31)+(AC31)-(AC31*0.95%)+(AD31)-(AD31*15.5%)</f>
        <v>89145</v>
      </c>
      <c r="AF31" s="22">
        <f>SUM(Z31:AD54)</f>
        <v>7210000</v>
      </c>
      <c r="AG31" s="21">
        <f>SUM(AE31:AE54)</f>
        <v>6402905</v>
      </c>
      <c r="AH31" s="21">
        <f>SUM(AG31)-(AG31*97%)</f>
        <v>192087.15</v>
      </c>
      <c r="AI31" s="21">
        <f>SUM(AG31)-(AG31*95%)</f>
        <v>320145.25</v>
      </c>
      <c r="AJ31" s="23">
        <f>SUM(AG31)-(AG31*93%)</f>
        <v>448203.35</v>
      </c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</row>
    <row r="32">
      <c r="A32" s="60">
        <v>45482.0</v>
      </c>
      <c r="B32" s="65"/>
      <c r="C32" s="62"/>
      <c r="D32" s="66"/>
      <c r="E32" s="64">
        <v>600000.0</v>
      </c>
      <c r="F32" s="64"/>
      <c r="G32" s="21">
        <f t="shared" si="9"/>
        <v>594300</v>
      </c>
      <c r="H32" s="31" t="s">
        <v>20</v>
      </c>
      <c r="I32" s="13"/>
      <c r="J32" s="67" t="s">
        <v>29</v>
      </c>
      <c r="K32" s="67" t="s">
        <v>30</v>
      </c>
      <c r="L32" s="68" t="s">
        <v>31</v>
      </c>
      <c r="M32" s="38"/>
      <c r="N32" s="69">
        <v>1600000.0</v>
      </c>
      <c r="O32" s="58"/>
      <c r="P32" s="70"/>
      <c r="Q32" s="64"/>
      <c r="R32" s="64"/>
      <c r="S32" s="21">
        <f t="shared" si="10"/>
        <v>1360000</v>
      </c>
      <c r="T32" s="31" t="s">
        <v>20</v>
      </c>
      <c r="U32" s="13"/>
      <c r="V32" s="67" t="s">
        <v>29</v>
      </c>
      <c r="W32" s="67" t="s">
        <v>30</v>
      </c>
      <c r="X32" s="68" t="s">
        <v>31</v>
      </c>
      <c r="Y32" s="60">
        <v>45480.0</v>
      </c>
      <c r="Z32" s="71"/>
      <c r="AA32" s="62"/>
      <c r="AB32" s="59"/>
      <c r="AC32" s="57">
        <v>120000.0</v>
      </c>
      <c r="AD32" s="64"/>
      <c r="AE32" s="21">
        <f t="shared" si="11"/>
        <v>118860</v>
      </c>
      <c r="AF32" s="31" t="s">
        <v>20</v>
      </c>
      <c r="AG32" s="13"/>
      <c r="AH32" s="67" t="s">
        <v>29</v>
      </c>
      <c r="AI32" s="67" t="s">
        <v>30</v>
      </c>
      <c r="AJ32" s="68" t="s">
        <v>31</v>
      </c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</row>
    <row r="33">
      <c r="A33" s="60">
        <v>45489.0</v>
      </c>
      <c r="B33" s="65">
        <v>1600000.0</v>
      </c>
      <c r="C33" s="62"/>
      <c r="D33" s="63"/>
      <c r="E33" s="64"/>
      <c r="F33" s="57"/>
      <c r="G33" s="21">
        <f t="shared" si="9"/>
        <v>1360000</v>
      </c>
      <c r="H33" s="36"/>
      <c r="I33" s="13"/>
      <c r="J33" s="21">
        <f t="shared" ref="J33:L33" si="12">SUM(J31)-(J31*10%)</f>
        <v>95288.265</v>
      </c>
      <c r="K33" s="21">
        <f t="shared" si="12"/>
        <v>158813.775</v>
      </c>
      <c r="L33" s="23">
        <f t="shared" si="12"/>
        <v>222339.285</v>
      </c>
      <c r="M33" s="60">
        <v>45492.0</v>
      </c>
      <c r="N33" s="72"/>
      <c r="O33" s="58"/>
      <c r="P33" s="70"/>
      <c r="Q33" s="57">
        <v>15000.0</v>
      </c>
      <c r="R33" s="57">
        <v>1985000.0</v>
      </c>
      <c r="S33" s="21">
        <f t="shared" si="10"/>
        <v>1692182.5</v>
      </c>
      <c r="T33" s="36"/>
      <c r="U33" s="13"/>
      <c r="V33" s="23">
        <f t="shared" ref="V33:X33" si="13">SUM(V31)-(V31*10%)</f>
        <v>121405.0275</v>
      </c>
      <c r="W33" s="23">
        <f t="shared" si="13"/>
        <v>202341.7125</v>
      </c>
      <c r="X33" s="23">
        <f t="shared" si="13"/>
        <v>283278.3975</v>
      </c>
      <c r="Y33" s="60">
        <v>45483.0</v>
      </c>
      <c r="Z33" s="73">
        <v>1600000.0</v>
      </c>
      <c r="AA33" s="62"/>
      <c r="AB33" s="59"/>
      <c r="AC33" s="57"/>
      <c r="AD33" s="57"/>
      <c r="AE33" s="21">
        <f t="shared" si="11"/>
        <v>1360000</v>
      </c>
      <c r="AF33" s="36"/>
      <c r="AG33" s="13"/>
      <c r="AH33" s="23">
        <f t="shared" ref="AH33:AJ33" si="14">SUM(AH31)-(AH31*10%)</f>
        <v>172878.435</v>
      </c>
      <c r="AI33" s="23">
        <f t="shared" si="14"/>
        <v>288130.725</v>
      </c>
      <c r="AJ33" s="23">
        <f t="shared" si="14"/>
        <v>403383.015</v>
      </c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</row>
    <row r="34">
      <c r="A34" s="60">
        <v>45489.0</v>
      </c>
      <c r="B34" s="71"/>
      <c r="C34" s="62"/>
      <c r="D34" s="59"/>
      <c r="E34" s="57">
        <v>1390000.0</v>
      </c>
      <c r="F34" s="57"/>
      <c r="G34" s="21">
        <f t="shared" si="9"/>
        <v>1376795</v>
      </c>
      <c r="H34" s="13"/>
      <c r="I34" s="13"/>
      <c r="J34" s="13"/>
      <c r="K34" s="13"/>
      <c r="L34" s="14"/>
      <c r="M34" s="38"/>
      <c r="N34" s="72"/>
      <c r="O34" s="58"/>
      <c r="P34" s="70"/>
      <c r="Q34" s="57"/>
      <c r="R34" s="57"/>
      <c r="S34" s="21">
        <f t="shared" si="10"/>
        <v>0</v>
      </c>
      <c r="T34" s="13"/>
      <c r="U34" s="13"/>
      <c r="V34" s="13"/>
      <c r="W34" s="13"/>
      <c r="X34" s="14"/>
      <c r="Y34" s="60">
        <v>45488.0</v>
      </c>
      <c r="Z34" s="71"/>
      <c r="AA34" s="62"/>
      <c r="AB34" s="59"/>
      <c r="AC34" s="57">
        <v>1600000.0</v>
      </c>
      <c r="AD34" s="57"/>
      <c r="AE34" s="21">
        <f t="shared" si="11"/>
        <v>1584800</v>
      </c>
      <c r="AF34" s="13"/>
      <c r="AG34" s="13"/>
      <c r="AH34" s="13"/>
      <c r="AI34" s="13"/>
      <c r="AJ34" s="14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</row>
    <row r="35">
      <c r="A35" s="38"/>
      <c r="B35" s="71"/>
      <c r="C35" s="62"/>
      <c r="D35" s="59"/>
      <c r="E35" s="57"/>
      <c r="F35" s="57"/>
      <c r="G35" s="21">
        <f t="shared" si="9"/>
        <v>0</v>
      </c>
      <c r="H35" s="13"/>
      <c r="I35" s="74"/>
      <c r="J35" s="13"/>
      <c r="K35" s="13"/>
      <c r="L35" s="14"/>
      <c r="M35" s="38"/>
      <c r="N35" s="72"/>
      <c r="O35" s="58"/>
      <c r="P35" s="70"/>
      <c r="Q35" s="57"/>
      <c r="R35" s="57"/>
      <c r="S35" s="21">
        <f t="shared" si="10"/>
        <v>0</v>
      </c>
      <c r="T35" s="13"/>
      <c r="U35" s="13"/>
      <c r="V35" s="13"/>
      <c r="W35" s="13"/>
      <c r="X35" s="14"/>
      <c r="Y35" s="60">
        <v>45491.0</v>
      </c>
      <c r="Z35" s="61"/>
      <c r="AA35" s="62"/>
      <c r="AB35" s="59"/>
      <c r="AC35" s="57"/>
      <c r="AD35" s="57">
        <v>1600000.0</v>
      </c>
      <c r="AE35" s="21">
        <f t="shared" si="11"/>
        <v>1352000</v>
      </c>
      <c r="AF35" s="13"/>
      <c r="AG35" s="13"/>
      <c r="AH35" s="13"/>
      <c r="AI35" s="13"/>
      <c r="AJ35" s="14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</row>
    <row r="36">
      <c r="A36" s="38"/>
      <c r="B36" s="71"/>
      <c r="C36" s="62"/>
      <c r="D36" s="59"/>
      <c r="E36" s="57"/>
      <c r="F36" s="57"/>
      <c r="G36" s="21">
        <f t="shared" si="9"/>
        <v>0</v>
      </c>
      <c r="H36" s="13"/>
      <c r="I36" s="13"/>
      <c r="J36" s="13"/>
      <c r="K36" s="13"/>
      <c r="L36" s="14"/>
      <c r="M36" s="38"/>
      <c r="N36" s="72"/>
      <c r="O36" s="58"/>
      <c r="P36" s="70"/>
      <c r="Q36" s="57"/>
      <c r="R36" s="57"/>
      <c r="S36" s="21">
        <f t="shared" si="10"/>
        <v>0</v>
      </c>
      <c r="T36" s="13"/>
      <c r="U36" s="13"/>
      <c r="V36" s="13"/>
      <c r="W36" s="13"/>
      <c r="X36" s="14"/>
      <c r="Y36" s="60">
        <v>45495.0</v>
      </c>
      <c r="Z36" s="71"/>
      <c r="AA36" s="62"/>
      <c r="AB36" s="59"/>
      <c r="AC36" s="57">
        <v>200000.0</v>
      </c>
      <c r="AD36" s="57"/>
      <c r="AE36" s="21">
        <f t="shared" si="11"/>
        <v>198100</v>
      </c>
      <c r="AF36" s="13"/>
      <c r="AG36" s="13"/>
      <c r="AH36" s="13"/>
      <c r="AI36" s="13"/>
      <c r="AJ36" s="14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</row>
    <row r="37">
      <c r="A37" s="38"/>
      <c r="B37" s="75"/>
      <c r="C37" s="62"/>
      <c r="D37" s="59"/>
      <c r="E37" s="57"/>
      <c r="F37" s="57"/>
      <c r="G37" s="21">
        <f t="shared" si="9"/>
        <v>0</v>
      </c>
      <c r="H37" s="13"/>
      <c r="I37" s="13"/>
      <c r="J37" s="13"/>
      <c r="K37" s="13"/>
      <c r="L37" s="14"/>
      <c r="M37" s="38"/>
      <c r="N37" s="72"/>
      <c r="O37" s="58"/>
      <c r="P37" s="70"/>
      <c r="Q37" s="57"/>
      <c r="R37" s="57"/>
      <c r="S37" s="21">
        <f t="shared" si="10"/>
        <v>0</v>
      </c>
      <c r="T37" s="13"/>
      <c r="U37" s="13"/>
      <c r="V37" s="13"/>
      <c r="W37" s="13"/>
      <c r="X37" s="14"/>
      <c r="Y37" s="60">
        <v>45500.0</v>
      </c>
      <c r="Z37" s="61">
        <v>2000000.0</v>
      </c>
      <c r="AA37" s="62"/>
      <c r="AB37" s="63"/>
      <c r="AC37" s="57"/>
      <c r="AD37" s="57"/>
      <c r="AE37" s="21">
        <f t="shared" si="11"/>
        <v>1700000</v>
      </c>
      <c r="AF37" s="13"/>
      <c r="AG37" s="13"/>
      <c r="AH37" s="13"/>
      <c r="AI37" s="13"/>
      <c r="AJ37" s="14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</row>
    <row r="38">
      <c r="A38" s="38"/>
      <c r="B38" s="76"/>
      <c r="C38" s="62"/>
      <c r="D38" s="59"/>
      <c r="E38" s="57"/>
      <c r="F38" s="57"/>
      <c r="G38" s="21">
        <f t="shared" si="9"/>
        <v>0</v>
      </c>
      <c r="H38" s="13">
        <f>AG31+I31+U31</f>
        <v>14428582.5</v>
      </c>
      <c r="I38" s="13"/>
      <c r="J38" s="13"/>
      <c r="K38" s="13"/>
      <c r="L38" s="14"/>
      <c r="M38" s="38"/>
      <c r="N38" s="69"/>
      <c r="O38" s="58"/>
      <c r="P38" s="77"/>
      <c r="Q38" s="57"/>
      <c r="R38" s="57"/>
      <c r="S38" s="21">
        <f t="shared" si="10"/>
        <v>0</v>
      </c>
      <c r="T38" s="13"/>
      <c r="U38" s="13"/>
      <c r="V38" s="13"/>
      <c r="W38" s="13"/>
      <c r="X38" s="14"/>
      <c r="Y38" s="38"/>
      <c r="Z38" s="61"/>
      <c r="AA38" s="62"/>
      <c r="AB38" s="78"/>
      <c r="AC38" s="57"/>
      <c r="AD38" s="57"/>
      <c r="AE38" s="21">
        <f t="shared" si="11"/>
        <v>0</v>
      </c>
      <c r="AF38" s="13"/>
      <c r="AG38" s="13"/>
      <c r="AH38" s="13"/>
      <c r="AI38" s="13"/>
      <c r="AJ38" s="14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</row>
    <row r="39">
      <c r="A39" s="38"/>
      <c r="B39" s="61"/>
      <c r="C39" s="62"/>
      <c r="D39" s="78"/>
      <c r="E39" s="64"/>
      <c r="F39" s="64"/>
      <c r="G39" s="21">
        <f t="shared" si="9"/>
        <v>0</v>
      </c>
      <c r="H39" s="13"/>
      <c r="I39" s="13"/>
      <c r="J39" s="13"/>
      <c r="K39" s="13"/>
      <c r="L39" s="14"/>
      <c r="M39" s="38"/>
      <c r="N39" s="8"/>
      <c r="O39" s="58"/>
      <c r="P39" s="77"/>
      <c r="Q39" s="64"/>
      <c r="R39" s="64"/>
      <c r="S39" s="21">
        <f t="shared" si="10"/>
        <v>0</v>
      </c>
      <c r="T39" s="13"/>
      <c r="U39" s="13"/>
      <c r="V39" s="13"/>
      <c r="W39" s="13"/>
      <c r="X39" s="14"/>
      <c r="Y39" s="38"/>
      <c r="Z39" s="79"/>
      <c r="AA39" s="80"/>
      <c r="AB39" s="78"/>
      <c r="AC39" s="64"/>
      <c r="AD39" s="64"/>
      <c r="AE39" s="21">
        <f t="shared" si="11"/>
        <v>0</v>
      </c>
      <c r="AF39" s="13"/>
      <c r="AG39" s="13"/>
      <c r="AH39" s="13"/>
      <c r="AI39" s="13"/>
      <c r="AJ39" s="14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</row>
    <row r="40">
      <c r="A40" s="38"/>
      <c r="B40" s="76"/>
      <c r="C40" s="62"/>
      <c r="D40" s="59"/>
      <c r="E40" s="57"/>
      <c r="F40" s="57"/>
      <c r="G40" s="21">
        <f t="shared" si="9"/>
        <v>0</v>
      </c>
      <c r="H40" s="13"/>
      <c r="I40" s="13"/>
      <c r="J40" s="13"/>
      <c r="K40" s="13"/>
      <c r="L40" s="14"/>
      <c r="M40" s="38"/>
      <c r="N40" s="69"/>
      <c r="O40" s="58"/>
      <c r="P40" s="77"/>
      <c r="Q40" s="57"/>
      <c r="R40" s="57"/>
      <c r="S40" s="21">
        <f t="shared" si="10"/>
        <v>0</v>
      </c>
      <c r="T40" s="13"/>
      <c r="U40" s="13"/>
      <c r="V40" s="13"/>
      <c r="W40" s="13"/>
      <c r="X40" s="14"/>
      <c r="Y40" s="38"/>
      <c r="Z40" s="76"/>
      <c r="AA40" s="62"/>
      <c r="AB40" s="59"/>
      <c r="AC40" s="57"/>
      <c r="AD40" s="57"/>
      <c r="AE40" s="21">
        <f t="shared" si="11"/>
        <v>0</v>
      </c>
      <c r="AF40" s="13"/>
      <c r="AG40" s="13"/>
      <c r="AH40" s="13"/>
      <c r="AI40" s="13"/>
      <c r="AJ40" s="14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</row>
    <row r="41">
      <c r="A41" s="38"/>
      <c r="B41" s="79"/>
      <c r="C41" s="62"/>
      <c r="D41" s="78"/>
      <c r="E41" s="81"/>
      <c r="F41" s="81"/>
      <c r="G41" s="21">
        <f t="shared" si="9"/>
        <v>0</v>
      </c>
      <c r="H41" s="13"/>
      <c r="I41" s="13"/>
      <c r="J41" s="13"/>
      <c r="K41" s="13"/>
      <c r="L41" s="14"/>
      <c r="M41" s="38"/>
      <c r="N41" s="8"/>
      <c r="O41" s="58"/>
      <c r="P41" s="77"/>
      <c r="Q41" s="81"/>
      <c r="R41" s="81"/>
      <c r="S41" s="21">
        <f t="shared" si="10"/>
        <v>0</v>
      </c>
      <c r="T41" s="13"/>
      <c r="U41" s="13"/>
      <c r="V41" s="13"/>
      <c r="W41" s="13"/>
      <c r="X41" s="14"/>
      <c r="Y41" s="38"/>
      <c r="Z41" s="65"/>
      <c r="AA41" s="62"/>
      <c r="AB41" s="78"/>
      <c r="AC41" s="81"/>
      <c r="AD41" s="81"/>
      <c r="AE41" s="21">
        <f t="shared" si="11"/>
        <v>0</v>
      </c>
      <c r="AF41" s="13"/>
      <c r="AG41" s="13"/>
      <c r="AH41" s="13"/>
      <c r="AI41" s="13"/>
      <c r="AJ41" s="14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</row>
    <row r="42">
      <c r="A42" s="38"/>
      <c r="B42" s="75"/>
      <c r="C42" s="62"/>
      <c r="D42" s="78"/>
      <c r="E42" s="81"/>
      <c r="F42" s="81"/>
      <c r="G42" s="21">
        <f t="shared" si="9"/>
        <v>0</v>
      </c>
      <c r="H42" s="13">
        <f>H31+T31+AF31</f>
        <v>16200000</v>
      </c>
      <c r="I42" s="13"/>
      <c r="J42" s="13"/>
      <c r="K42" s="13"/>
      <c r="L42" s="14"/>
      <c r="M42" s="38"/>
      <c r="N42" s="82"/>
      <c r="O42" s="58"/>
      <c r="P42" s="77"/>
      <c r="Q42" s="81"/>
      <c r="R42" s="81"/>
      <c r="S42" s="21">
        <f t="shared" si="10"/>
        <v>0</v>
      </c>
      <c r="T42" s="13"/>
      <c r="U42" s="13"/>
      <c r="V42" s="13"/>
      <c r="W42" s="13"/>
      <c r="X42" s="14"/>
      <c r="Y42" s="38"/>
      <c r="Z42" s="75"/>
      <c r="AA42" s="62"/>
      <c r="AB42" s="59"/>
      <c r="AC42" s="81"/>
      <c r="AD42" s="81"/>
      <c r="AE42" s="21">
        <f t="shared" si="11"/>
        <v>0</v>
      </c>
      <c r="AF42" s="13"/>
      <c r="AG42" s="13"/>
      <c r="AH42" s="13"/>
      <c r="AI42" s="13"/>
      <c r="AJ42" s="14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</row>
    <row r="43">
      <c r="A43" s="38"/>
      <c r="B43" s="75"/>
      <c r="C43" s="62"/>
      <c r="D43" s="78"/>
      <c r="E43" s="81"/>
      <c r="F43" s="81"/>
      <c r="G43" s="21">
        <f t="shared" si="9"/>
        <v>0</v>
      </c>
      <c r="H43" s="13"/>
      <c r="I43" s="13"/>
      <c r="J43" s="13"/>
      <c r="K43" s="13"/>
      <c r="L43" s="14"/>
      <c r="M43" s="38"/>
      <c r="N43" s="72"/>
      <c r="O43" s="58"/>
      <c r="P43" s="77"/>
      <c r="Q43" s="81"/>
      <c r="R43" s="81"/>
      <c r="S43" s="21">
        <f t="shared" si="10"/>
        <v>0</v>
      </c>
      <c r="T43" s="13"/>
      <c r="U43" s="13"/>
      <c r="V43" s="13"/>
      <c r="W43" s="13"/>
      <c r="X43" s="14"/>
      <c r="Y43" s="38"/>
      <c r="Z43" s="61"/>
      <c r="AA43" s="62"/>
      <c r="AB43" s="78"/>
      <c r="AC43" s="81"/>
      <c r="AD43" s="81"/>
      <c r="AE43" s="21">
        <f t="shared" si="11"/>
        <v>0</v>
      </c>
      <c r="AF43" s="13"/>
      <c r="AG43" s="13"/>
      <c r="AH43" s="13"/>
      <c r="AI43" s="13"/>
      <c r="AJ43" s="14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</row>
    <row r="44">
      <c r="A44" s="38"/>
      <c r="B44" s="82"/>
      <c r="C44" s="58"/>
      <c r="D44" s="77"/>
      <c r="E44" s="81"/>
      <c r="F44" s="81"/>
      <c r="G44" s="21">
        <f t="shared" si="9"/>
        <v>0</v>
      </c>
      <c r="H44" s="13"/>
      <c r="I44" s="13"/>
      <c r="J44" s="13"/>
      <c r="K44" s="13"/>
      <c r="L44" s="14"/>
      <c r="M44" s="38"/>
      <c r="N44" s="82"/>
      <c r="O44" s="58"/>
      <c r="P44" s="77"/>
      <c r="Q44" s="81"/>
      <c r="R44" s="81"/>
      <c r="S44" s="21">
        <f t="shared" si="10"/>
        <v>0</v>
      </c>
      <c r="T44" s="13"/>
      <c r="U44" s="13"/>
      <c r="V44" s="13"/>
      <c r="W44" s="13"/>
      <c r="X44" s="14"/>
      <c r="Y44" s="38"/>
      <c r="Z44" s="82"/>
      <c r="AA44" s="58"/>
      <c r="AB44" s="77"/>
      <c r="AC44" s="81"/>
      <c r="AD44" s="81"/>
      <c r="AE44" s="21">
        <f t="shared" si="11"/>
        <v>0</v>
      </c>
      <c r="AF44" s="13"/>
      <c r="AG44" s="13"/>
      <c r="AH44" s="13"/>
      <c r="AI44" s="13"/>
      <c r="AJ44" s="14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</row>
    <row r="45">
      <c r="A45" s="38"/>
      <c r="B45" s="82"/>
      <c r="C45" s="58"/>
      <c r="D45" s="77"/>
      <c r="E45" s="81"/>
      <c r="F45" s="81"/>
      <c r="G45" s="21">
        <f t="shared" si="9"/>
        <v>0</v>
      </c>
      <c r="H45" s="13"/>
      <c r="I45" s="13"/>
      <c r="J45" s="13"/>
      <c r="K45" s="13"/>
      <c r="L45" s="14"/>
      <c r="M45" s="38"/>
      <c r="N45" s="82"/>
      <c r="O45" s="58"/>
      <c r="P45" s="77"/>
      <c r="Q45" s="81"/>
      <c r="R45" s="81"/>
      <c r="S45" s="21">
        <f t="shared" si="10"/>
        <v>0</v>
      </c>
      <c r="T45" s="13"/>
      <c r="U45" s="13"/>
      <c r="V45" s="13"/>
      <c r="W45" s="13"/>
      <c r="X45" s="14"/>
      <c r="Y45" s="38"/>
      <c r="Z45" s="82"/>
      <c r="AA45" s="58"/>
      <c r="AB45" s="77"/>
      <c r="AC45" s="81"/>
      <c r="AD45" s="81"/>
      <c r="AE45" s="21">
        <f t="shared" si="11"/>
        <v>0</v>
      </c>
      <c r="AF45" s="13"/>
      <c r="AG45" s="13"/>
      <c r="AH45" s="13"/>
      <c r="AI45" s="13"/>
      <c r="AJ45" s="14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</row>
    <row r="46">
      <c r="A46" s="38"/>
      <c r="B46" s="82"/>
      <c r="C46" s="58"/>
      <c r="D46" s="77"/>
      <c r="E46" s="81"/>
      <c r="F46" s="81"/>
      <c r="G46" s="21">
        <f t="shared" si="9"/>
        <v>0</v>
      </c>
      <c r="H46" s="13"/>
      <c r="I46" s="13"/>
      <c r="J46" s="13"/>
      <c r="K46" s="13"/>
      <c r="L46" s="14"/>
      <c r="M46" s="38"/>
      <c r="N46" s="82"/>
      <c r="O46" s="58"/>
      <c r="P46" s="77"/>
      <c r="Q46" s="81"/>
      <c r="R46" s="81"/>
      <c r="S46" s="21">
        <f t="shared" si="10"/>
        <v>0</v>
      </c>
      <c r="T46" s="13"/>
      <c r="U46" s="13"/>
      <c r="V46" s="13"/>
      <c r="W46" s="13"/>
      <c r="X46" s="14"/>
      <c r="Y46" s="38"/>
      <c r="Z46" s="82"/>
      <c r="AA46" s="58"/>
      <c r="AB46" s="77"/>
      <c r="AC46" s="81"/>
      <c r="AD46" s="81"/>
      <c r="AE46" s="21">
        <f t="shared" si="11"/>
        <v>0</v>
      </c>
      <c r="AF46" s="13"/>
      <c r="AG46" s="13"/>
      <c r="AH46" s="13"/>
      <c r="AI46" s="13"/>
      <c r="AJ46" s="14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</row>
    <row r="47">
      <c r="A47" s="38"/>
      <c r="B47" s="72"/>
      <c r="C47" s="58"/>
      <c r="D47" s="77"/>
      <c r="E47" s="83"/>
      <c r="F47" s="83"/>
      <c r="G47" s="21">
        <f t="shared" si="9"/>
        <v>0</v>
      </c>
      <c r="H47" s="13"/>
      <c r="I47" s="13"/>
      <c r="J47" s="13"/>
      <c r="K47" s="13"/>
      <c r="L47" s="14"/>
      <c r="M47" s="38"/>
      <c r="N47" s="72"/>
      <c r="O47" s="58"/>
      <c r="P47" s="77"/>
      <c r="Q47" s="83"/>
      <c r="R47" s="83"/>
      <c r="S47" s="21">
        <f t="shared" si="10"/>
        <v>0</v>
      </c>
      <c r="T47" s="13"/>
      <c r="U47" s="13"/>
      <c r="V47" s="13"/>
      <c r="W47" s="13"/>
      <c r="X47" s="14"/>
      <c r="Y47" s="38"/>
      <c r="Z47" s="72"/>
      <c r="AA47" s="58"/>
      <c r="AB47" s="77"/>
      <c r="AC47" s="83"/>
      <c r="AD47" s="83"/>
      <c r="AE47" s="21">
        <f t="shared" si="11"/>
        <v>0</v>
      </c>
      <c r="AF47" s="13"/>
      <c r="AG47" s="13"/>
      <c r="AH47" s="13"/>
      <c r="AI47" s="13"/>
      <c r="AJ47" s="14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</row>
    <row r="48">
      <c r="A48" s="38"/>
      <c r="B48" s="72"/>
      <c r="C48" s="58"/>
      <c r="D48" s="77"/>
      <c r="E48" s="83"/>
      <c r="F48" s="83"/>
      <c r="G48" s="21">
        <f t="shared" si="9"/>
        <v>0</v>
      </c>
      <c r="H48" s="13"/>
      <c r="I48" s="13"/>
      <c r="J48" s="13"/>
      <c r="K48" s="13"/>
      <c r="L48" s="14"/>
      <c r="M48" s="38"/>
      <c r="N48" s="72"/>
      <c r="O48" s="58"/>
      <c r="P48" s="77"/>
      <c r="Q48" s="83"/>
      <c r="R48" s="83"/>
      <c r="S48" s="21">
        <f t="shared" si="10"/>
        <v>0</v>
      </c>
      <c r="T48" s="13"/>
      <c r="U48" s="13"/>
      <c r="V48" s="13"/>
      <c r="W48" s="13"/>
      <c r="X48" s="14"/>
      <c r="Y48" s="38"/>
      <c r="Z48" s="72"/>
      <c r="AA48" s="58"/>
      <c r="AB48" s="77"/>
      <c r="AC48" s="83"/>
      <c r="AD48" s="83"/>
      <c r="AE48" s="21">
        <f t="shared" si="11"/>
        <v>0</v>
      </c>
      <c r="AF48" s="13"/>
      <c r="AG48" s="13"/>
      <c r="AH48" s="13"/>
      <c r="AI48" s="13"/>
      <c r="AJ48" s="14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</row>
    <row r="49">
      <c r="A49" s="38"/>
      <c r="B49" s="72"/>
      <c r="C49" s="58"/>
      <c r="D49" s="77"/>
      <c r="E49" s="83"/>
      <c r="F49" s="83"/>
      <c r="G49" s="21">
        <f t="shared" si="9"/>
        <v>0</v>
      </c>
      <c r="H49" s="13"/>
      <c r="I49" s="13"/>
      <c r="J49" s="13"/>
      <c r="K49" s="13"/>
      <c r="L49" s="14"/>
      <c r="M49" s="38"/>
      <c r="N49" s="72"/>
      <c r="O49" s="58"/>
      <c r="P49" s="77"/>
      <c r="Q49" s="83"/>
      <c r="R49" s="83"/>
      <c r="S49" s="21">
        <f t="shared" si="10"/>
        <v>0</v>
      </c>
      <c r="T49" s="13"/>
      <c r="U49" s="13"/>
      <c r="V49" s="13"/>
      <c r="W49" s="13"/>
      <c r="X49" s="14"/>
      <c r="Y49" s="38"/>
      <c r="Z49" s="72"/>
      <c r="AA49" s="58"/>
      <c r="AB49" s="77"/>
      <c r="AC49" s="83"/>
      <c r="AD49" s="83"/>
      <c r="AE49" s="21">
        <f t="shared" si="11"/>
        <v>0</v>
      </c>
      <c r="AF49" s="13"/>
      <c r="AG49" s="13"/>
      <c r="AH49" s="13"/>
      <c r="AI49" s="13"/>
      <c r="AJ49" s="14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</row>
    <row r="50">
      <c r="A50" s="38"/>
      <c r="B50" s="72"/>
      <c r="C50" s="58"/>
      <c r="D50" s="77"/>
      <c r="E50" s="81"/>
      <c r="F50" s="81"/>
      <c r="G50" s="21">
        <f t="shared" si="9"/>
        <v>0</v>
      </c>
      <c r="H50" s="13"/>
      <c r="I50" s="13"/>
      <c r="J50" s="13"/>
      <c r="K50" s="13"/>
      <c r="L50" s="14"/>
      <c r="M50" s="38"/>
      <c r="N50" s="72"/>
      <c r="O50" s="58"/>
      <c r="P50" s="77"/>
      <c r="Q50" s="81"/>
      <c r="R50" s="81"/>
      <c r="S50" s="21">
        <f t="shared" si="10"/>
        <v>0</v>
      </c>
      <c r="T50" s="13"/>
      <c r="U50" s="13"/>
      <c r="V50" s="13"/>
      <c r="W50" s="13"/>
      <c r="X50" s="14"/>
      <c r="Y50" s="38"/>
      <c r="Z50" s="72"/>
      <c r="AA50" s="58"/>
      <c r="AB50" s="77"/>
      <c r="AC50" s="81"/>
      <c r="AD50" s="81"/>
      <c r="AE50" s="21">
        <f t="shared" si="11"/>
        <v>0</v>
      </c>
      <c r="AF50" s="13"/>
      <c r="AG50" s="13"/>
      <c r="AH50" s="13"/>
      <c r="AI50" s="13"/>
      <c r="AJ50" s="14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</row>
    <row r="51">
      <c r="A51" s="38"/>
      <c r="B51" s="82"/>
      <c r="C51" s="58"/>
      <c r="D51" s="77"/>
      <c r="E51" s="83"/>
      <c r="F51" s="83"/>
      <c r="G51" s="21">
        <f t="shared" si="9"/>
        <v>0</v>
      </c>
      <c r="H51" s="13"/>
      <c r="I51" s="13"/>
      <c r="J51" s="13"/>
      <c r="K51" s="13"/>
      <c r="L51" s="14"/>
      <c r="M51" s="38"/>
      <c r="N51" s="82"/>
      <c r="O51" s="58"/>
      <c r="P51" s="77"/>
      <c r="Q51" s="83"/>
      <c r="R51" s="83"/>
      <c r="S51" s="21">
        <f t="shared" si="10"/>
        <v>0</v>
      </c>
      <c r="T51" s="13"/>
      <c r="U51" s="13"/>
      <c r="V51" s="13"/>
      <c r="W51" s="13"/>
      <c r="X51" s="14"/>
      <c r="Y51" s="38"/>
      <c r="Z51" s="82"/>
      <c r="AA51" s="58"/>
      <c r="AB51" s="77"/>
      <c r="AC51" s="83"/>
      <c r="AD51" s="83"/>
      <c r="AE51" s="21">
        <f t="shared" si="11"/>
        <v>0</v>
      </c>
      <c r="AF51" s="13"/>
      <c r="AG51" s="13"/>
      <c r="AH51" s="13"/>
      <c r="AI51" s="13"/>
      <c r="AJ51" s="14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</row>
    <row r="52">
      <c r="A52" s="38"/>
      <c r="B52" s="72"/>
      <c r="C52" s="58"/>
      <c r="D52" s="77"/>
      <c r="E52" s="83"/>
      <c r="F52" s="83"/>
      <c r="G52" s="21">
        <f t="shared" si="9"/>
        <v>0</v>
      </c>
      <c r="H52" s="13"/>
      <c r="I52" s="13"/>
      <c r="J52" s="13"/>
      <c r="K52" s="13"/>
      <c r="L52" s="14"/>
      <c r="M52" s="38"/>
      <c r="N52" s="72"/>
      <c r="O52" s="58"/>
      <c r="P52" s="77"/>
      <c r="Q52" s="83"/>
      <c r="R52" s="83"/>
      <c r="S52" s="21">
        <f t="shared" si="10"/>
        <v>0</v>
      </c>
      <c r="T52" s="13"/>
      <c r="U52" s="13"/>
      <c r="V52" s="13"/>
      <c r="W52" s="13"/>
      <c r="X52" s="14"/>
      <c r="Y52" s="38"/>
      <c r="Z52" s="72"/>
      <c r="AA52" s="58"/>
      <c r="AB52" s="77"/>
      <c r="AC52" s="83"/>
      <c r="AD52" s="83"/>
      <c r="AE52" s="21">
        <f t="shared" si="11"/>
        <v>0</v>
      </c>
      <c r="AF52" s="13"/>
      <c r="AG52" s="13"/>
      <c r="AH52" s="13"/>
      <c r="AI52" s="13"/>
      <c r="AJ52" s="14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</row>
    <row r="53">
      <c r="A53" s="38"/>
      <c r="B53" s="72"/>
      <c r="C53" s="58"/>
      <c r="D53" s="77"/>
      <c r="E53" s="83"/>
      <c r="F53" s="83"/>
      <c r="G53" s="21">
        <f t="shared" si="9"/>
        <v>0</v>
      </c>
      <c r="H53" s="13"/>
      <c r="I53" s="13"/>
      <c r="J53" s="13"/>
      <c r="K53" s="13"/>
      <c r="L53" s="14"/>
      <c r="M53" s="38"/>
      <c r="N53" s="72"/>
      <c r="O53" s="58"/>
      <c r="P53" s="77"/>
      <c r="Q53" s="83"/>
      <c r="R53" s="83"/>
      <c r="S53" s="21">
        <f t="shared" si="10"/>
        <v>0</v>
      </c>
      <c r="T53" s="13"/>
      <c r="U53" s="13"/>
      <c r="V53" s="13"/>
      <c r="W53" s="13"/>
      <c r="X53" s="14"/>
      <c r="Y53" s="38"/>
      <c r="Z53" s="72"/>
      <c r="AA53" s="58"/>
      <c r="AB53" s="77"/>
      <c r="AC53" s="83"/>
      <c r="AD53" s="83"/>
      <c r="AE53" s="21">
        <f t="shared" si="11"/>
        <v>0</v>
      </c>
      <c r="AF53" s="13"/>
      <c r="AG53" s="13"/>
      <c r="AH53" s="13"/>
      <c r="AI53" s="13"/>
      <c r="AJ53" s="14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</row>
    <row r="54">
      <c r="A54" s="50"/>
      <c r="B54" s="72"/>
      <c r="C54" s="58"/>
      <c r="D54" s="77"/>
      <c r="E54" s="83"/>
      <c r="F54" s="83"/>
      <c r="G54" s="21">
        <f t="shared" si="9"/>
        <v>0</v>
      </c>
      <c r="H54" s="13"/>
      <c r="I54" s="13"/>
      <c r="J54" s="13"/>
      <c r="K54" s="13"/>
      <c r="L54" s="14"/>
      <c r="M54" s="51"/>
      <c r="N54" s="84"/>
      <c r="O54" s="85"/>
      <c r="P54" s="77"/>
      <c r="Q54" s="83"/>
      <c r="R54" s="83"/>
      <c r="S54" s="21">
        <f t="shared" si="10"/>
        <v>0</v>
      </c>
      <c r="T54" s="13"/>
      <c r="U54" s="13"/>
      <c r="V54" s="13"/>
      <c r="W54" s="13"/>
      <c r="X54" s="14"/>
      <c r="Y54" s="51"/>
      <c r="Z54" s="84"/>
      <c r="AA54" s="85"/>
      <c r="AB54" s="77"/>
      <c r="AC54" s="83"/>
      <c r="AD54" s="83"/>
      <c r="AE54" s="21">
        <f t="shared" si="11"/>
        <v>0</v>
      </c>
      <c r="AF54" s="13"/>
      <c r="AG54" s="13"/>
      <c r="AH54" s="13"/>
      <c r="AI54" s="13"/>
      <c r="AJ54" s="14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</row>
    <row r="55">
      <c r="A55" s="1" t="s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1" t="s">
        <v>1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3"/>
      <c r="Y55" s="1" t="s">
        <v>2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3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</row>
    <row r="56">
      <c r="A56" s="5" t="s">
        <v>32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5" t="s">
        <v>32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5" t="s">
        <v>32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</row>
    <row r="57">
      <c r="A57" s="7" t="s">
        <v>5</v>
      </c>
      <c r="B57" s="8" t="s">
        <v>6</v>
      </c>
      <c r="C57" s="9" t="s">
        <v>7</v>
      </c>
      <c r="D57" s="10" t="s">
        <v>8</v>
      </c>
      <c r="E57" s="11" t="s">
        <v>9</v>
      </c>
      <c r="F57" s="11" t="s">
        <v>10</v>
      </c>
      <c r="G57" s="12" t="s">
        <v>11</v>
      </c>
      <c r="H57" s="12" t="s">
        <v>12</v>
      </c>
      <c r="I57" s="12" t="s">
        <v>13</v>
      </c>
      <c r="J57" s="13" t="s">
        <v>14</v>
      </c>
      <c r="K57" s="13" t="s">
        <v>15</v>
      </c>
      <c r="L57" s="14" t="s">
        <v>16</v>
      </c>
      <c r="M57" s="7" t="s">
        <v>5</v>
      </c>
      <c r="N57" s="8" t="s">
        <v>6</v>
      </c>
      <c r="O57" s="9" t="s">
        <v>7</v>
      </c>
      <c r="P57" s="10" t="s">
        <v>8</v>
      </c>
      <c r="Q57" s="11" t="s">
        <v>9</v>
      </c>
      <c r="R57" s="11" t="s">
        <v>10</v>
      </c>
      <c r="S57" s="12" t="s">
        <v>11</v>
      </c>
      <c r="T57" s="12" t="s">
        <v>12</v>
      </c>
      <c r="U57" s="12" t="s">
        <v>13</v>
      </c>
      <c r="V57" s="13" t="s">
        <v>14</v>
      </c>
      <c r="W57" s="13" t="s">
        <v>15</v>
      </c>
      <c r="X57" s="14" t="s">
        <v>16</v>
      </c>
      <c r="Y57" s="7" t="s">
        <v>5</v>
      </c>
      <c r="Z57" s="8" t="s">
        <v>6</v>
      </c>
      <c r="AA57" s="9" t="s">
        <v>7</v>
      </c>
      <c r="AB57" s="10" t="s">
        <v>8</v>
      </c>
      <c r="AC57" s="11" t="s">
        <v>9</v>
      </c>
      <c r="AD57" s="11" t="s">
        <v>10</v>
      </c>
      <c r="AE57" s="12" t="s">
        <v>11</v>
      </c>
      <c r="AF57" s="12" t="s">
        <v>12</v>
      </c>
      <c r="AG57" s="12" t="s">
        <v>13</v>
      </c>
      <c r="AH57" s="13" t="s">
        <v>14</v>
      </c>
      <c r="AI57" s="13" t="s">
        <v>15</v>
      </c>
      <c r="AJ57" s="14" t="s">
        <v>16</v>
      </c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</row>
    <row r="58">
      <c r="A58" s="15" t="s">
        <v>28</v>
      </c>
      <c r="B58" s="26"/>
      <c r="C58" s="17"/>
      <c r="D58" s="18"/>
      <c r="E58" s="20">
        <v>200000.0</v>
      </c>
      <c r="F58" s="20"/>
      <c r="G58" s="21">
        <f>SUM(B58)-(B58*15%)+(C58)-(C58*20.8%)+(D58)+(E58)-(E58*0.95%)+(F58)-(F58*15.5%)</f>
        <v>198100</v>
      </c>
      <c r="H58" s="22">
        <f>SUM(B58:F81)</f>
        <v>1300000</v>
      </c>
      <c r="I58" s="21">
        <f>SUM(G58:G81)</f>
        <v>1287650</v>
      </c>
      <c r="J58" s="21">
        <f>SUM(I58)-(I58*97%)</f>
        <v>38629.5</v>
      </c>
      <c r="K58" s="21">
        <f>SUM(I58)-(I58*95%)</f>
        <v>64382.5</v>
      </c>
      <c r="L58" s="23">
        <f>SUM(I58)-(I58*93%)</f>
        <v>90135.5</v>
      </c>
      <c r="M58" s="60">
        <v>45516.0</v>
      </c>
      <c r="N58" s="24"/>
      <c r="O58" s="25"/>
      <c r="P58" s="18"/>
      <c r="Q58" s="20">
        <v>50000.0</v>
      </c>
      <c r="R58" s="20"/>
      <c r="S58" s="21">
        <f>SUM(N58)-(N58*15%)+(O58)-(O58*20.8%)+(P58)+(Q58)-(Q58*0.95%)+(R58)-(R58*15.5%)</f>
        <v>49525</v>
      </c>
      <c r="T58" s="22">
        <f>SUM(N58:R81)</f>
        <v>290000</v>
      </c>
      <c r="U58" s="21">
        <f>SUM(S58:S81)</f>
        <v>287245</v>
      </c>
      <c r="V58" s="21">
        <f>SUM(U58)-(U58*97%)</f>
        <v>8617.35</v>
      </c>
      <c r="W58" s="21">
        <f>SUM(U58)-(U58*95%)</f>
        <v>14362.25</v>
      </c>
      <c r="X58" s="23">
        <f>SUM(U58)-(U58*93%)</f>
        <v>20107.15</v>
      </c>
      <c r="Y58" s="60">
        <v>45508.0</v>
      </c>
      <c r="Z58" s="16"/>
      <c r="AA58" s="43">
        <v>2000000.0</v>
      </c>
      <c r="AB58" s="18"/>
      <c r="AC58" s="20"/>
      <c r="AD58" s="20"/>
      <c r="AE58" s="21">
        <f t="shared" ref="AE58:AE81" si="15">SUM(Z58)-(Z58*15%)+(AA58)-(AA58*20.8%)+(AB58)+(AC58)-(AC58*0.95%)+(AD58)-(AD58*15.5%)</f>
        <v>1584000</v>
      </c>
      <c r="AF58" s="22">
        <f>SUM(Z58:AD81)</f>
        <v>12870000</v>
      </c>
      <c r="AG58" s="21">
        <f>SUM(AE58:AE81)</f>
        <v>10940385</v>
      </c>
      <c r="AH58" s="21">
        <f>SUM(AG58)-(AG58*97%)</f>
        <v>328211.55</v>
      </c>
      <c r="AI58" s="21">
        <f>SUM(AG58)-(AG58*95%)</f>
        <v>547019.25</v>
      </c>
      <c r="AJ58" s="23">
        <f>SUM(AG58)-(AG58*93%)</f>
        <v>765826.95</v>
      </c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</row>
    <row r="59">
      <c r="A59" s="38"/>
      <c r="B59" s="27"/>
      <c r="C59" s="17"/>
      <c r="D59" s="40"/>
      <c r="E59" s="30">
        <v>1100000.0</v>
      </c>
      <c r="F59" s="30"/>
      <c r="G59" s="21">
        <f t="shared" ref="G59:G81" si="16">SUM(B59)-(B59*15%)+(C59)-(C59*18%)+(D59)+(E59)-(E59*0.95%)+(F59)-(F59*28%)</f>
        <v>1089550</v>
      </c>
      <c r="H59" s="31" t="s">
        <v>20</v>
      </c>
      <c r="I59" s="13"/>
      <c r="J59" s="13" t="s">
        <v>21</v>
      </c>
      <c r="K59" s="13" t="s">
        <v>22</v>
      </c>
      <c r="L59" s="14" t="s">
        <v>23</v>
      </c>
      <c r="M59" s="38"/>
      <c r="N59" s="32"/>
      <c r="O59" s="25"/>
      <c r="P59" s="33"/>
      <c r="Q59" s="30">
        <v>240000.0</v>
      </c>
      <c r="R59" s="30"/>
      <c r="S59" s="21">
        <f t="shared" ref="S59:S81" si="18">SUM(N59)-(N59*15%)+(O59)-(O59*18%)+(P59)+(Q59)-(Q59*0.95%)+(R59)-(R59*28%)</f>
        <v>237720</v>
      </c>
      <c r="T59" s="31" t="s">
        <v>20</v>
      </c>
      <c r="U59" s="13"/>
      <c r="V59" s="13" t="s">
        <v>21</v>
      </c>
      <c r="W59" s="13" t="s">
        <v>22</v>
      </c>
      <c r="X59" s="14" t="s">
        <v>23</v>
      </c>
      <c r="Y59" s="60">
        <v>45508.0</v>
      </c>
      <c r="Z59" s="27">
        <v>2000000.0</v>
      </c>
      <c r="AA59" s="17"/>
      <c r="AB59" s="40"/>
      <c r="AC59" s="30"/>
      <c r="AD59" s="30"/>
      <c r="AE59" s="21">
        <f t="shared" si="15"/>
        <v>1700000</v>
      </c>
      <c r="AF59" s="31" t="s">
        <v>20</v>
      </c>
      <c r="AG59" s="13"/>
      <c r="AH59" s="13" t="s">
        <v>21</v>
      </c>
      <c r="AI59" s="13" t="s">
        <v>22</v>
      </c>
      <c r="AJ59" s="14" t="s">
        <v>23</v>
      </c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</row>
    <row r="60">
      <c r="A60" s="38"/>
      <c r="B60" s="39"/>
      <c r="C60" s="17"/>
      <c r="D60" s="18"/>
      <c r="E60" s="20"/>
      <c r="F60" s="20"/>
      <c r="G60" s="21">
        <f t="shared" si="16"/>
        <v>0</v>
      </c>
      <c r="H60" s="36"/>
      <c r="I60" s="13"/>
      <c r="J60" s="21">
        <f t="shared" ref="J60:L60" si="17">SUM(J58)-(J58*10%)</f>
        <v>34766.55</v>
      </c>
      <c r="K60" s="21">
        <f t="shared" si="17"/>
        <v>57944.25</v>
      </c>
      <c r="L60" s="23">
        <f t="shared" si="17"/>
        <v>81121.95</v>
      </c>
      <c r="M60" s="38"/>
      <c r="N60" s="32"/>
      <c r="O60" s="25"/>
      <c r="P60" s="33"/>
      <c r="Q60" s="20"/>
      <c r="R60" s="20"/>
      <c r="S60" s="21">
        <f t="shared" si="18"/>
        <v>0</v>
      </c>
      <c r="T60" s="36"/>
      <c r="U60" s="13"/>
      <c r="V60" s="21">
        <f t="shared" ref="V60:X60" si="19">SUM(V58)-(V58*10%)</f>
        <v>7755.615</v>
      </c>
      <c r="W60" s="21">
        <f t="shared" si="19"/>
        <v>12926.025</v>
      </c>
      <c r="X60" s="23">
        <f t="shared" si="19"/>
        <v>18096.435</v>
      </c>
      <c r="Y60" s="15" t="s">
        <v>33</v>
      </c>
      <c r="Z60" s="39"/>
      <c r="AA60" s="17"/>
      <c r="AB60" s="18"/>
      <c r="AC60" s="20">
        <v>500000.0</v>
      </c>
      <c r="AD60" s="20"/>
      <c r="AE60" s="21">
        <f t="shared" si="15"/>
        <v>495250</v>
      </c>
      <c r="AF60" s="36"/>
      <c r="AG60" s="13"/>
      <c r="AH60" s="21">
        <f t="shared" ref="AH60:AJ60" si="20">SUM(AH58)-(AH58*10%)</f>
        <v>295390.395</v>
      </c>
      <c r="AI60" s="21">
        <f t="shared" si="20"/>
        <v>492317.325</v>
      </c>
      <c r="AJ60" s="23">
        <f t="shared" si="20"/>
        <v>689244.255</v>
      </c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</row>
    <row r="61">
      <c r="A61" s="38"/>
      <c r="B61" s="27"/>
      <c r="C61" s="17"/>
      <c r="D61" s="18"/>
      <c r="E61" s="20"/>
      <c r="F61" s="20"/>
      <c r="G61" s="21">
        <f t="shared" si="16"/>
        <v>0</v>
      </c>
      <c r="H61" s="13"/>
      <c r="I61" s="13"/>
      <c r="J61" s="13"/>
      <c r="K61" s="13"/>
      <c r="L61" s="14"/>
      <c r="M61" s="38"/>
      <c r="N61" s="32"/>
      <c r="O61" s="25"/>
      <c r="P61" s="33"/>
      <c r="Q61" s="20"/>
      <c r="R61" s="20"/>
      <c r="S61" s="21">
        <f t="shared" si="18"/>
        <v>0</v>
      </c>
      <c r="T61" s="13"/>
      <c r="U61" s="13"/>
      <c r="V61" s="13"/>
      <c r="W61" s="13"/>
      <c r="X61" s="14"/>
      <c r="Y61" s="15" t="s">
        <v>34</v>
      </c>
      <c r="Z61" s="39"/>
      <c r="AA61" s="17"/>
      <c r="AB61" s="18"/>
      <c r="AC61" s="20">
        <v>870000.0</v>
      </c>
      <c r="AD61" s="20"/>
      <c r="AE61" s="21">
        <f t="shared" si="15"/>
        <v>861735</v>
      </c>
      <c r="AF61" s="13"/>
      <c r="AG61" s="13"/>
      <c r="AH61" s="13"/>
      <c r="AI61" s="13"/>
      <c r="AJ61" s="14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</row>
    <row r="62">
      <c r="A62" s="38"/>
      <c r="B62" s="39"/>
      <c r="C62" s="17"/>
      <c r="D62" s="18"/>
      <c r="E62" s="20"/>
      <c r="F62" s="20"/>
      <c r="G62" s="21">
        <f t="shared" si="16"/>
        <v>0</v>
      </c>
      <c r="H62" s="13"/>
      <c r="I62" s="13"/>
      <c r="J62" s="13"/>
      <c r="K62" s="13"/>
      <c r="L62" s="14"/>
      <c r="M62" s="38"/>
      <c r="N62" s="32"/>
      <c r="O62" s="25"/>
      <c r="P62" s="33"/>
      <c r="Q62" s="20"/>
      <c r="R62" s="20"/>
      <c r="S62" s="21">
        <f t="shared" si="18"/>
        <v>0</v>
      </c>
      <c r="T62" s="13"/>
      <c r="U62" s="13"/>
      <c r="V62" s="13"/>
      <c r="W62" s="13"/>
      <c r="X62" s="14"/>
      <c r="Y62" s="60">
        <v>45523.0</v>
      </c>
      <c r="Z62" s="27"/>
      <c r="AA62" s="43">
        <v>2000000.0</v>
      </c>
      <c r="AB62" s="18"/>
      <c r="AC62" s="20"/>
      <c r="AD62" s="20"/>
      <c r="AE62" s="21">
        <f t="shared" si="15"/>
        <v>1584000</v>
      </c>
      <c r="AF62" s="13"/>
      <c r="AG62" s="13"/>
      <c r="AH62" s="13"/>
      <c r="AI62" s="13"/>
      <c r="AJ62" s="14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</row>
    <row r="63">
      <c r="A63" s="38"/>
      <c r="B63" s="39"/>
      <c r="C63" s="17"/>
      <c r="D63" s="18"/>
      <c r="E63" s="20"/>
      <c r="F63" s="20"/>
      <c r="G63" s="21">
        <f t="shared" si="16"/>
        <v>0</v>
      </c>
      <c r="H63" s="13"/>
      <c r="I63" s="13"/>
      <c r="J63" s="13"/>
      <c r="K63" s="13"/>
      <c r="L63" s="14"/>
      <c r="M63" s="38"/>
      <c r="N63" s="32"/>
      <c r="O63" s="25"/>
      <c r="P63" s="33"/>
      <c r="Q63" s="20"/>
      <c r="R63" s="20"/>
      <c r="S63" s="21">
        <f t="shared" si="18"/>
        <v>0</v>
      </c>
      <c r="T63" s="13"/>
      <c r="U63" s="13"/>
      <c r="V63" s="13"/>
      <c r="W63" s="13"/>
      <c r="X63" s="14"/>
      <c r="Y63" s="60">
        <v>45525.0</v>
      </c>
      <c r="Z63" s="39"/>
      <c r="AA63" s="43">
        <v>1200000.0</v>
      </c>
      <c r="AB63" s="18"/>
      <c r="AC63" s="20"/>
      <c r="AD63" s="20"/>
      <c r="AE63" s="21">
        <f t="shared" si="15"/>
        <v>950400</v>
      </c>
      <c r="AF63" s="13"/>
      <c r="AG63" s="13"/>
      <c r="AH63" s="13"/>
      <c r="AI63" s="13"/>
      <c r="AJ63" s="14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</row>
    <row r="64">
      <c r="A64" s="38"/>
      <c r="B64" s="39"/>
      <c r="C64" s="17"/>
      <c r="D64" s="18"/>
      <c r="E64" s="20"/>
      <c r="F64" s="20"/>
      <c r="G64" s="21">
        <f t="shared" si="16"/>
        <v>0</v>
      </c>
      <c r="H64" s="13"/>
      <c r="I64" s="13"/>
      <c r="J64" s="13"/>
      <c r="K64" s="13"/>
      <c r="L64" s="14"/>
      <c r="M64" s="38"/>
      <c r="N64" s="32"/>
      <c r="O64" s="25"/>
      <c r="P64" s="33"/>
      <c r="Q64" s="20"/>
      <c r="R64" s="20"/>
      <c r="S64" s="21">
        <f t="shared" si="18"/>
        <v>0</v>
      </c>
      <c r="T64" s="13"/>
      <c r="U64" s="13"/>
      <c r="V64" s="13"/>
      <c r="W64" s="13"/>
      <c r="X64" s="14"/>
      <c r="Y64" s="60">
        <v>45525.0</v>
      </c>
      <c r="Z64" s="27"/>
      <c r="AA64" s="17"/>
      <c r="AB64" s="28">
        <v>800000.0</v>
      </c>
      <c r="AC64" s="20"/>
      <c r="AD64" s="20"/>
      <c r="AE64" s="21">
        <f t="shared" si="15"/>
        <v>800000</v>
      </c>
      <c r="AF64" s="13"/>
      <c r="AG64" s="13"/>
      <c r="AH64" s="13"/>
      <c r="AI64" s="13"/>
      <c r="AJ64" s="14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</row>
    <row r="65">
      <c r="A65" s="38"/>
      <c r="B65" s="45"/>
      <c r="C65" s="17"/>
      <c r="D65" s="18"/>
      <c r="E65" s="20"/>
      <c r="F65" s="20"/>
      <c r="G65" s="21">
        <f t="shared" si="16"/>
        <v>0</v>
      </c>
      <c r="H65" s="13">
        <f>AG58+I58+U58</f>
        <v>12515280</v>
      </c>
      <c r="I65" s="13"/>
      <c r="J65" s="13"/>
      <c r="K65" s="13"/>
      <c r="L65" s="14"/>
      <c r="M65" s="38"/>
      <c r="N65" s="37"/>
      <c r="O65" s="25"/>
      <c r="P65" s="41"/>
      <c r="Q65" s="20"/>
      <c r="R65" s="20"/>
      <c r="S65" s="21">
        <f t="shared" si="18"/>
        <v>0</v>
      </c>
      <c r="T65" s="13"/>
      <c r="U65" s="13"/>
      <c r="V65" s="13"/>
      <c r="W65" s="13"/>
      <c r="X65" s="14"/>
      <c r="Y65" s="60">
        <v>45529.0</v>
      </c>
      <c r="Z65" s="27"/>
      <c r="AA65" s="17"/>
      <c r="AB65" s="42"/>
      <c r="AC65" s="20"/>
      <c r="AD65" s="20">
        <v>2000000.0</v>
      </c>
      <c r="AE65" s="21">
        <f t="shared" si="15"/>
        <v>1690000</v>
      </c>
      <c r="AF65" s="13"/>
      <c r="AG65" s="13"/>
      <c r="AH65" s="13"/>
      <c r="AI65" s="13"/>
      <c r="AJ65" s="14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</row>
    <row r="66">
      <c r="A66" s="38"/>
      <c r="B66" s="16"/>
      <c r="C66" s="17"/>
      <c r="D66" s="42"/>
      <c r="E66" s="30"/>
      <c r="F66" s="30"/>
      <c r="G66" s="21">
        <f t="shared" si="16"/>
        <v>0</v>
      </c>
      <c r="H66" s="13"/>
      <c r="I66" s="13"/>
      <c r="J66" s="13"/>
      <c r="K66" s="13"/>
      <c r="L66" s="14"/>
      <c r="M66" s="38"/>
      <c r="N66" s="24"/>
      <c r="O66" s="25"/>
      <c r="P66" s="41"/>
      <c r="Q66" s="30"/>
      <c r="R66" s="30"/>
      <c r="S66" s="21">
        <f t="shared" si="18"/>
        <v>0</v>
      </c>
      <c r="T66" s="13"/>
      <c r="U66" s="13"/>
      <c r="V66" s="13"/>
      <c r="W66" s="13"/>
      <c r="X66" s="14"/>
      <c r="Y66" s="60">
        <v>45534.0</v>
      </c>
      <c r="Z66" s="16">
        <v>1500000.0</v>
      </c>
      <c r="AA66" s="44"/>
      <c r="AB66" s="42"/>
      <c r="AC66" s="30"/>
      <c r="AD66" s="30"/>
      <c r="AE66" s="21">
        <f t="shared" si="15"/>
        <v>1275000</v>
      </c>
      <c r="AF66" s="13"/>
      <c r="AG66" s="13"/>
      <c r="AH66" s="13"/>
      <c r="AI66" s="13"/>
      <c r="AJ66" s="14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</row>
    <row r="67">
      <c r="A67" s="38"/>
      <c r="B67" s="45"/>
      <c r="C67" s="17"/>
      <c r="D67" s="18"/>
      <c r="E67" s="20"/>
      <c r="F67" s="20"/>
      <c r="G67" s="21">
        <f t="shared" si="16"/>
        <v>0</v>
      </c>
      <c r="H67" s="13"/>
      <c r="I67" s="13"/>
      <c r="J67" s="13"/>
      <c r="K67" s="13"/>
      <c r="L67" s="14"/>
      <c r="M67" s="38"/>
      <c r="N67" s="37"/>
      <c r="O67" s="25"/>
      <c r="P67" s="41"/>
      <c r="Q67" s="20"/>
      <c r="R67" s="20"/>
      <c r="S67" s="21">
        <f t="shared" si="18"/>
        <v>0</v>
      </c>
      <c r="T67" s="13"/>
      <c r="U67" s="13"/>
      <c r="V67" s="13"/>
      <c r="W67" s="13"/>
      <c r="X67" s="14"/>
      <c r="Y67" s="38"/>
      <c r="Z67" s="45"/>
      <c r="AA67" s="17"/>
      <c r="AB67" s="18"/>
      <c r="AC67" s="20"/>
      <c r="AD67" s="20"/>
      <c r="AE67" s="21">
        <f t="shared" si="15"/>
        <v>0</v>
      </c>
      <c r="AF67" s="13"/>
      <c r="AG67" s="13"/>
      <c r="AH67" s="13"/>
      <c r="AI67" s="13"/>
      <c r="AJ67" s="14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</row>
    <row r="68">
      <c r="A68" s="38"/>
      <c r="B68" s="24"/>
      <c r="C68" s="25"/>
      <c r="D68" s="41"/>
      <c r="E68" s="46"/>
      <c r="F68" s="46"/>
      <c r="G68" s="21">
        <f t="shared" si="16"/>
        <v>0</v>
      </c>
      <c r="H68" s="13"/>
      <c r="I68" s="13"/>
      <c r="J68" s="13"/>
      <c r="K68" s="13"/>
      <c r="L68" s="14"/>
      <c r="M68" s="38"/>
      <c r="N68" s="24"/>
      <c r="O68" s="25"/>
      <c r="P68" s="41"/>
      <c r="Q68" s="46"/>
      <c r="R68" s="46"/>
      <c r="S68" s="21">
        <f t="shared" si="18"/>
        <v>0</v>
      </c>
      <c r="T68" s="13"/>
      <c r="U68" s="13"/>
      <c r="V68" s="13"/>
      <c r="W68" s="13"/>
      <c r="X68" s="14"/>
      <c r="Y68" s="60"/>
      <c r="Z68" s="16"/>
      <c r="AA68" s="44"/>
      <c r="AB68" s="42"/>
      <c r="AC68" s="30"/>
      <c r="AD68" s="30"/>
      <c r="AE68" s="21">
        <f t="shared" si="15"/>
        <v>0</v>
      </c>
      <c r="AF68" s="13"/>
      <c r="AG68" s="13"/>
      <c r="AH68" s="13"/>
      <c r="AI68" s="13"/>
      <c r="AJ68" s="14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</row>
    <row r="69">
      <c r="A69" s="38"/>
      <c r="B69" s="47"/>
      <c r="C69" s="25"/>
      <c r="D69" s="41"/>
      <c r="E69" s="46"/>
      <c r="F69" s="46"/>
      <c r="G69" s="21">
        <f t="shared" si="16"/>
        <v>0</v>
      </c>
      <c r="H69" s="13">
        <f>H58+T58+AF58</f>
        <v>14460000</v>
      </c>
      <c r="I69" s="13"/>
      <c r="J69" s="13"/>
      <c r="K69" s="13"/>
      <c r="L69" s="14"/>
      <c r="M69" s="38"/>
      <c r="N69" s="47"/>
      <c r="O69" s="25"/>
      <c r="P69" s="41"/>
      <c r="Q69" s="46"/>
      <c r="R69" s="46"/>
      <c r="S69" s="21">
        <f t="shared" si="18"/>
        <v>0</v>
      </c>
      <c r="T69" s="13"/>
      <c r="U69" s="13"/>
      <c r="V69" s="13"/>
      <c r="W69" s="13"/>
      <c r="X69" s="14"/>
      <c r="Y69" s="38"/>
      <c r="Z69" s="48"/>
      <c r="AA69" s="17"/>
      <c r="AB69" s="18"/>
      <c r="AC69" s="46"/>
      <c r="AD69" s="46"/>
      <c r="AE69" s="21">
        <f t="shared" si="15"/>
        <v>0</v>
      </c>
      <c r="AF69" s="13"/>
      <c r="AG69" s="13"/>
      <c r="AH69" s="13"/>
      <c r="AI69" s="13"/>
      <c r="AJ69" s="14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</row>
    <row r="70">
      <c r="A70" s="38"/>
      <c r="B70" s="32"/>
      <c r="C70" s="25"/>
      <c r="D70" s="41"/>
      <c r="E70" s="46"/>
      <c r="F70" s="46"/>
      <c r="G70" s="21">
        <f t="shared" si="16"/>
        <v>0</v>
      </c>
      <c r="H70" s="13"/>
      <c r="I70" s="13"/>
      <c r="J70" s="13"/>
      <c r="K70" s="13"/>
      <c r="L70" s="14"/>
      <c r="M70" s="38"/>
      <c r="N70" s="32"/>
      <c r="O70" s="25"/>
      <c r="P70" s="41"/>
      <c r="Q70" s="46"/>
      <c r="R70" s="46"/>
      <c r="S70" s="21">
        <f t="shared" si="18"/>
        <v>0</v>
      </c>
      <c r="T70" s="13"/>
      <c r="U70" s="13"/>
      <c r="V70" s="13"/>
      <c r="W70" s="13"/>
      <c r="X70" s="14"/>
      <c r="Y70" s="38"/>
      <c r="Z70" s="27"/>
      <c r="AA70" s="17"/>
      <c r="AB70" s="42"/>
      <c r="AC70" s="46"/>
      <c r="AD70" s="46"/>
      <c r="AE70" s="21">
        <f t="shared" si="15"/>
        <v>0</v>
      </c>
      <c r="AF70" s="13"/>
      <c r="AG70" s="13"/>
      <c r="AH70" s="13"/>
      <c r="AI70" s="13"/>
      <c r="AJ70" s="14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</row>
    <row r="71">
      <c r="A71" s="38"/>
      <c r="B71" s="47"/>
      <c r="C71" s="25"/>
      <c r="D71" s="41"/>
      <c r="E71" s="46"/>
      <c r="F71" s="46"/>
      <c r="G71" s="21">
        <f t="shared" si="16"/>
        <v>0</v>
      </c>
      <c r="H71" s="67">
        <v>2600000.0</v>
      </c>
      <c r="I71" s="13"/>
      <c r="J71" s="86" t="s">
        <v>35</v>
      </c>
      <c r="K71" s="13"/>
      <c r="L71" s="14"/>
      <c r="M71" s="38"/>
      <c r="N71" s="47"/>
      <c r="O71" s="25"/>
      <c r="P71" s="41"/>
      <c r="Q71" s="46"/>
      <c r="R71" s="46"/>
      <c r="S71" s="21">
        <f t="shared" si="18"/>
        <v>0</v>
      </c>
      <c r="T71" s="13"/>
      <c r="U71" s="13"/>
      <c r="V71" s="13"/>
      <c r="W71" s="13"/>
      <c r="X71" s="14"/>
      <c r="Y71" s="38"/>
      <c r="Z71" s="47"/>
      <c r="AA71" s="25"/>
      <c r="AB71" s="41"/>
      <c r="AC71" s="46"/>
      <c r="AD71" s="46"/>
      <c r="AE71" s="21">
        <f t="shared" si="15"/>
        <v>0</v>
      </c>
      <c r="AF71" s="13"/>
      <c r="AG71" s="13"/>
      <c r="AH71" s="13"/>
      <c r="AI71" s="13"/>
      <c r="AJ71" s="14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</row>
    <row r="72">
      <c r="A72" s="38"/>
      <c r="B72" s="47"/>
      <c r="C72" s="25"/>
      <c r="D72" s="41"/>
      <c r="E72" s="46"/>
      <c r="F72" s="46"/>
      <c r="G72" s="21">
        <f t="shared" si="16"/>
        <v>0</v>
      </c>
      <c r="H72" s="13"/>
      <c r="I72" s="13"/>
      <c r="J72" s="87">
        <f>SUM(H71)-(H71*98.5%)</f>
        <v>39000</v>
      </c>
      <c r="K72" s="13"/>
      <c r="L72" s="14"/>
      <c r="M72" s="38"/>
      <c r="N72" s="47"/>
      <c r="O72" s="25"/>
      <c r="P72" s="41"/>
      <c r="Q72" s="46"/>
      <c r="R72" s="46"/>
      <c r="S72" s="21">
        <f t="shared" si="18"/>
        <v>0</v>
      </c>
      <c r="T72" s="13"/>
      <c r="U72" s="13"/>
      <c r="V72" s="13"/>
      <c r="W72" s="13"/>
      <c r="X72" s="14"/>
      <c r="Y72" s="38"/>
      <c r="Z72" s="47"/>
      <c r="AA72" s="25"/>
      <c r="AB72" s="41"/>
      <c r="AC72" s="46"/>
      <c r="AD72" s="46"/>
      <c r="AE72" s="21">
        <f t="shared" si="15"/>
        <v>0</v>
      </c>
      <c r="AF72" s="13"/>
      <c r="AG72" s="13"/>
      <c r="AH72" s="13"/>
      <c r="AI72" s="13"/>
      <c r="AJ72" s="14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</row>
    <row r="73">
      <c r="A73" s="38"/>
      <c r="B73" s="47"/>
      <c r="C73" s="25"/>
      <c r="D73" s="41"/>
      <c r="E73" s="46"/>
      <c r="F73" s="46"/>
      <c r="G73" s="21">
        <f t="shared" si="16"/>
        <v>0</v>
      </c>
      <c r="H73" s="13"/>
      <c r="I73" s="13"/>
      <c r="J73" s="86" t="s">
        <v>36</v>
      </c>
      <c r="K73" s="13"/>
      <c r="L73" s="14"/>
      <c r="M73" s="38"/>
      <c r="N73" s="47"/>
      <c r="O73" s="25"/>
      <c r="P73" s="41"/>
      <c r="Q73" s="46"/>
      <c r="R73" s="46"/>
      <c r="S73" s="21">
        <f t="shared" si="18"/>
        <v>0</v>
      </c>
      <c r="T73" s="13"/>
      <c r="U73" s="13"/>
      <c r="V73" s="13"/>
      <c r="W73" s="13"/>
      <c r="X73" s="14"/>
      <c r="Y73" s="38"/>
      <c r="Z73" s="47"/>
      <c r="AA73" s="25"/>
      <c r="AB73" s="41"/>
      <c r="AC73" s="46"/>
      <c r="AD73" s="46"/>
      <c r="AE73" s="21">
        <f t="shared" si="15"/>
        <v>0</v>
      </c>
      <c r="AF73" s="13"/>
      <c r="AG73" s="13"/>
      <c r="AH73" s="13"/>
      <c r="AI73" s="13"/>
      <c r="AJ73" s="14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</row>
    <row r="74">
      <c r="A74" s="38"/>
      <c r="B74" s="32"/>
      <c r="C74" s="25"/>
      <c r="D74" s="41"/>
      <c r="E74" s="49"/>
      <c r="F74" s="49"/>
      <c r="G74" s="21">
        <f t="shared" si="16"/>
        <v>0</v>
      </c>
      <c r="H74" s="13"/>
      <c r="I74" s="13"/>
      <c r="J74" s="87">
        <f>SUM(J72)-(J72*10%)</f>
        <v>35100</v>
      </c>
      <c r="K74" s="13"/>
      <c r="L74" s="14"/>
      <c r="M74" s="38"/>
      <c r="N74" s="32"/>
      <c r="O74" s="25"/>
      <c r="P74" s="41"/>
      <c r="Q74" s="49"/>
      <c r="R74" s="49"/>
      <c r="S74" s="21">
        <f t="shared" si="18"/>
        <v>0</v>
      </c>
      <c r="T74" s="13"/>
      <c r="U74" s="13"/>
      <c r="V74" s="13"/>
      <c r="W74" s="13"/>
      <c r="X74" s="14"/>
      <c r="Y74" s="38"/>
      <c r="Z74" s="32"/>
      <c r="AA74" s="25"/>
      <c r="AB74" s="41"/>
      <c r="AC74" s="49"/>
      <c r="AD74" s="49"/>
      <c r="AE74" s="21">
        <f t="shared" si="15"/>
        <v>0</v>
      </c>
      <c r="AF74" s="13"/>
      <c r="AG74" s="13"/>
      <c r="AH74" s="13"/>
      <c r="AI74" s="13"/>
      <c r="AJ74" s="14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</row>
    <row r="75">
      <c r="A75" s="38"/>
      <c r="B75" s="32"/>
      <c r="C75" s="25"/>
      <c r="D75" s="41"/>
      <c r="E75" s="49"/>
      <c r="F75" s="49"/>
      <c r="G75" s="21">
        <f t="shared" si="16"/>
        <v>0</v>
      </c>
      <c r="H75" s="13"/>
      <c r="I75" s="13"/>
      <c r="J75" s="13"/>
      <c r="K75" s="13"/>
      <c r="L75" s="14"/>
      <c r="M75" s="38"/>
      <c r="N75" s="32"/>
      <c r="O75" s="25"/>
      <c r="P75" s="41"/>
      <c r="Q75" s="49"/>
      <c r="R75" s="49"/>
      <c r="S75" s="21">
        <f t="shared" si="18"/>
        <v>0</v>
      </c>
      <c r="T75" s="13"/>
      <c r="U75" s="13"/>
      <c r="V75" s="13"/>
      <c r="W75" s="13"/>
      <c r="X75" s="14"/>
      <c r="Y75" s="38"/>
      <c r="Z75" s="32"/>
      <c r="AA75" s="25"/>
      <c r="AB75" s="41"/>
      <c r="AC75" s="49"/>
      <c r="AD75" s="49"/>
      <c r="AE75" s="21">
        <f t="shared" si="15"/>
        <v>0</v>
      </c>
      <c r="AF75" s="13"/>
      <c r="AG75" s="13"/>
      <c r="AH75" s="13"/>
      <c r="AI75" s="13"/>
      <c r="AJ75" s="14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</row>
    <row r="76">
      <c r="A76" s="38"/>
      <c r="B76" s="32"/>
      <c r="C76" s="25"/>
      <c r="D76" s="41"/>
      <c r="E76" s="49"/>
      <c r="F76" s="49"/>
      <c r="G76" s="21">
        <f t="shared" si="16"/>
        <v>0</v>
      </c>
      <c r="H76" s="13"/>
      <c r="I76" s="13"/>
      <c r="J76" s="13"/>
      <c r="K76" s="13"/>
      <c r="L76" s="14"/>
      <c r="M76" s="38"/>
      <c r="N76" s="32"/>
      <c r="O76" s="25"/>
      <c r="P76" s="41"/>
      <c r="Q76" s="49"/>
      <c r="R76" s="49"/>
      <c r="S76" s="21">
        <f t="shared" si="18"/>
        <v>0</v>
      </c>
      <c r="T76" s="13"/>
      <c r="U76" s="13"/>
      <c r="V76" s="13"/>
      <c r="W76" s="13"/>
      <c r="X76" s="14"/>
      <c r="Y76" s="38"/>
      <c r="Z76" s="32"/>
      <c r="AA76" s="25"/>
      <c r="AB76" s="41"/>
      <c r="AC76" s="49"/>
      <c r="AD76" s="49"/>
      <c r="AE76" s="21">
        <f t="shared" si="15"/>
        <v>0</v>
      </c>
      <c r="AF76" s="13"/>
      <c r="AG76" s="13"/>
      <c r="AH76" s="13"/>
      <c r="AI76" s="13"/>
      <c r="AJ76" s="14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</row>
    <row r="77">
      <c r="A77" s="38"/>
      <c r="B77" s="32"/>
      <c r="C77" s="25"/>
      <c r="D77" s="41"/>
      <c r="E77" s="46"/>
      <c r="F77" s="46"/>
      <c r="G77" s="21">
        <f t="shared" si="16"/>
        <v>0</v>
      </c>
      <c r="H77" s="13"/>
      <c r="I77" s="13"/>
      <c r="J77" s="13"/>
      <c r="K77" s="13"/>
      <c r="L77" s="14"/>
      <c r="M77" s="38"/>
      <c r="N77" s="32"/>
      <c r="O77" s="25"/>
      <c r="P77" s="41"/>
      <c r="Q77" s="46"/>
      <c r="R77" s="46"/>
      <c r="S77" s="21">
        <f t="shared" si="18"/>
        <v>0</v>
      </c>
      <c r="T77" s="13"/>
      <c r="U77" s="13"/>
      <c r="V77" s="13"/>
      <c r="W77" s="13"/>
      <c r="X77" s="14"/>
      <c r="Y77" s="38"/>
      <c r="Z77" s="32"/>
      <c r="AA77" s="25"/>
      <c r="AB77" s="41"/>
      <c r="AC77" s="46"/>
      <c r="AD77" s="46"/>
      <c r="AE77" s="21">
        <f t="shared" si="15"/>
        <v>0</v>
      </c>
      <c r="AF77" s="13"/>
      <c r="AG77" s="13"/>
      <c r="AH77" s="13"/>
      <c r="AI77" s="13"/>
      <c r="AJ77" s="14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</row>
    <row r="78">
      <c r="A78" s="38"/>
      <c r="B78" s="47"/>
      <c r="C78" s="25"/>
      <c r="D78" s="41"/>
      <c r="E78" s="49"/>
      <c r="F78" s="49"/>
      <c r="G78" s="21">
        <f t="shared" si="16"/>
        <v>0</v>
      </c>
      <c r="H78" s="13"/>
      <c r="I78" s="13"/>
      <c r="J78" s="13"/>
      <c r="K78" s="13"/>
      <c r="L78" s="14"/>
      <c r="M78" s="38"/>
      <c r="N78" s="47"/>
      <c r="O78" s="25"/>
      <c r="P78" s="41"/>
      <c r="Q78" s="49"/>
      <c r="R78" s="49"/>
      <c r="S78" s="21">
        <f t="shared" si="18"/>
        <v>0</v>
      </c>
      <c r="T78" s="13"/>
      <c r="U78" s="13"/>
      <c r="V78" s="13"/>
      <c r="W78" s="13"/>
      <c r="X78" s="14"/>
      <c r="Y78" s="38"/>
      <c r="Z78" s="47"/>
      <c r="AA78" s="25"/>
      <c r="AB78" s="41"/>
      <c r="AC78" s="49"/>
      <c r="AD78" s="49"/>
      <c r="AE78" s="21">
        <f t="shared" si="15"/>
        <v>0</v>
      </c>
      <c r="AF78" s="13"/>
      <c r="AG78" s="13"/>
      <c r="AH78" s="13"/>
      <c r="AI78" s="13"/>
      <c r="AJ78" s="14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</row>
    <row r="79">
      <c r="A79" s="38"/>
      <c r="B79" s="32"/>
      <c r="C79" s="25"/>
      <c r="D79" s="41"/>
      <c r="E79" s="49"/>
      <c r="F79" s="49"/>
      <c r="G79" s="21">
        <f t="shared" si="16"/>
        <v>0</v>
      </c>
      <c r="H79" s="13"/>
      <c r="I79" s="13"/>
      <c r="J79" s="13"/>
      <c r="K79" s="13"/>
      <c r="L79" s="14"/>
      <c r="M79" s="38"/>
      <c r="N79" s="32"/>
      <c r="O79" s="25"/>
      <c r="P79" s="41"/>
      <c r="Q79" s="49"/>
      <c r="R79" s="49"/>
      <c r="S79" s="21">
        <f t="shared" si="18"/>
        <v>0</v>
      </c>
      <c r="T79" s="13"/>
      <c r="U79" s="13"/>
      <c r="V79" s="13"/>
      <c r="W79" s="13"/>
      <c r="X79" s="14"/>
      <c r="Y79" s="38"/>
      <c r="Z79" s="32"/>
      <c r="AA79" s="25"/>
      <c r="AB79" s="41"/>
      <c r="AC79" s="49"/>
      <c r="AD79" s="49"/>
      <c r="AE79" s="21">
        <f t="shared" si="15"/>
        <v>0</v>
      </c>
      <c r="AF79" s="13"/>
      <c r="AG79" s="13"/>
      <c r="AH79" s="13"/>
      <c r="AI79" s="13"/>
      <c r="AJ79" s="14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</row>
    <row r="80">
      <c r="A80" s="38"/>
      <c r="B80" s="32"/>
      <c r="C80" s="25"/>
      <c r="D80" s="41"/>
      <c r="E80" s="49"/>
      <c r="F80" s="49"/>
      <c r="G80" s="21">
        <f t="shared" si="16"/>
        <v>0</v>
      </c>
      <c r="H80" s="13"/>
      <c r="I80" s="13"/>
      <c r="J80" s="13"/>
      <c r="K80" s="13"/>
      <c r="L80" s="14"/>
      <c r="M80" s="38"/>
      <c r="N80" s="32"/>
      <c r="O80" s="25"/>
      <c r="P80" s="41"/>
      <c r="Q80" s="49"/>
      <c r="R80" s="49"/>
      <c r="S80" s="21">
        <f t="shared" si="18"/>
        <v>0</v>
      </c>
      <c r="T80" s="13"/>
      <c r="U80" s="13"/>
      <c r="V80" s="13"/>
      <c r="W80" s="13"/>
      <c r="X80" s="14"/>
      <c r="Y80" s="38"/>
      <c r="Z80" s="32"/>
      <c r="AA80" s="25"/>
      <c r="AB80" s="41"/>
      <c r="AC80" s="49"/>
      <c r="AD80" s="49"/>
      <c r="AE80" s="21">
        <f t="shared" si="15"/>
        <v>0</v>
      </c>
      <c r="AF80" s="13"/>
      <c r="AG80" s="13"/>
      <c r="AH80" s="13"/>
      <c r="AI80" s="13"/>
      <c r="AJ80" s="14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</row>
    <row r="81">
      <c r="A81" s="50"/>
      <c r="B81" s="32"/>
      <c r="C81" s="25"/>
      <c r="D81" s="41"/>
      <c r="E81" s="49"/>
      <c r="F81" s="49"/>
      <c r="G81" s="88">
        <f t="shared" si="16"/>
        <v>0</v>
      </c>
      <c r="H81" s="89"/>
      <c r="I81" s="89"/>
      <c r="J81" s="89"/>
      <c r="K81" s="89"/>
      <c r="L81" s="90"/>
      <c r="M81" s="50"/>
      <c r="N81" s="32"/>
      <c r="O81" s="25"/>
      <c r="P81" s="41"/>
      <c r="Q81" s="49"/>
      <c r="R81" s="49"/>
      <c r="S81" s="88">
        <f t="shared" si="18"/>
        <v>0</v>
      </c>
      <c r="T81" s="89"/>
      <c r="U81" s="89"/>
      <c r="V81" s="89"/>
      <c r="W81" s="89"/>
      <c r="X81" s="90"/>
      <c r="Y81" s="50"/>
      <c r="Z81" s="32"/>
      <c r="AA81" s="25"/>
      <c r="AB81" s="41"/>
      <c r="AC81" s="49"/>
      <c r="AD81" s="49"/>
      <c r="AE81" s="21">
        <f t="shared" si="15"/>
        <v>0</v>
      </c>
      <c r="AF81" s="89"/>
      <c r="AG81" s="89"/>
      <c r="AH81" s="89"/>
      <c r="AI81" s="89"/>
      <c r="AJ81" s="90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</row>
    <row r="82">
      <c r="A82" s="1" t="s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1" t="s">
        <v>1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3"/>
      <c r="Y82" s="1" t="s">
        <v>2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3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</row>
    <row r="83">
      <c r="A83" s="5" t="s">
        <v>37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5" t="s">
        <v>37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5" t="s">
        <v>37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</row>
    <row r="84">
      <c r="A84" s="7" t="s">
        <v>5</v>
      </c>
      <c r="B84" s="8" t="s">
        <v>38</v>
      </c>
      <c r="C84" s="9" t="s">
        <v>7</v>
      </c>
      <c r="D84" s="10" t="s">
        <v>8</v>
      </c>
      <c r="E84" s="11" t="s">
        <v>9</v>
      </c>
      <c r="F84" s="11" t="s">
        <v>10</v>
      </c>
      <c r="G84" s="12" t="s">
        <v>11</v>
      </c>
      <c r="H84" s="12" t="s">
        <v>12</v>
      </c>
      <c r="I84" s="12" t="s">
        <v>13</v>
      </c>
      <c r="J84" s="13" t="s">
        <v>14</v>
      </c>
      <c r="K84" s="13" t="s">
        <v>15</v>
      </c>
      <c r="L84" s="14" t="s">
        <v>16</v>
      </c>
      <c r="M84" s="7" t="s">
        <v>5</v>
      </c>
      <c r="N84" s="8" t="s">
        <v>6</v>
      </c>
      <c r="O84" s="9" t="s">
        <v>7</v>
      </c>
      <c r="P84" s="10" t="s">
        <v>8</v>
      </c>
      <c r="Q84" s="11" t="s">
        <v>9</v>
      </c>
      <c r="R84" s="11" t="s">
        <v>10</v>
      </c>
      <c r="S84" s="12" t="s">
        <v>11</v>
      </c>
      <c r="T84" s="12" t="s">
        <v>12</v>
      </c>
      <c r="U84" s="12" t="s">
        <v>13</v>
      </c>
      <c r="V84" s="13" t="s">
        <v>14</v>
      </c>
      <c r="W84" s="13" t="s">
        <v>15</v>
      </c>
      <c r="X84" s="14" t="s">
        <v>16</v>
      </c>
      <c r="Y84" s="7" t="s">
        <v>5</v>
      </c>
      <c r="Z84" s="8" t="s">
        <v>6</v>
      </c>
      <c r="AA84" s="9" t="s">
        <v>7</v>
      </c>
      <c r="AB84" s="10" t="s">
        <v>8</v>
      </c>
      <c r="AC84" s="11" t="s">
        <v>9</v>
      </c>
      <c r="AD84" s="11" t="s">
        <v>10</v>
      </c>
      <c r="AE84" s="12" t="s">
        <v>11</v>
      </c>
      <c r="AF84" s="12" t="s">
        <v>12</v>
      </c>
      <c r="AG84" s="91" t="s">
        <v>39</v>
      </c>
      <c r="AH84" s="13" t="s">
        <v>14</v>
      </c>
      <c r="AI84" s="13" t="s">
        <v>15</v>
      </c>
      <c r="AJ84" s="14" t="s">
        <v>16</v>
      </c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</row>
    <row r="85">
      <c r="A85" s="92">
        <v>45540.0</v>
      </c>
      <c r="B85" s="16"/>
      <c r="C85" s="17"/>
      <c r="D85" s="18">
        <v>800000.0</v>
      </c>
      <c r="E85" s="20"/>
      <c r="F85" s="20"/>
      <c r="G85" s="21">
        <f t="shared" ref="G85:G108" si="21">SUM(B85)-(B85*15%)+(C85)-(C85*20.8%)+(D85)+(E85)-(E85*0.95%)+(F85)-(F85*15.5%)</f>
        <v>800000</v>
      </c>
      <c r="H85" s="22">
        <f>SUM(B85:F108)</f>
        <v>11100000</v>
      </c>
      <c r="I85" s="21">
        <f>SUM(G85:G108)</f>
        <v>10042500</v>
      </c>
      <c r="J85" s="21">
        <f>SUM(I85)-(I85*97%)</f>
        <v>301275</v>
      </c>
      <c r="K85" s="21">
        <f>SUM(I85)-(I85*95%)</f>
        <v>502125</v>
      </c>
      <c r="L85" s="23">
        <f>SUM(I85)-(I85*93%)</f>
        <v>702975</v>
      </c>
      <c r="M85" s="60">
        <v>45541.0</v>
      </c>
      <c r="N85" s="24">
        <v>2000000.0</v>
      </c>
      <c r="O85" s="25"/>
      <c r="P85" s="18"/>
      <c r="Q85" s="20"/>
      <c r="R85" s="20"/>
      <c r="S85" s="21">
        <f t="shared" ref="S85:S108" si="22">SUM(N85)-(N85*15%)+(O85)-(O85*20.8%)+(P85)+(Q85)-(Q85*0.95%)+(R85)-(R85*15.5%)</f>
        <v>1700000</v>
      </c>
      <c r="T85" s="22">
        <f>SUM(N85:R108)</f>
        <v>9900000</v>
      </c>
      <c r="U85" s="21">
        <f>SUM(S85:S108)</f>
        <v>8405395</v>
      </c>
      <c r="V85" s="21">
        <f>SUM(U85)-(U85*97%)</f>
        <v>252161.85</v>
      </c>
      <c r="W85" s="21">
        <f>SUM(U85)-(U85*95%)</f>
        <v>420269.75</v>
      </c>
      <c r="X85" s="23">
        <f>SUM(U85)-(U85*93%)</f>
        <v>588377.65</v>
      </c>
      <c r="Y85" s="60">
        <v>45538.0</v>
      </c>
      <c r="Z85" s="16">
        <v>1000000.0</v>
      </c>
      <c r="AA85" s="43"/>
      <c r="AB85" s="18"/>
      <c r="AC85" s="20"/>
      <c r="AD85" s="20"/>
      <c r="AE85" s="21">
        <f t="shared" ref="AE85:AE108" si="23">SUM(Z85)-(Z85*15%)+(AA85)-(AA85*20.8%)+(AB85)+(AC85)-(AC85*0.95%)+(AD85)-(AD85*15.5%)</f>
        <v>850000</v>
      </c>
      <c r="AF85" s="22">
        <f>SUM(Z85:AD108)</f>
        <v>13300000</v>
      </c>
      <c r="AG85" s="21">
        <f>SUM(AE85:AE108)</f>
        <v>11579850</v>
      </c>
      <c r="AH85" s="21">
        <f>SUM(AG85)-(AG85*97%)</f>
        <v>347395.5</v>
      </c>
      <c r="AI85" s="21">
        <f>SUM(AG85)-(AG85*95%)</f>
        <v>578992.5</v>
      </c>
      <c r="AJ85" s="23">
        <f>SUM(AG85)-(AG85*93%)</f>
        <v>810589.5</v>
      </c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</row>
    <row r="86">
      <c r="A86" s="60">
        <v>45549.0</v>
      </c>
      <c r="B86" s="27"/>
      <c r="C86" s="17"/>
      <c r="D86" s="40"/>
      <c r="E86" s="30">
        <v>100000.0</v>
      </c>
      <c r="F86" s="30"/>
      <c r="G86" s="21">
        <f t="shared" si="21"/>
        <v>99050</v>
      </c>
      <c r="H86" s="31" t="s">
        <v>20</v>
      </c>
      <c r="I86" s="13"/>
      <c r="J86" s="13" t="s">
        <v>21</v>
      </c>
      <c r="K86" s="13" t="s">
        <v>22</v>
      </c>
      <c r="L86" s="14" t="s">
        <v>23</v>
      </c>
      <c r="M86" s="60">
        <v>45545.0</v>
      </c>
      <c r="N86" s="32"/>
      <c r="O86" s="25"/>
      <c r="P86" s="33"/>
      <c r="Q86" s="30">
        <v>290000.0</v>
      </c>
      <c r="R86" s="30"/>
      <c r="S86" s="21">
        <f t="shared" si="22"/>
        <v>287245</v>
      </c>
      <c r="T86" s="31" t="s">
        <v>20</v>
      </c>
      <c r="U86" s="13"/>
      <c r="V86" s="13" t="s">
        <v>21</v>
      </c>
      <c r="W86" s="13" t="s">
        <v>22</v>
      </c>
      <c r="X86" s="14" t="s">
        <v>23</v>
      </c>
      <c r="Y86" s="15" t="s">
        <v>40</v>
      </c>
      <c r="Z86" s="27"/>
      <c r="AA86" s="17"/>
      <c r="AB86" s="28"/>
      <c r="AC86" s="30">
        <v>1500000.0</v>
      </c>
      <c r="AD86" s="30"/>
      <c r="AE86" s="21">
        <f t="shared" si="23"/>
        <v>1485750</v>
      </c>
      <c r="AF86" s="31" t="s">
        <v>20</v>
      </c>
      <c r="AG86" s="13"/>
      <c r="AH86" s="13" t="s">
        <v>21</v>
      </c>
      <c r="AI86" s="13" t="s">
        <v>22</v>
      </c>
      <c r="AJ86" s="14" t="s">
        <v>23</v>
      </c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</row>
    <row r="87">
      <c r="A87" s="15" t="s">
        <v>41</v>
      </c>
      <c r="B87" s="39"/>
      <c r="C87" s="17"/>
      <c r="D87" s="18"/>
      <c r="E87" s="20">
        <v>50000.0</v>
      </c>
      <c r="F87" s="20"/>
      <c r="G87" s="21">
        <f t="shared" si="21"/>
        <v>49525</v>
      </c>
      <c r="H87" s="36"/>
      <c r="I87" s="13"/>
      <c r="J87" s="21">
        <f t="shared" ref="J87:L87" si="24">SUM(J85)-(J85*10%)</f>
        <v>271147.5</v>
      </c>
      <c r="K87" s="21">
        <f t="shared" si="24"/>
        <v>451912.5</v>
      </c>
      <c r="L87" s="23">
        <f t="shared" si="24"/>
        <v>632677.5</v>
      </c>
      <c r="M87" s="60">
        <v>45553.0</v>
      </c>
      <c r="N87" s="32"/>
      <c r="O87" s="25"/>
      <c r="P87" s="33"/>
      <c r="Q87" s="20"/>
      <c r="R87" s="20">
        <v>2000000.0</v>
      </c>
      <c r="S87" s="21">
        <f t="shared" si="22"/>
        <v>1690000</v>
      </c>
      <c r="T87" s="36"/>
      <c r="U87" s="13"/>
      <c r="V87" s="21">
        <f t="shared" ref="V87:X87" si="25">SUM(V85)-(V85*10%)</f>
        <v>226945.665</v>
      </c>
      <c r="W87" s="21">
        <f t="shared" si="25"/>
        <v>378242.775</v>
      </c>
      <c r="X87" s="23">
        <f t="shared" si="25"/>
        <v>529539.885</v>
      </c>
      <c r="Y87" s="60">
        <v>45545.0</v>
      </c>
      <c r="Z87" s="39"/>
      <c r="AA87" s="43">
        <v>2000000.0</v>
      </c>
      <c r="AB87" s="18"/>
      <c r="AC87" s="20"/>
      <c r="AD87" s="20"/>
      <c r="AE87" s="21">
        <f t="shared" si="23"/>
        <v>1584000</v>
      </c>
      <c r="AF87" s="36"/>
      <c r="AG87" s="13"/>
      <c r="AH87" s="21">
        <f t="shared" ref="AH87:AJ87" si="26">SUM(AH85)-(AH85*10%)</f>
        <v>312655.95</v>
      </c>
      <c r="AI87" s="21">
        <f t="shared" si="26"/>
        <v>521093.25</v>
      </c>
      <c r="AJ87" s="23">
        <f t="shared" si="26"/>
        <v>729530.55</v>
      </c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</row>
    <row r="88">
      <c r="A88" s="60">
        <v>45551.0</v>
      </c>
      <c r="B88" s="27"/>
      <c r="C88" s="17"/>
      <c r="D88" s="18"/>
      <c r="E88" s="20"/>
      <c r="F88" s="20">
        <v>1900000.0</v>
      </c>
      <c r="G88" s="21">
        <f t="shared" si="21"/>
        <v>1605500</v>
      </c>
      <c r="H88" s="13"/>
      <c r="I88" s="13"/>
      <c r="J88" s="13"/>
      <c r="K88" s="13"/>
      <c r="L88" s="14"/>
      <c r="M88" s="60">
        <v>45556.0</v>
      </c>
      <c r="N88" s="32"/>
      <c r="O88" s="93">
        <v>860000.0</v>
      </c>
      <c r="P88" s="33"/>
      <c r="Q88" s="20"/>
      <c r="R88" s="20">
        <v>1140000.0</v>
      </c>
      <c r="S88" s="21">
        <f t="shared" si="22"/>
        <v>1644420</v>
      </c>
      <c r="T88" s="13"/>
      <c r="U88" s="13"/>
      <c r="V88" s="13"/>
      <c r="W88" s="13"/>
      <c r="X88" s="14"/>
      <c r="Y88" s="60">
        <v>45545.0</v>
      </c>
      <c r="Z88" s="35">
        <v>2000000.0</v>
      </c>
      <c r="AA88" s="17"/>
      <c r="AB88" s="18"/>
      <c r="AC88" s="20"/>
      <c r="AD88" s="20"/>
      <c r="AE88" s="21">
        <f t="shared" si="23"/>
        <v>1700000</v>
      </c>
      <c r="AF88" s="13"/>
      <c r="AG88" s="13"/>
      <c r="AH88" s="13"/>
      <c r="AI88" s="13"/>
      <c r="AJ88" s="14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</row>
    <row r="89">
      <c r="A89" s="60">
        <v>45551.0</v>
      </c>
      <c r="B89" s="39"/>
      <c r="C89" s="17"/>
      <c r="D89" s="18"/>
      <c r="E89" s="20"/>
      <c r="F89" s="20">
        <v>1400000.0</v>
      </c>
      <c r="G89" s="21">
        <f t="shared" si="21"/>
        <v>1183000</v>
      </c>
      <c r="H89" s="13"/>
      <c r="I89" s="13"/>
      <c r="J89" s="13"/>
      <c r="K89" s="13"/>
      <c r="L89" s="14"/>
      <c r="M89" s="60">
        <v>45556.0</v>
      </c>
      <c r="N89" s="32"/>
      <c r="O89" s="25"/>
      <c r="P89" s="33"/>
      <c r="Q89" s="20"/>
      <c r="R89" s="20">
        <v>1450000.0</v>
      </c>
      <c r="S89" s="21">
        <f t="shared" si="22"/>
        <v>1225250</v>
      </c>
      <c r="T89" s="13"/>
      <c r="U89" s="13"/>
      <c r="V89" s="13"/>
      <c r="W89" s="13"/>
      <c r="X89" s="14"/>
      <c r="Y89" s="60">
        <v>45556.0</v>
      </c>
      <c r="Z89" s="27"/>
      <c r="AA89" s="43"/>
      <c r="AB89" s="18"/>
      <c r="AC89" s="20"/>
      <c r="AD89" s="20">
        <v>2000000.0</v>
      </c>
      <c r="AE89" s="21">
        <f t="shared" si="23"/>
        <v>1690000</v>
      </c>
      <c r="AF89" s="13"/>
      <c r="AG89" s="13"/>
      <c r="AH89" s="13"/>
      <c r="AI89" s="13"/>
      <c r="AJ89" s="14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</row>
    <row r="90">
      <c r="A90" s="15" t="s">
        <v>42</v>
      </c>
      <c r="B90" s="39"/>
      <c r="C90" s="43">
        <v>1000000.0</v>
      </c>
      <c r="D90" s="18"/>
      <c r="E90" s="20">
        <v>350000.0</v>
      </c>
      <c r="F90" s="20"/>
      <c r="G90" s="21">
        <f t="shared" si="21"/>
        <v>1138675</v>
      </c>
      <c r="H90" s="13"/>
      <c r="I90" s="13"/>
      <c r="J90" s="13"/>
      <c r="K90" s="13"/>
      <c r="L90" s="14"/>
      <c r="M90" s="60">
        <v>45559.0</v>
      </c>
      <c r="N90" s="32"/>
      <c r="O90" s="25"/>
      <c r="P90" s="33"/>
      <c r="Q90" s="20">
        <v>10000.0</v>
      </c>
      <c r="R90" s="20"/>
      <c r="S90" s="21">
        <f t="shared" si="22"/>
        <v>9905</v>
      </c>
      <c r="T90" s="13"/>
      <c r="U90" s="13"/>
      <c r="V90" s="13"/>
      <c r="W90" s="13"/>
      <c r="X90" s="14"/>
      <c r="Y90" s="60">
        <v>45557.0</v>
      </c>
      <c r="Z90" s="39"/>
      <c r="AA90" s="43"/>
      <c r="AB90" s="18"/>
      <c r="AC90" s="20"/>
      <c r="AD90" s="20">
        <v>600000.0</v>
      </c>
      <c r="AE90" s="21">
        <f t="shared" si="23"/>
        <v>507000</v>
      </c>
      <c r="AF90" s="13"/>
      <c r="AG90" s="13"/>
      <c r="AH90" s="13"/>
      <c r="AI90" s="13"/>
      <c r="AJ90" s="14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</row>
    <row r="91">
      <c r="A91" s="60">
        <v>45560.0</v>
      </c>
      <c r="B91" s="45"/>
      <c r="C91" s="17"/>
      <c r="D91" s="18"/>
      <c r="E91" s="20">
        <v>50000.0</v>
      </c>
      <c r="F91" s="20"/>
      <c r="G91" s="21">
        <f t="shared" si="21"/>
        <v>49525</v>
      </c>
      <c r="H91" s="94" t="s">
        <v>13</v>
      </c>
      <c r="I91" s="86"/>
      <c r="J91" s="86" t="s">
        <v>35</v>
      </c>
      <c r="K91" s="86"/>
      <c r="L91" s="95"/>
      <c r="M91" s="60">
        <v>45537.0</v>
      </c>
      <c r="N91" s="24"/>
      <c r="O91" s="25"/>
      <c r="P91" s="18"/>
      <c r="Q91" s="20">
        <v>150000.0</v>
      </c>
      <c r="R91" s="20"/>
      <c r="S91" s="21">
        <f t="shared" si="22"/>
        <v>148575</v>
      </c>
      <c r="T91" s="13"/>
      <c r="U91" s="13"/>
      <c r="V91" s="13"/>
      <c r="W91" s="13"/>
      <c r="X91" s="14"/>
      <c r="Y91" s="96">
        <v>45539.0</v>
      </c>
      <c r="Z91" s="97"/>
      <c r="AA91" s="98"/>
      <c r="AB91" s="99"/>
      <c r="AC91" s="100">
        <v>200000.0</v>
      </c>
      <c r="AD91" s="101"/>
      <c r="AE91" s="21">
        <f t="shared" si="23"/>
        <v>198100</v>
      </c>
      <c r="AF91" s="13"/>
      <c r="AG91" s="13"/>
      <c r="AH91" s="13"/>
      <c r="AI91" s="13"/>
      <c r="AJ91" s="14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</row>
    <row r="92">
      <c r="A92" s="15" t="s">
        <v>43</v>
      </c>
      <c r="B92" s="16">
        <v>1200000.0</v>
      </c>
      <c r="C92" s="17"/>
      <c r="D92" s="42"/>
      <c r="E92" s="30"/>
      <c r="F92" s="30"/>
      <c r="G92" s="21">
        <f t="shared" si="21"/>
        <v>1020000</v>
      </c>
      <c r="H92" s="95">
        <f>AG85+I85+U85</f>
        <v>30027745</v>
      </c>
      <c r="I92" s="86"/>
      <c r="J92" s="102" t="s">
        <v>44</v>
      </c>
      <c r="K92" s="102"/>
      <c r="L92" s="95"/>
      <c r="M92" s="60">
        <v>45565.0</v>
      </c>
      <c r="N92" s="24">
        <v>2000000.0</v>
      </c>
      <c r="O92" s="25"/>
      <c r="P92" s="41"/>
      <c r="Q92" s="20"/>
      <c r="R92" s="20"/>
      <c r="S92" s="21">
        <f t="shared" si="22"/>
        <v>1700000</v>
      </c>
      <c r="T92" s="13"/>
      <c r="U92" s="13"/>
      <c r="V92" s="13"/>
      <c r="W92" s="13"/>
      <c r="X92" s="14"/>
      <c r="Y92" s="60">
        <v>45563.0</v>
      </c>
      <c r="Z92" s="27"/>
      <c r="AA92" s="43">
        <v>2000000.0</v>
      </c>
      <c r="AB92" s="42"/>
      <c r="AC92" s="20"/>
      <c r="AD92" s="20"/>
      <c r="AE92" s="21">
        <f t="shared" si="23"/>
        <v>1584000</v>
      </c>
      <c r="AF92" s="13"/>
      <c r="AG92" s="13"/>
      <c r="AH92" s="13"/>
      <c r="AI92" s="13"/>
      <c r="AJ92" s="14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</row>
    <row r="93">
      <c r="A93" s="60">
        <v>45560.0</v>
      </c>
      <c r="B93" s="35">
        <v>800000.0</v>
      </c>
      <c r="C93" s="17"/>
      <c r="D93" s="18"/>
      <c r="E93" s="20"/>
      <c r="F93" s="20"/>
      <c r="G93" s="21">
        <f t="shared" si="21"/>
        <v>680000</v>
      </c>
      <c r="H93" s="95"/>
      <c r="I93" s="95"/>
      <c r="J93" s="87">
        <f>SUM(H92)-(H92*98.5%)</f>
        <v>450416.175</v>
      </c>
      <c r="K93" s="103"/>
      <c r="L93" s="95"/>
      <c r="M93" s="38"/>
      <c r="N93" s="24"/>
      <c r="O93" s="25"/>
      <c r="P93" s="41"/>
      <c r="Q93" s="30"/>
      <c r="R93" s="30"/>
      <c r="S93" s="21">
        <f t="shared" si="22"/>
        <v>0</v>
      </c>
      <c r="T93" s="13"/>
      <c r="U93" s="13"/>
      <c r="V93" s="13"/>
      <c r="W93" s="13"/>
      <c r="X93" s="14"/>
      <c r="Y93" s="60">
        <v>45565.0</v>
      </c>
      <c r="Z93" s="27"/>
      <c r="AA93" s="43"/>
      <c r="AB93" s="42"/>
      <c r="AC93" s="30">
        <v>2000000.0</v>
      </c>
      <c r="AD93" s="30"/>
      <c r="AE93" s="21">
        <f t="shared" si="23"/>
        <v>1981000</v>
      </c>
      <c r="AF93" s="13"/>
      <c r="AG93" s="13"/>
      <c r="AH93" s="13"/>
      <c r="AI93" s="13"/>
      <c r="AJ93" s="14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</row>
    <row r="94">
      <c r="A94" s="60">
        <v>45561.0</v>
      </c>
      <c r="B94" s="24"/>
      <c r="C94" s="25"/>
      <c r="D94" s="41"/>
      <c r="E94" s="46">
        <v>450000.0</v>
      </c>
      <c r="F94" s="46"/>
      <c r="G94" s="21">
        <f t="shared" si="21"/>
        <v>445725</v>
      </c>
      <c r="H94" s="95"/>
      <c r="I94" s="95"/>
      <c r="J94" s="86" t="s">
        <v>36</v>
      </c>
      <c r="K94" s="86"/>
      <c r="L94" s="95"/>
      <c r="M94" s="38"/>
      <c r="N94" s="37"/>
      <c r="O94" s="25"/>
      <c r="P94" s="41"/>
      <c r="Q94" s="20"/>
      <c r="R94" s="20"/>
      <c r="S94" s="21">
        <f t="shared" si="22"/>
        <v>0</v>
      </c>
      <c r="T94" s="13"/>
      <c r="U94" s="13"/>
      <c r="V94" s="13"/>
      <c r="W94" s="13"/>
      <c r="X94" s="14"/>
      <c r="Y94" s="38"/>
      <c r="Z94" s="45"/>
      <c r="AA94" s="17"/>
      <c r="AB94" s="18"/>
      <c r="AC94" s="20"/>
      <c r="AD94" s="20"/>
      <c r="AE94" s="21">
        <f t="shared" si="23"/>
        <v>0</v>
      </c>
      <c r="AF94" s="13"/>
      <c r="AG94" s="13"/>
      <c r="AH94" s="13"/>
      <c r="AI94" s="13"/>
      <c r="AJ94" s="14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</row>
    <row r="95">
      <c r="A95" s="92">
        <v>45565.0</v>
      </c>
      <c r="B95" s="47"/>
      <c r="C95" s="25"/>
      <c r="D95" s="33"/>
      <c r="E95" s="46">
        <v>1000000.0</v>
      </c>
      <c r="F95" s="46"/>
      <c r="G95" s="21">
        <f t="shared" si="21"/>
        <v>990500</v>
      </c>
      <c r="H95" s="94" t="s">
        <v>12</v>
      </c>
      <c r="I95" s="95"/>
      <c r="J95" s="87">
        <f>SUM(J93)-(J93*10%)</f>
        <v>405374.5575</v>
      </c>
      <c r="K95" s="87"/>
      <c r="L95" s="95"/>
      <c r="M95" s="38"/>
      <c r="N95" s="24"/>
      <c r="O95" s="25"/>
      <c r="P95" s="41"/>
      <c r="Q95" s="46"/>
      <c r="R95" s="46"/>
      <c r="S95" s="21">
        <f t="shared" si="22"/>
        <v>0</v>
      </c>
      <c r="T95" s="13"/>
      <c r="U95" s="13"/>
      <c r="V95" s="13"/>
      <c r="W95" s="13"/>
      <c r="X95" s="14"/>
      <c r="Y95" s="38"/>
      <c r="Z95" s="16"/>
      <c r="AA95" s="17"/>
      <c r="AB95" s="42"/>
      <c r="AC95" s="46"/>
      <c r="AD95" s="46"/>
      <c r="AE95" s="21">
        <f t="shared" si="23"/>
        <v>0</v>
      </c>
      <c r="AF95" s="13"/>
      <c r="AG95" s="13"/>
      <c r="AH95" s="13"/>
      <c r="AI95" s="13"/>
      <c r="AJ95" s="14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</row>
    <row r="96">
      <c r="A96" s="92">
        <v>45566.0</v>
      </c>
      <c r="B96" s="47"/>
      <c r="C96" s="25"/>
      <c r="D96" s="33"/>
      <c r="E96" s="46">
        <v>2000000.0</v>
      </c>
      <c r="F96" s="46"/>
      <c r="G96" s="21">
        <f t="shared" si="21"/>
        <v>1981000</v>
      </c>
      <c r="H96" s="95">
        <f>H85+T85+AF85</f>
        <v>34300000</v>
      </c>
      <c r="I96" s="95"/>
      <c r="J96" s="95"/>
      <c r="K96" s="95"/>
      <c r="L96" s="95"/>
      <c r="M96" s="38"/>
      <c r="N96" s="47"/>
      <c r="O96" s="25"/>
      <c r="P96" s="41"/>
      <c r="Q96" s="46"/>
      <c r="R96" s="46"/>
      <c r="S96" s="21">
        <f t="shared" si="22"/>
        <v>0</v>
      </c>
      <c r="T96" s="13"/>
      <c r="U96" s="13"/>
      <c r="V96" s="13"/>
      <c r="W96" s="13"/>
      <c r="X96" s="14"/>
      <c r="Y96" s="38"/>
      <c r="Z96" s="48"/>
      <c r="AA96" s="17"/>
      <c r="AB96" s="18"/>
      <c r="AC96" s="46"/>
      <c r="AD96" s="46"/>
      <c r="AE96" s="21">
        <f t="shared" si="23"/>
        <v>0</v>
      </c>
      <c r="AF96" s="13"/>
      <c r="AG96" s="13"/>
      <c r="AH96" s="13"/>
      <c r="AI96" s="13"/>
      <c r="AJ96" s="14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</row>
    <row r="97">
      <c r="A97" s="38"/>
      <c r="B97" s="32"/>
      <c r="C97" s="25"/>
      <c r="D97" s="41"/>
      <c r="E97" s="46"/>
      <c r="F97" s="46"/>
      <c r="G97" s="21">
        <f t="shared" si="21"/>
        <v>0</v>
      </c>
      <c r="H97" s="95"/>
      <c r="I97" s="95"/>
      <c r="J97" s="95"/>
      <c r="K97" s="95"/>
      <c r="L97" s="95"/>
      <c r="M97" s="38"/>
      <c r="N97" s="32"/>
      <c r="O97" s="25"/>
      <c r="P97" s="41"/>
      <c r="Q97" s="46"/>
      <c r="R97" s="46"/>
      <c r="S97" s="21">
        <f t="shared" si="22"/>
        <v>0</v>
      </c>
      <c r="T97" s="13"/>
      <c r="U97" s="13"/>
      <c r="V97" s="13"/>
      <c r="W97" s="13"/>
      <c r="X97" s="14"/>
      <c r="Y97" s="38"/>
      <c r="Z97" s="27"/>
      <c r="AA97" s="17"/>
      <c r="AB97" s="42"/>
      <c r="AC97" s="46"/>
      <c r="AD97" s="46"/>
      <c r="AE97" s="21">
        <f t="shared" si="23"/>
        <v>0</v>
      </c>
      <c r="AF97" s="13"/>
      <c r="AG97" s="13"/>
      <c r="AH97" s="13"/>
      <c r="AI97" s="13"/>
      <c r="AJ97" s="14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</row>
    <row r="98">
      <c r="A98" s="38"/>
      <c r="B98" s="47"/>
      <c r="C98" s="25"/>
      <c r="D98" s="41"/>
      <c r="E98" s="46"/>
      <c r="F98" s="46"/>
      <c r="G98" s="21">
        <f t="shared" si="21"/>
        <v>0</v>
      </c>
      <c r="H98" s="13"/>
      <c r="I98" s="13"/>
      <c r="J98" s="13"/>
      <c r="K98" s="13"/>
      <c r="L98" s="14"/>
      <c r="M98" s="38"/>
      <c r="N98" s="47"/>
      <c r="O98" s="25"/>
      <c r="P98" s="41"/>
      <c r="Q98" s="46"/>
      <c r="R98" s="46"/>
      <c r="S98" s="21">
        <f t="shared" si="22"/>
        <v>0</v>
      </c>
      <c r="T98" s="13"/>
      <c r="U98" s="13"/>
      <c r="V98" s="13"/>
      <c r="W98" s="13"/>
      <c r="X98" s="14"/>
      <c r="Y98" s="38"/>
      <c r="Z98" s="47"/>
      <c r="AA98" s="25"/>
      <c r="AB98" s="41"/>
      <c r="AC98" s="46"/>
      <c r="AD98" s="46"/>
      <c r="AE98" s="21">
        <f t="shared" si="23"/>
        <v>0</v>
      </c>
      <c r="AF98" s="13"/>
      <c r="AG98" s="13"/>
      <c r="AH98" s="13"/>
      <c r="AI98" s="13"/>
      <c r="AJ98" s="14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</row>
    <row r="99">
      <c r="A99" s="38"/>
      <c r="B99" s="47"/>
      <c r="C99" s="25"/>
      <c r="D99" s="41"/>
      <c r="E99" s="46"/>
      <c r="F99" s="46"/>
      <c r="G99" s="21">
        <f t="shared" si="21"/>
        <v>0</v>
      </c>
      <c r="H99" s="13"/>
      <c r="I99" s="13"/>
      <c r="J99" s="13"/>
      <c r="K99" s="13"/>
      <c r="L99" s="14"/>
      <c r="M99" s="38"/>
      <c r="N99" s="47"/>
      <c r="O99" s="25"/>
      <c r="P99" s="41"/>
      <c r="Q99" s="46"/>
      <c r="R99" s="46"/>
      <c r="S99" s="21">
        <f t="shared" si="22"/>
        <v>0</v>
      </c>
      <c r="T99" s="13"/>
      <c r="U99" s="13"/>
      <c r="V99" s="13"/>
      <c r="W99" s="13"/>
      <c r="X99" s="14"/>
      <c r="Y99" s="38"/>
      <c r="Z99" s="47"/>
      <c r="AA99" s="25"/>
      <c r="AB99" s="41"/>
      <c r="AC99" s="46"/>
      <c r="AD99" s="46"/>
      <c r="AE99" s="21">
        <f t="shared" si="23"/>
        <v>0</v>
      </c>
      <c r="AF99" s="13"/>
      <c r="AG99" s="13"/>
      <c r="AH99" s="13"/>
      <c r="AI99" s="13"/>
      <c r="AJ99" s="14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</row>
    <row r="100">
      <c r="A100" s="38"/>
      <c r="B100" s="47"/>
      <c r="C100" s="25"/>
      <c r="D100" s="41"/>
      <c r="E100" s="46"/>
      <c r="F100" s="46"/>
      <c r="G100" s="21">
        <f t="shared" si="21"/>
        <v>0</v>
      </c>
      <c r="H100" s="13"/>
      <c r="I100" s="13"/>
      <c r="J100" s="13"/>
      <c r="K100" s="13"/>
      <c r="L100" s="14"/>
      <c r="M100" s="38"/>
      <c r="N100" s="47"/>
      <c r="O100" s="25"/>
      <c r="P100" s="41"/>
      <c r="Q100" s="46"/>
      <c r="R100" s="46"/>
      <c r="S100" s="21">
        <f t="shared" si="22"/>
        <v>0</v>
      </c>
      <c r="T100" s="13"/>
      <c r="U100" s="13"/>
      <c r="V100" s="13"/>
      <c r="W100" s="13"/>
      <c r="X100" s="14"/>
      <c r="Y100" s="38"/>
      <c r="Z100" s="47"/>
      <c r="AA100" s="25"/>
      <c r="AB100" s="41"/>
      <c r="AC100" s="46"/>
      <c r="AD100" s="46"/>
      <c r="AE100" s="21">
        <f t="shared" si="23"/>
        <v>0</v>
      </c>
      <c r="AF100" s="13"/>
      <c r="AG100" s="13"/>
      <c r="AH100" s="13"/>
      <c r="AI100" s="13"/>
      <c r="AJ100" s="14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</row>
    <row r="101">
      <c r="A101" s="38"/>
      <c r="B101" s="32"/>
      <c r="C101" s="25"/>
      <c r="D101" s="41"/>
      <c r="E101" s="49"/>
      <c r="F101" s="49"/>
      <c r="G101" s="21">
        <f t="shared" si="21"/>
        <v>0</v>
      </c>
      <c r="H101" s="13"/>
      <c r="I101" s="13"/>
      <c r="J101" s="13"/>
      <c r="K101" s="13"/>
      <c r="L101" s="14"/>
      <c r="M101" s="38"/>
      <c r="N101" s="32"/>
      <c r="O101" s="25"/>
      <c r="P101" s="41"/>
      <c r="Q101" s="49"/>
      <c r="R101" s="49"/>
      <c r="S101" s="21">
        <f t="shared" si="22"/>
        <v>0</v>
      </c>
      <c r="T101" s="13"/>
      <c r="U101" s="13"/>
      <c r="V101" s="13"/>
      <c r="W101" s="13"/>
      <c r="X101" s="14"/>
      <c r="Y101" s="38"/>
      <c r="Z101" s="32"/>
      <c r="AA101" s="25"/>
      <c r="AB101" s="41"/>
      <c r="AC101" s="49"/>
      <c r="AD101" s="49"/>
      <c r="AE101" s="21">
        <f t="shared" si="23"/>
        <v>0</v>
      </c>
      <c r="AF101" s="13"/>
      <c r="AG101" s="13"/>
      <c r="AH101" s="13"/>
      <c r="AI101" s="13"/>
      <c r="AJ101" s="14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</row>
    <row r="102">
      <c r="A102" s="38"/>
      <c r="B102" s="32"/>
      <c r="C102" s="25"/>
      <c r="D102" s="41"/>
      <c r="E102" s="49"/>
      <c r="F102" s="49"/>
      <c r="G102" s="21">
        <f t="shared" si="21"/>
        <v>0</v>
      </c>
      <c r="H102" s="13"/>
      <c r="I102" s="13"/>
      <c r="J102" s="13"/>
      <c r="K102" s="13"/>
      <c r="L102" s="14"/>
      <c r="M102" s="38"/>
      <c r="N102" s="32"/>
      <c r="O102" s="25"/>
      <c r="P102" s="41"/>
      <c r="Q102" s="49"/>
      <c r="R102" s="49"/>
      <c r="S102" s="21">
        <f t="shared" si="22"/>
        <v>0</v>
      </c>
      <c r="T102" s="13"/>
      <c r="U102" s="13"/>
      <c r="V102" s="13"/>
      <c r="W102" s="13"/>
      <c r="X102" s="14"/>
      <c r="Y102" s="38"/>
      <c r="Z102" s="32"/>
      <c r="AA102" s="25"/>
      <c r="AB102" s="41"/>
      <c r="AC102" s="49"/>
      <c r="AD102" s="49"/>
      <c r="AE102" s="21">
        <f t="shared" si="23"/>
        <v>0</v>
      </c>
      <c r="AF102" s="13"/>
      <c r="AG102" s="13"/>
      <c r="AH102" s="13"/>
      <c r="AI102" s="13"/>
      <c r="AJ102" s="14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</row>
    <row r="103">
      <c r="A103" s="38"/>
      <c r="B103" s="32"/>
      <c r="C103" s="25"/>
      <c r="D103" s="41"/>
      <c r="E103" s="49"/>
      <c r="F103" s="49"/>
      <c r="G103" s="21">
        <f t="shared" si="21"/>
        <v>0</v>
      </c>
      <c r="H103" s="13"/>
      <c r="I103" s="13"/>
      <c r="J103" s="13"/>
      <c r="K103" s="13"/>
      <c r="L103" s="14"/>
      <c r="M103" s="38"/>
      <c r="N103" s="32"/>
      <c r="O103" s="25"/>
      <c r="P103" s="41"/>
      <c r="Q103" s="49"/>
      <c r="R103" s="49"/>
      <c r="S103" s="21">
        <f t="shared" si="22"/>
        <v>0</v>
      </c>
      <c r="T103" s="13"/>
      <c r="U103" s="13"/>
      <c r="V103" s="13"/>
      <c r="W103" s="13"/>
      <c r="X103" s="14"/>
      <c r="Y103" s="38"/>
      <c r="Z103" s="32"/>
      <c r="AA103" s="25"/>
      <c r="AB103" s="41"/>
      <c r="AC103" s="49"/>
      <c r="AD103" s="49"/>
      <c r="AE103" s="21">
        <f t="shared" si="23"/>
        <v>0</v>
      </c>
      <c r="AF103" s="13"/>
      <c r="AG103" s="13"/>
      <c r="AH103" s="13"/>
      <c r="AI103" s="13"/>
      <c r="AJ103" s="14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</row>
    <row r="104">
      <c r="A104" s="38"/>
      <c r="B104" s="32"/>
      <c r="C104" s="25"/>
      <c r="D104" s="41"/>
      <c r="E104" s="46"/>
      <c r="F104" s="46"/>
      <c r="G104" s="21">
        <f t="shared" si="21"/>
        <v>0</v>
      </c>
      <c r="H104" s="13"/>
      <c r="I104" s="67"/>
      <c r="J104" s="13"/>
      <c r="K104" s="13"/>
      <c r="L104" s="14"/>
      <c r="M104" s="38"/>
      <c r="N104" s="32"/>
      <c r="O104" s="25"/>
      <c r="P104" s="41"/>
      <c r="Q104" s="46"/>
      <c r="R104" s="46"/>
      <c r="S104" s="21">
        <f t="shared" si="22"/>
        <v>0</v>
      </c>
      <c r="T104" s="13"/>
      <c r="U104" s="13"/>
      <c r="V104" s="13"/>
      <c r="W104" s="13"/>
      <c r="X104" s="14"/>
      <c r="Y104" s="38"/>
      <c r="Z104" s="32"/>
      <c r="AA104" s="25"/>
      <c r="AB104" s="41"/>
      <c r="AC104" s="46"/>
      <c r="AD104" s="46"/>
      <c r="AE104" s="21">
        <f t="shared" si="23"/>
        <v>0</v>
      </c>
      <c r="AF104" s="13"/>
      <c r="AG104" s="13"/>
      <c r="AH104" s="13"/>
      <c r="AI104" s="13"/>
      <c r="AJ104" s="14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</row>
    <row r="105">
      <c r="A105" s="38"/>
      <c r="B105" s="47"/>
      <c r="C105" s="25"/>
      <c r="D105" s="41"/>
      <c r="E105" s="49"/>
      <c r="F105" s="49"/>
      <c r="G105" s="21">
        <f t="shared" si="21"/>
        <v>0</v>
      </c>
      <c r="H105" s="13"/>
      <c r="I105" s="67"/>
      <c r="J105" s="13"/>
      <c r="K105" s="13"/>
      <c r="L105" s="14"/>
      <c r="M105" s="38"/>
      <c r="N105" s="47"/>
      <c r="O105" s="25"/>
      <c r="P105" s="41"/>
      <c r="Q105" s="49"/>
      <c r="R105" s="49"/>
      <c r="S105" s="21">
        <f t="shared" si="22"/>
        <v>0</v>
      </c>
      <c r="T105" s="13"/>
      <c r="U105" s="13"/>
      <c r="V105" s="13"/>
      <c r="W105" s="13"/>
      <c r="X105" s="14"/>
      <c r="Y105" s="38"/>
      <c r="Z105" s="47"/>
      <c r="AA105" s="25"/>
      <c r="AB105" s="41"/>
      <c r="AC105" s="49"/>
      <c r="AD105" s="49"/>
      <c r="AE105" s="21">
        <f t="shared" si="23"/>
        <v>0</v>
      </c>
      <c r="AF105" s="13"/>
      <c r="AG105" s="13"/>
      <c r="AH105" s="13"/>
      <c r="AI105" s="13"/>
      <c r="AJ105" s="14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</row>
    <row r="106">
      <c r="A106" s="38"/>
      <c r="B106" s="32"/>
      <c r="C106" s="25"/>
      <c r="D106" s="41"/>
      <c r="E106" s="49"/>
      <c r="F106" s="49"/>
      <c r="G106" s="21">
        <f t="shared" si="21"/>
        <v>0</v>
      </c>
      <c r="H106" s="13"/>
      <c r="I106" s="67"/>
      <c r="J106" s="13"/>
      <c r="K106" s="13"/>
      <c r="L106" s="14"/>
      <c r="M106" s="38"/>
      <c r="N106" s="32"/>
      <c r="O106" s="25"/>
      <c r="P106" s="41"/>
      <c r="Q106" s="49"/>
      <c r="R106" s="49"/>
      <c r="S106" s="21">
        <f t="shared" si="22"/>
        <v>0</v>
      </c>
      <c r="T106" s="13"/>
      <c r="U106" s="13"/>
      <c r="V106" s="13"/>
      <c r="W106" s="13"/>
      <c r="X106" s="14"/>
      <c r="Y106" s="38"/>
      <c r="Z106" s="32"/>
      <c r="AA106" s="25"/>
      <c r="AB106" s="41"/>
      <c r="AC106" s="49"/>
      <c r="AD106" s="49"/>
      <c r="AE106" s="21">
        <f t="shared" si="23"/>
        <v>0</v>
      </c>
      <c r="AF106" s="13"/>
      <c r="AG106" s="13"/>
      <c r="AH106" s="13"/>
      <c r="AI106" s="13"/>
      <c r="AJ106" s="14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</row>
    <row r="107">
      <c r="A107" s="38"/>
      <c r="B107" s="32"/>
      <c r="C107" s="25"/>
      <c r="D107" s="41"/>
      <c r="E107" s="49"/>
      <c r="F107" s="49"/>
      <c r="G107" s="21">
        <f t="shared" si="21"/>
        <v>0</v>
      </c>
      <c r="H107" s="13"/>
      <c r="I107" s="67"/>
      <c r="J107" s="13"/>
      <c r="K107" s="13"/>
      <c r="L107" s="14"/>
      <c r="M107" s="38"/>
      <c r="N107" s="32"/>
      <c r="O107" s="25"/>
      <c r="P107" s="41"/>
      <c r="Q107" s="49"/>
      <c r="R107" s="49"/>
      <c r="S107" s="21">
        <f t="shared" si="22"/>
        <v>0</v>
      </c>
      <c r="T107" s="13"/>
      <c r="U107" s="13"/>
      <c r="V107" s="13"/>
      <c r="W107" s="13"/>
      <c r="X107" s="14"/>
      <c r="Y107" s="38"/>
      <c r="Z107" s="32"/>
      <c r="AA107" s="25"/>
      <c r="AB107" s="41"/>
      <c r="AC107" s="49"/>
      <c r="AD107" s="49"/>
      <c r="AE107" s="21">
        <f t="shared" si="23"/>
        <v>0</v>
      </c>
      <c r="AF107" s="13"/>
      <c r="AG107" s="13"/>
      <c r="AH107" s="13"/>
      <c r="AI107" s="13"/>
      <c r="AJ107" s="14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</row>
    <row r="108">
      <c r="A108" s="50"/>
      <c r="B108" s="32"/>
      <c r="C108" s="25"/>
      <c r="D108" s="41"/>
      <c r="E108" s="49"/>
      <c r="F108" s="49"/>
      <c r="G108" s="21">
        <f t="shared" si="21"/>
        <v>0</v>
      </c>
      <c r="H108" s="89"/>
      <c r="I108" s="104"/>
      <c r="J108" s="89"/>
      <c r="K108" s="89"/>
      <c r="L108" s="90"/>
      <c r="M108" s="50"/>
      <c r="N108" s="32"/>
      <c r="O108" s="25"/>
      <c r="P108" s="41"/>
      <c r="Q108" s="49"/>
      <c r="R108" s="49"/>
      <c r="S108" s="21">
        <f t="shared" si="22"/>
        <v>0</v>
      </c>
      <c r="T108" s="89"/>
      <c r="U108" s="89"/>
      <c r="V108" s="89"/>
      <c r="W108" s="89"/>
      <c r="X108" s="90"/>
      <c r="Y108" s="50"/>
      <c r="Z108" s="32"/>
      <c r="AA108" s="25"/>
      <c r="AB108" s="41"/>
      <c r="AC108" s="49"/>
      <c r="AD108" s="49"/>
      <c r="AE108" s="21">
        <f t="shared" si="23"/>
        <v>0</v>
      </c>
      <c r="AF108" s="89"/>
      <c r="AG108" s="89"/>
      <c r="AH108" s="89"/>
      <c r="AI108" s="89"/>
      <c r="AJ108" s="90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</row>
    <row r="109">
      <c r="A109" s="1" t="s">
        <v>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1" t="s">
        <v>1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3"/>
      <c r="Y109" s="1" t="s">
        <v>2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3"/>
      <c r="AK109" s="1" t="s">
        <v>45</v>
      </c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3"/>
      <c r="AW109" s="1" t="s">
        <v>46</v>
      </c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3"/>
      <c r="BI109" s="1" t="s">
        <v>47</v>
      </c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3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</row>
    <row r="110">
      <c r="A110" s="5" t="s">
        <v>48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5" t="s">
        <v>48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5" t="s">
        <v>48</v>
      </c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5" t="s">
        <v>48</v>
      </c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5" t="s">
        <v>48</v>
      </c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5" t="s">
        <v>48</v>
      </c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</row>
    <row r="111">
      <c r="A111" s="7" t="s">
        <v>5</v>
      </c>
      <c r="B111" s="8" t="s">
        <v>6</v>
      </c>
      <c r="C111" s="9" t="s">
        <v>7</v>
      </c>
      <c r="D111" s="10" t="s">
        <v>8</v>
      </c>
      <c r="E111" s="11" t="s">
        <v>9</v>
      </c>
      <c r="F111" s="11" t="s">
        <v>10</v>
      </c>
      <c r="G111" s="12" t="s">
        <v>11</v>
      </c>
      <c r="H111" s="12" t="s">
        <v>12</v>
      </c>
      <c r="I111" s="12" t="s">
        <v>13</v>
      </c>
      <c r="J111" s="13" t="s">
        <v>14</v>
      </c>
      <c r="K111" s="13" t="s">
        <v>15</v>
      </c>
      <c r="L111" s="14" t="s">
        <v>16</v>
      </c>
      <c r="M111" s="7" t="s">
        <v>5</v>
      </c>
      <c r="N111" s="8" t="s">
        <v>6</v>
      </c>
      <c r="O111" s="9" t="s">
        <v>7</v>
      </c>
      <c r="P111" s="10" t="s">
        <v>8</v>
      </c>
      <c r="Q111" s="11" t="s">
        <v>9</v>
      </c>
      <c r="R111" s="11" t="s">
        <v>10</v>
      </c>
      <c r="S111" s="12" t="s">
        <v>11</v>
      </c>
      <c r="T111" s="12" t="s">
        <v>12</v>
      </c>
      <c r="U111" s="12" t="s">
        <v>13</v>
      </c>
      <c r="V111" s="13" t="s">
        <v>14</v>
      </c>
      <c r="W111" s="13" t="s">
        <v>15</v>
      </c>
      <c r="X111" s="14" t="s">
        <v>16</v>
      </c>
      <c r="Y111" s="7" t="s">
        <v>5</v>
      </c>
      <c r="Z111" s="8" t="s">
        <v>6</v>
      </c>
      <c r="AA111" s="9" t="s">
        <v>7</v>
      </c>
      <c r="AB111" s="10" t="s">
        <v>8</v>
      </c>
      <c r="AC111" s="11" t="s">
        <v>9</v>
      </c>
      <c r="AD111" s="11" t="s">
        <v>10</v>
      </c>
      <c r="AE111" s="12" t="s">
        <v>11</v>
      </c>
      <c r="AF111" s="12" t="s">
        <v>12</v>
      </c>
      <c r="AG111" s="91" t="s">
        <v>39</v>
      </c>
      <c r="AH111" s="13" t="s">
        <v>14</v>
      </c>
      <c r="AI111" s="13" t="s">
        <v>15</v>
      </c>
      <c r="AJ111" s="14" t="s">
        <v>16</v>
      </c>
      <c r="AK111" s="7" t="s">
        <v>5</v>
      </c>
      <c r="AL111" s="8" t="s">
        <v>6</v>
      </c>
      <c r="AM111" s="9" t="s">
        <v>7</v>
      </c>
      <c r="AN111" s="10" t="s">
        <v>8</v>
      </c>
      <c r="AO111" s="11" t="s">
        <v>9</v>
      </c>
      <c r="AP111" s="11" t="s">
        <v>10</v>
      </c>
      <c r="AQ111" s="12" t="s">
        <v>11</v>
      </c>
      <c r="AR111" s="12" t="s">
        <v>12</v>
      </c>
      <c r="AS111" s="91" t="s">
        <v>39</v>
      </c>
      <c r="AT111" s="13" t="s">
        <v>14</v>
      </c>
      <c r="AU111" s="13" t="s">
        <v>15</v>
      </c>
      <c r="AV111" s="14" t="s">
        <v>16</v>
      </c>
      <c r="AW111" s="7" t="s">
        <v>5</v>
      </c>
      <c r="AX111" s="8" t="s">
        <v>6</v>
      </c>
      <c r="AY111" s="9" t="s">
        <v>7</v>
      </c>
      <c r="AZ111" s="10" t="s">
        <v>8</v>
      </c>
      <c r="BA111" s="11" t="s">
        <v>9</v>
      </c>
      <c r="BB111" s="11" t="s">
        <v>10</v>
      </c>
      <c r="BC111" s="12" t="s">
        <v>11</v>
      </c>
      <c r="BD111" s="12" t="s">
        <v>12</v>
      </c>
      <c r="BE111" s="91" t="s">
        <v>39</v>
      </c>
      <c r="BF111" s="13" t="s">
        <v>14</v>
      </c>
      <c r="BG111" s="13" t="s">
        <v>15</v>
      </c>
      <c r="BH111" s="14" t="s">
        <v>16</v>
      </c>
      <c r="BI111" s="7" t="s">
        <v>5</v>
      </c>
      <c r="BJ111" s="8" t="s">
        <v>6</v>
      </c>
      <c r="BK111" s="9" t="s">
        <v>7</v>
      </c>
      <c r="BL111" s="10" t="s">
        <v>8</v>
      </c>
      <c r="BM111" s="11" t="s">
        <v>9</v>
      </c>
      <c r="BN111" s="11" t="s">
        <v>10</v>
      </c>
      <c r="BO111" s="12" t="s">
        <v>11</v>
      </c>
      <c r="BP111" s="12" t="s">
        <v>12</v>
      </c>
      <c r="BQ111" s="91" t="s">
        <v>39</v>
      </c>
      <c r="BR111" s="13" t="s">
        <v>14</v>
      </c>
      <c r="BS111" s="13" t="s">
        <v>15</v>
      </c>
      <c r="BT111" s="14" t="s">
        <v>16</v>
      </c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</row>
    <row r="112">
      <c r="A112" s="60">
        <v>45567.0</v>
      </c>
      <c r="B112" s="16"/>
      <c r="C112" s="17"/>
      <c r="D112" s="18"/>
      <c r="E112" s="20">
        <v>50000.0</v>
      </c>
      <c r="F112" s="20"/>
      <c r="G112" s="21">
        <f t="shared" ref="G112:G135" si="27">SUM(B112)-(B112*15%)+(C112)-(C112*20.8%)+(D112)+(E112)-(E112*0.95%)+(F112)-(F112*15.5%)</f>
        <v>49525</v>
      </c>
      <c r="H112" s="22">
        <f>SUM(B112:F135)</f>
        <v>14060000</v>
      </c>
      <c r="I112" s="21">
        <f>SUM(G112:G135)</f>
        <v>13581700</v>
      </c>
      <c r="J112" s="21">
        <f>SUM(I112)-(I112*97%)</f>
        <v>407451</v>
      </c>
      <c r="K112" s="21">
        <f>SUM(I112)-(I112*95%)</f>
        <v>679085</v>
      </c>
      <c r="L112" s="23">
        <f>SUM(I112)-(I112*93%)</f>
        <v>950719</v>
      </c>
      <c r="M112" s="60"/>
      <c r="N112" s="24"/>
      <c r="O112" s="25"/>
      <c r="P112" s="18"/>
      <c r="Q112" s="20"/>
      <c r="R112" s="20">
        <v>2500000.0</v>
      </c>
      <c r="S112" s="21">
        <f t="shared" ref="S112:S135" si="28">SUM(N112)-(N112*15%)+(O112)-(O112*20.8%)+(P112)+(Q112)-(Q112*0.95%)+(R112)-(R112*15.5%)</f>
        <v>2112500</v>
      </c>
      <c r="T112" s="22">
        <f>SUM(N112:R135)</f>
        <v>3151000</v>
      </c>
      <c r="U112" s="21">
        <f>SUM(S112:S135)</f>
        <v>2757315.5</v>
      </c>
      <c r="V112" s="21">
        <f>SUM(U112)-(U112*97%)</f>
        <v>82719.465</v>
      </c>
      <c r="W112" s="21">
        <f>SUM(U112)-(U112*95%)</f>
        <v>137865.775</v>
      </c>
      <c r="X112" s="23">
        <f>SUM(U112)-(U112*93%)</f>
        <v>193012.085</v>
      </c>
      <c r="Y112" s="60"/>
      <c r="Z112" s="16"/>
      <c r="AA112" s="43"/>
      <c r="AB112" s="18"/>
      <c r="AC112" s="20"/>
      <c r="AD112" s="20">
        <v>2500000.0</v>
      </c>
      <c r="AE112" s="21">
        <f t="shared" ref="AE112:AE135" si="29">SUM(Z112)-(Z112*15%)+(AA112)-(AA112*20.8%)+(AB112)+(AC112)-(AC112*0.95%)+(AD112)-(AD112*15.5%)</f>
        <v>2112500</v>
      </c>
      <c r="AF112" s="22">
        <f>SUM(Z112:AD135)</f>
        <v>13035000</v>
      </c>
      <c r="AG112" s="21">
        <f>SUM(AE112:AE135)</f>
        <v>11372982.5</v>
      </c>
      <c r="AH112" s="21">
        <f>SUM(AG112)-(AG112*97%)</f>
        <v>341189.475</v>
      </c>
      <c r="AI112" s="21">
        <f>SUM(AG112)-(AG112*95%)</f>
        <v>568649.125</v>
      </c>
      <c r="AJ112" s="23">
        <f>SUM(AG112)-(AG112*93%)</f>
        <v>796108.775</v>
      </c>
      <c r="AK112" s="60"/>
      <c r="AL112" s="16"/>
      <c r="AM112" s="43"/>
      <c r="AN112" s="18"/>
      <c r="AO112" s="20">
        <v>207000.0</v>
      </c>
      <c r="AP112" s="20"/>
      <c r="AQ112" s="21">
        <f t="shared" ref="AQ112:AQ135" si="30">SUM(AL112)-(AL112*15%)+(AM112)-(AM112*20.8%)+(AN112)+(AO112)-(AO112*0.95%)+(AP112)-(AP112*15.5%)</f>
        <v>205033.5</v>
      </c>
      <c r="AR112" s="22">
        <f>SUM(AL112:AP135)</f>
        <v>207000</v>
      </c>
      <c r="AS112" s="21">
        <f>SUM(AQ112:AQ135)</f>
        <v>205033.5</v>
      </c>
      <c r="AT112" s="21">
        <f>SUM(AS112)-(AS112*97%)</f>
        <v>6151.005</v>
      </c>
      <c r="AU112" s="21">
        <f>SUM(AS112)-(AS112*95%)</f>
        <v>10251.675</v>
      </c>
      <c r="AV112" s="23">
        <f>SUM(AS112)-(AS112*93%)</f>
        <v>14352.345</v>
      </c>
      <c r="AW112" s="60">
        <v>45576.0</v>
      </c>
      <c r="AX112" s="16"/>
      <c r="AY112" s="43"/>
      <c r="AZ112" s="18"/>
      <c r="BA112" s="20">
        <v>150000.0</v>
      </c>
      <c r="BB112" s="20"/>
      <c r="BC112" s="21">
        <f t="shared" ref="BC112:BC135" si="31">SUM(AX112)-(AX112*15%)+(AY112)-(AY112*20.8%)+(AZ112)+(BA112)-(BA112*0.95%)+(BB112)-(BB112*15.5%)</f>
        <v>148575</v>
      </c>
      <c r="BD112" s="22">
        <f>SUM(AX112:BB135)</f>
        <v>2150000</v>
      </c>
      <c r="BE112" s="21">
        <f>SUM(BC112:BC135)</f>
        <v>2139075</v>
      </c>
      <c r="BF112" s="21">
        <f>SUM(BE112)-(BE112*97%)</f>
        <v>64172.25</v>
      </c>
      <c r="BG112" s="21">
        <f>SUM(BE112)-(BE112*95%)</f>
        <v>106953.75</v>
      </c>
      <c r="BH112" s="23">
        <f>SUM(BE112)-(BE112*93%)</f>
        <v>149735.25</v>
      </c>
      <c r="BI112" s="60">
        <v>45590.0</v>
      </c>
      <c r="BJ112" s="16"/>
      <c r="BK112" s="43"/>
      <c r="BL112" s="18"/>
      <c r="BM112" s="20">
        <v>10000.0</v>
      </c>
      <c r="BN112" s="20"/>
      <c r="BO112" s="21">
        <f t="shared" ref="BO112:BO135" si="32">SUM(BJ112)-(BJ112*15%)+(BK112)-(BK112*20.8%)+(BL112)+(BM112)-(BM112*0.95%)+(BN112)-(BN112*15.5%)</f>
        <v>9905</v>
      </c>
      <c r="BP112" s="22">
        <f>SUM(BJ112:BN135)</f>
        <v>217000</v>
      </c>
      <c r="BQ112" s="21">
        <f>SUM(BO112:BO135)</f>
        <v>185855</v>
      </c>
      <c r="BR112" s="21">
        <f>SUM(BQ112)-(BQ112*97%)</f>
        <v>5575.65</v>
      </c>
      <c r="BS112" s="21">
        <f>SUM(BQ112)-(BQ112*95%)</f>
        <v>9292.75</v>
      </c>
      <c r="BT112" s="23">
        <f>SUM(BQ112)-(BQ112*93%)</f>
        <v>13009.85</v>
      </c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</row>
    <row r="113">
      <c r="A113" s="60">
        <v>45567.0</v>
      </c>
      <c r="B113" s="27"/>
      <c r="C113" s="17"/>
      <c r="D113" s="40"/>
      <c r="E113" s="20">
        <v>50000.0</v>
      </c>
      <c r="F113" s="30"/>
      <c r="G113" s="21">
        <f t="shared" si="27"/>
        <v>49525</v>
      </c>
      <c r="H113" s="31" t="s">
        <v>20</v>
      </c>
      <c r="I113" s="13"/>
      <c r="J113" s="13" t="s">
        <v>21</v>
      </c>
      <c r="K113" s="13" t="s">
        <v>22</v>
      </c>
      <c r="L113" s="68" t="s">
        <v>49</v>
      </c>
      <c r="M113" s="60">
        <v>45574.0</v>
      </c>
      <c r="N113" s="32"/>
      <c r="O113" s="25"/>
      <c r="P113" s="33"/>
      <c r="Q113" s="30">
        <v>300000.0</v>
      </c>
      <c r="R113" s="30"/>
      <c r="S113" s="21">
        <f t="shared" si="28"/>
        <v>297150</v>
      </c>
      <c r="T113" s="31" t="s">
        <v>20</v>
      </c>
      <c r="U113" s="13"/>
      <c r="V113" s="13" t="s">
        <v>21</v>
      </c>
      <c r="W113" s="13" t="s">
        <v>22</v>
      </c>
      <c r="X113" s="14" t="s">
        <v>23</v>
      </c>
      <c r="Y113" s="60">
        <v>45573.0</v>
      </c>
      <c r="Z113" s="27"/>
      <c r="AA113" s="17"/>
      <c r="AB113" s="28"/>
      <c r="AC113" s="30">
        <v>1500000.0</v>
      </c>
      <c r="AD113" s="30"/>
      <c r="AE113" s="21">
        <f t="shared" si="29"/>
        <v>1485750</v>
      </c>
      <c r="AF113" s="31" t="s">
        <v>20</v>
      </c>
      <c r="AG113" s="13"/>
      <c r="AH113" s="13" t="s">
        <v>21</v>
      </c>
      <c r="AI113" s="13" t="s">
        <v>22</v>
      </c>
      <c r="AJ113" s="14" t="s">
        <v>23</v>
      </c>
      <c r="AK113" s="60"/>
      <c r="AL113" s="27"/>
      <c r="AM113" s="17"/>
      <c r="AN113" s="28"/>
      <c r="AO113" s="30"/>
      <c r="AP113" s="30"/>
      <c r="AQ113" s="21">
        <f t="shared" si="30"/>
        <v>0</v>
      </c>
      <c r="AR113" s="31" t="s">
        <v>20</v>
      </c>
      <c r="AS113" s="13"/>
      <c r="AT113" s="13" t="s">
        <v>21</v>
      </c>
      <c r="AU113" s="13" t="s">
        <v>22</v>
      </c>
      <c r="AV113" s="14" t="s">
        <v>23</v>
      </c>
      <c r="AW113" s="60">
        <v>45587.0</v>
      </c>
      <c r="AX113" s="27"/>
      <c r="AY113" s="17"/>
      <c r="AZ113" s="28"/>
      <c r="BA113" s="30">
        <v>100000.0</v>
      </c>
      <c r="BB113" s="30"/>
      <c r="BC113" s="21">
        <f t="shared" si="31"/>
        <v>99050</v>
      </c>
      <c r="BD113" s="31" t="s">
        <v>20</v>
      </c>
      <c r="BE113" s="13"/>
      <c r="BF113" s="13" t="s">
        <v>21</v>
      </c>
      <c r="BG113" s="13" t="s">
        <v>22</v>
      </c>
      <c r="BH113" s="14" t="s">
        <v>23</v>
      </c>
      <c r="BI113" s="60">
        <v>45590.0</v>
      </c>
      <c r="BJ113" s="30">
        <v>207000.0</v>
      </c>
      <c r="BK113" s="17"/>
      <c r="BL113" s="28"/>
      <c r="BM113" s="30"/>
      <c r="BN113" s="30"/>
      <c r="BO113" s="21">
        <f t="shared" si="32"/>
        <v>175950</v>
      </c>
      <c r="BP113" s="31" t="s">
        <v>20</v>
      </c>
      <c r="BQ113" s="13"/>
      <c r="BR113" s="13" t="s">
        <v>21</v>
      </c>
      <c r="BS113" s="13" t="s">
        <v>22</v>
      </c>
      <c r="BT113" s="14" t="s">
        <v>23</v>
      </c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</row>
    <row r="114">
      <c r="A114" s="15" t="s">
        <v>50</v>
      </c>
      <c r="B114" s="39"/>
      <c r="C114" s="17"/>
      <c r="D114" s="18"/>
      <c r="E114" s="20">
        <v>200000.0</v>
      </c>
      <c r="F114" s="20"/>
      <c r="G114" s="21">
        <f t="shared" si="27"/>
        <v>198100</v>
      </c>
      <c r="H114" s="36"/>
      <c r="I114" s="13"/>
      <c r="J114" s="21">
        <f t="shared" ref="J114:L114" si="33">SUM(J112)-(J112*10%)</f>
        <v>366705.9</v>
      </c>
      <c r="K114" s="21">
        <f t="shared" si="33"/>
        <v>611176.5</v>
      </c>
      <c r="L114" s="23">
        <f t="shared" si="33"/>
        <v>855647.1</v>
      </c>
      <c r="M114" s="60">
        <v>45574.0</v>
      </c>
      <c r="N114" s="32"/>
      <c r="O114" s="25"/>
      <c r="P114" s="33"/>
      <c r="Q114" s="20">
        <v>290000.0</v>
      </c>
      <c r="R114" s="20"/>
      <c r="S114" s="21">
        <f t="shared" si="28"/>
        <v>287245</v>
      </c>
      <c r="T114" s="36"/>
      <c r="U114" s="13"/>
      <c r="V114" s="21">
        <f t="shared" ref="V114:X114" si="34">SUM(V112)-(V112*10%)</f>
        <v>74447.5185</v>
      </c>
      <c r="W114" s="21">
        <f t="shared" si="34"/>
        <v>124079.1975</v>
      </c>
      <c r="X114" s="23">
        <f t="shared" si="34"/>
        <v>173710.8765</v>
      </c>
      <c r="Y114" s="60">
        <v>45575.0</v>
      </c>
      <c r="Z114" s="39"/>
      <c r="AA114" s="43"/>
      <c r="AB114" s="18"/>
      <c r="AC114" s="20"/>
      <c r="AD114" s="20">
        <v>2500000.0</v>
      </c>
      <c r="AE114" s="21">
        <f t="shared" si="29"/>
        <v>2112500</v>
      </c>
      <c r="AF114" s="36"/>
      <c r="AG114" s="13"/>
      <c r="AH114" s="21">
        <f t="shared" ref="AH114:AJ114" si="35">SUM(AH112)-(AH112*10%)</f>
        <v>307070.5275</v>
      </c>
      <c r="AI114" s="21">
        <f t="shared" si="35"/>
        <v>511784.2125</v>
      </c>
      <c r="AJ114" s="23">
        <f t="shared" si="35"/>
        <v>716497.8975</v>
      </c>
      <c r="AK114" s="60"/>
      <c r="AL114" s="39"/>
      <c r="AM114" s="43"/>
      <c r="AN114" s="18"/>
      <c r="AO114" s="20"/>
      <c r="AP114" s="20"/>
      <c r="AQ114" s="21">
        <f t="shared" si="30"/>
        <v>0</v>
      </c>
      <c r="AR114" s="36"/>
      <c r="AS114" s="13"/>
      <c r="AT114" s="21">
        <f t="shared" ref="AT114:AV114" si="36">SUM(AT112)-(AT112*10%)</f>
        <v>5535.9045</v>
      </c>
      <c r="AU114" s="21">
        <f t="shared" si="36"/>
        <v>9226.5075</v>
      </c>
      <c r="AV114" s="23">
        <f t="shared" si="36"/>
        <v>12917.1105</v>
      </c>
      <c r="AW114" s="60">
        <v>45588.0</v>
      </c>
      <c r="AX114" s="27"/>
      <c r="AY114" s="17"/>
      <c r="AZ114" s="28">
        <v>1000000.0</v>
      </c>
      <c r="BA114" s="30"/>
      <c r="BB114" s="20"/>
      <c r="BC114" s="21">
        <f t="shared" si="31"/>
        <v>1000000</v>
      </c>
      <c r="BD114" s="36"/>
      <c r="BE114" s="13"/>
      <c r="BF114" s="21">
        <f t="shared" ref="BF114:BH114" si="37">SUM(BF112)-(BF112*10%)</f>
        <v>57755.025</v>
      </c>
      <c r="BG114" s="21">
        <f t="shared" si="37"/>
        <v>96258.375</v>
      </c>
      <c r="BH114" s="23">
        <f t="shared" si="37"/>
        <v>134761.725</v>
      </c>
      <c r="BI114" s="60"/>
      <c r="BJ114" s="27"/>
      <c r="BK114" s="17"/>
      <c r="BL114" s="28"/>
      <c r="BM114" s="30"/>
      <c r="BN114" s="20"/>
      <c r="BO114" s="21">
        <f t="shared" si="32"/>
        <v>0</v>
      </c>
      <c r="BP114" s="36"/>
      <c r="BQ114" s="13"/>
      <c r="BR114" s="21">
        <f t="shared" ref="BR114:BT114" si="38">SUM(BR112)-(BR112*10%)</f>
        <v>5018.085</v>
      </c>
      <c r="BS114" s="21">
        <f t="shared" si="38"/>
        <v>8363.475</v>
      </c>
      <c r="BT114" s="23">
        <f t="shared" si="38"/>
        <v>11708.865</v>
      </c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</row>
    <row r="115">
      <c r="A115" s="60">
        <v>45569.0</v>
      </c>
      <c r="B115" s="27"/>
      <c r="C115" s="17"/>
      <c r="D115" s="18"/>
      <c r="E115" s="20">
        <v>300000.0</v>
      </c>
      <c r="F115" s="20"/>
      <c r="G115" s="21">
        <f t="shared" si="27"/>
        <v>297150</v>
      </c>
      <c r="H115" s="13"/>
      <c r="I115" s="13"/>
      <c r="J115" s="13"/>
      <c r="K115" s="13"/>
      <c r="L115" s="14"/>
      <c r="M115" s="60">
        <v>45575.0</v>
      </c>
      <c r="N115" s="32"/>
      <c r="O115" s="93"/>
      <c r="P115" s="33"/>
      <c r="Q115" s="20">
        <v>61000.0</v>
      </c>
      <c r="R115" s="20"/>
      <c r="S115" s="21">
        <f t="shared" si="28"/>
        <v>60420.5</v>
      </c>
      <c r="T115" s="13"/>
      <c r="U115" s="13"/>
      <c r="V115" s="13"/>
      <c r="W115" s="13"/>
      <c r="X115" s="14"/>
      <c r="Y115" s="15" t="s">
        <v>51</v>
      </c>
      <c r="Z115" s="35"/>
      <c r="AA115" s="17"/>
      <c r="AB115" s="18"/>
      <c r="AC115" s="20">
        <v>350000.0</v>
      </c>
      <c r="AD115" s="20"/>
      <c r="AE115" s="21">
        <f t="shared" si="29"/>
        <v>346675</v>
      </c>
      <c r="AF115" s="13"/>
      <c r="AG115" s="13"/>
      <c r="AH115" s="13"/>
      <c r="AI115" s="13"/>
      <c r="AJ115" s="14"/>
      <c r="AK115" s="60"/>
      <c r="AL115" s="35"/>
      <c r="AM115" s="17"/>
      <c r="AN115" s="18"/>
      <c r="AO115" s="20"/>
      <c r="AP115" s="20"/>
      <c r="AQ115" s="21">
        <f t="shared" si="30"/>
        <v>0</v>
      </c>
      <c r="AR115" s="13"/>
      <c r="AS115" s="13"/>
      <c r="AT115" s="13"/>
      <c r="AU115" s="13"/>
      <c r="AV115" s="14"/>
      <c r="AW115" s="60">
        <v>45588.0</v>
      </c>
      <c r="AX115" s="39"/>
      <c r="AY115" s="43"/>
      <c r="AZ115" s="18"/>
      <c r="BA115" s="20">
        <v>900000.0</v>
      </c>
      <c r="BB115" s="20"/>
      <c r="BC115" s="21">
        <f t="shared" si="31"/>
        <v>891450</v>
      </c>
      <c r="BD115" s="13"/>
      <c r="BE115" s="13"/>
      <c r="BF115" s="13"/>
      <c r="BG115" s="13"/>
      <c r="BH115" s="14"/>
      <c r="BI115" s="60"/>
      <c r="BJ115" s="39"/>
      <c r="BK115" s="43"/>
      <c r="BL115" s="18"/>
      <c r="BM115" s="20"/>
      <c r="BN115" s="20"/>
      <c r="BO115" s="21">
        <f t="shared" si="32"/>
        <v>0</v>
      </c>
      <c r="BP115" s="13"/>
      <c r="BQ115" s="13"/>
      <c r="BR115" s="13"/>
      <c r="BS115" s="13"/>
      <c r="BT115" s="14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</row>
    <row r="116">
      <c r="A116" s="60">
        <v>45572.0</v>
      </c>
      <c r="B116" s="39"/>
      <c r="C116" s="17"/>
      <c r="D116" s="18"/>
      <c r="E116" s="20">
        <v>700000.0</v>
      </c>
      <c r="F116" s="20"/>
      <c r="G116" s="21">
        <f t="shared" si="27"/>
        <v>693350</v>
      </c>
      <c r="H116" s="13"/>
      <c r="I116" s="13"/>
      <c r="J116" s="13"/>
      <c r="K116" s="13"/>
      <c r="L116" s="14"/>
      <c r="M116" s="60"/>
      <c r="N116" s="32"/>
      <c r="O116" s="25"/>
      <c r="P116" s="33"/>
      <c r="Q116" s="20"/>
      <c r="R116" s="20"/>
      <c r="S116" s="21">
        <f t="shared" si="28"/>
        <v>0</v>
      </c>
      <c r="T116" s="13"/>
      <c r="U116" s="13"/>
      <c r="V116" s="13"/>
      <c r="W116" s="13"/>
      <c r="X116" s="14"/>
      <c r="Y116" s="60">
        <v>45584.0</v>
      </c>
      <c r="Z116" s="27">
        <v>1800000.0</v>
      </c>
      <c r="AA116" s="43"/>
      <c r="AB116" s="18"/>
      <c r="AC116" s="20"/>
      <c r="AD116" s="20"/>
      <c r="AE116" s="21">
        <f t="shared" si="29"/>
        <v>1530000</v>
      </c>
      <c r="AF116" s="13"/>
      <c r="AG116" s="13"/>
      <c r="AH116" s="13"/>
      <c r="AI116" s="13"/>
      <c r="AJ116" s="14"/>
      <c r="AK116" s="60"/>
      <c r="AL116" s="27"/>
      <c r="AM116" s="43"/>
      <c r="AN116" s="18"/>
      <c r="AO116" s="20"/>
      <c r="AP116" s="20"/>
      <c r="AQ116" s="21">
        <f t="shared" si="30"/>
        <v>0</v>
      </c>
      <c r="AR116" s="13"/>
      <c r="AS116" s="13"/>
      <c r="AT116" s="13"/>
      <c r="AU116" s="13"/>
      <c r="AV116" s="14"/>
      <c r="AW116" s="60"/>
      <c r="AX116" s="27"/>
      <c r="AY116" s="43"/>
      <c r="AZ116" s="18"/>
      <c r="BA116" s="20"/>
      <c r="BB116" s="20"/>
      <c r="BC116" s="21">
        <f t="shared" si="31"/>
        <v>0</v>
      </c>
      <c r="BD116" s="13"/>
      <c r="BE116" s="13"/>
      <c r="BF116" s="13"/>
      <c r="BG116" s="13"/>
      <c r="BH116" s="14"/>
      <c r="BI116" s="60"/>
      <c r="BJ116" s="27"/>
      <c r="BK116" s="43"/>
      <c r="BL116" s="18"/>
      <c r="BM116" s="20"/>
      <c r="BN116" s="20"/>
      <c r="BO116" s="21">
        <f t="shared" si="32"/>
        <v>0</v>
      </c>
      <c r="BP116" s="13"/>
      <c r="BQ116" s="13"/>
      <c r="BR116" s="13"/>
      <c r="BS116" s="13"/>
      <c r="BT116" s="14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</row>
    <row r="117">
      <c r="A117" s="60">
        <v>45572.0</v>
      </c>
      <c r="B117" s="39"/>
      <c r="C117" s="43"/>
      <c r="D117" s="18"/>
      <c r="E117" s="20">
        <v>700000.0</v>
      </c>
      <c r="F117" s="20"/>
      <c r="G117" s="21">
        <f t="shared" si="27"/>
        <v>693350</v>
      </c>
      <c r="H117" s="13"/>
      <c r="I117" s="13"/>
      <c r="J117" s="13"/>
      <c r="K117" s="13"/>
      <c r="L117" s="14"/>
      <c r="M117" s="60"/>
      <c r="N117" s="32"/>
      <c r="O117" s="25"/>
      <c r="P117" s="33"/>
      <c r="Q117" s="20"/>
      <c r="R117" s="20"/>
      <c r="S117" s="21">
        <f t="shared" si="28"/>
        <v>0</v>
      </c>
      <c r="T117" s="13"/>
      <c r="U117" s="13"/>
      <c r="V117" s="13"/>
      <c r="W117" s="13"/>
      <c r="X117" s="14"/>
      <c r="Y117" s="60">
        <v>45584.0</v>
      </c>
      <c r="Z117" s="35">
        <v>480000.0</v>
      </c>
      <c r="AA117" s="43"/>
      <c r="AB117" s="18"/>
      <c r="AC117" s="20"/>
      <c r="AD117" s="20"/>
      <c r="AE117" s="21">
        <f t="shared" si="29"/>
        <v>408000</v>
      </c>
      <c r="AF117" s="13"/>
      <c r="AG117" s="13"/>
      <c r="AH117" s="13"/>
      <c r="AI117" s="13"/>
      <c r="AJ117" s="14"/>
      <c r="AK117" s="60"/>
      <c r="AL117" s="39"/>
      <c r="AM117" s="43"/>
      <c r="AN117" s="18"/>
      <c r="AO117" s="20"/>
      <c r="AP117" s="20"/>
      <c r="AQ117" s="21">
        <f t="shared" si="30"/>
        <v>0</v>
      </c>
      <c r="AR117" s="13"/>
      <c r="AS117" s="13"/>
      <c r="AT117" s="13"/>
      <c r="AU117" s="13"/>
      <c r="AV117" s="14"/>
      <c r="AW117" s="60"/>
      <c r="AX117" s="39"/>
      <c r="AY117" s="43"/>
      <c r="AZ117" s="18"/>
      <c r="BA117" s="20"/>
      <c r="BB117" s="20"/>
      <c r="BC117" s="21">
        <f t="shared" si="31"/>
        <v>0</v>
      </c>
      <c r="BD117" s="13"/>
      <c r="BE117" s="13"/>
      <c r="BF117" s="13"/>
      <c r="BG117" s="13"/>
      <c r="BH117" s="14"/>
      <c r="BI117" s="60"/>
      <c r="BJ117" s="39"/>
      <c r="BK117" s="43"/>
      <c r="BL117" s="18"/>
      <c r="BM117" s="20"/>
      <c r="BN117" s="20"/>
      <c r="BO117" s="21">
        <f t="shared" si="32"/>
        <v>0</v>
      </c>
      <c r="BP117" s="13"/>
      <c r="BQ117" s="13"/>
      <c r="BR117" s="13"/>
      <c r="BS117" s="13"/>
      <c r="BT117" s="14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</row>
    <row r="118">
      <c r="A118" s="60">
        <v>45574.0</v>
      </c>
      <c r="B118" s="45"/>
      <c r="C118" s="17"/>
      <c r="D118" s="18">
        <v>1750000.0</v>
      </c>
      <c r="E118" s="20"/>
      <c r="F118" s="20"/>
      <c r="G118" s="21">
        <f t="shared" si="27"/>
        <v>1750000</v>
      </c>
      <c r="H118" s="94" t="s">
        <v>13</v>
      </c>
      <c r="I118" s="86"/>
      <c r="J118" s="86" t="s">
        <v>35</v>
      </c>
      <c r="K118" s="86"/>
      <c r="L118" s="95"/>
      <c r="M118" s="38"/>
      <c r="N118" s="32"/>
      <c r="O118" s="25"/>
      <c r="P118" s="33"/>
      <c r="Q118" s="20"/>
      <c r="R118" s="20"/>
      <c r="S118" s="21">
        <f t="shared" si="28"/>
        <v>0</v>
      </c>
      <c r="T118" s="13"/>
      <c r="U118" s="13"/>
      <c r="V118" s="13"/>
      <c r="W118" s="13"/>
      <c r="X118" s="14"/>
      <c r="Y118" s="105">
        <v>45591.0</v>
      </c>
      <c r="Z118" s="106">
        <v>1490000.0</v>
      </c>
      <c r="AA118" s="98"/>
      <c r="AB118" s="99"/>
      <c r="AC118" s="100"/>
      <c r="AD118" s="101"/>
      <c r="AE118" s="21">
        <f t="shared" si="29"/>
        <v>1266500</v>
      </c>
      <c r="AF118" s="13"/>
      <c r="AG118" s="13"/>
      <c r="AH118" s="13"/>
      <c r="AI118" s="13"/>
      <c r="AJ118" s="14"/>
      <c r="AK118" s="96"/>
      <c r="AL118" s="97"/>
      <c r="AM118" s="98"/>
      <c r="AN118" s="99"/>
      <c r="AO118" s="100"/>
      <c r="AP118" s="101"/>
      <c r="AQ118" s="21">
        <f t="shared" si="30"/>
        <v>0</v>
      </c>
      <c r="AR118" s="13"/>
      <c r="AS118" s="13"/>
      <c r="AT118" s="13"/>
      <c r="AU118" s="13"/>
      <c r="AV118" s="14"/>
      <c r="AW118" s="96"/>
      <c r="AX118" s="97"/>
      <c r="AY118" s="98"/>
      <c r="AZ118" s="99"/>
      <c r="BA118" s="100"/>
      <c r="BB118" s="101"/>
      <c r="BC118" s="21">
        <f t="shared" si="31"/>
        <v>0</v>
      </c>
      <c r="BD118" s="13"/>
      <c r="BE118" s="13"/>
      <c r="BF118" s="13"/>
      <c r="BG118" s="13"/>
      <c r="BH118" s="14"/>
      <c r="BI118" s="96"/>
      <c r="BJ118" s="97"/>
      <c r="BK118" s="98"/>
      <c r="BL118" s="99"/>
      <c r="BM118" s="100"/>
      <c r="BN118" s="101"/>
      <c r="BO118" s="21">
        <f t="shared" si="32"/>
        <v>0</v>
      </c>
      <c r="BP118" s="13"/>
      <c r="BQ118" s="13"/>
      <c r="BR118" s="13"/>
      <c r="BS118" s="13"/>
      <c r="BT118" s="14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</row>
    <row r="119">
      <c r="A119" s="60">
        <v>45573.0</v>
      </c>
      <c r="B119" s="16"/>
      <c r="C119" s="17"/>
      <c r="D119" s="42"/>
      <c r="E119" s="30">
        <v>200000.0</v>
      </c>
      <c r="F119" s="30"/>
      <c r="G119" s="21">
        <f t="shared" si="27"/>
        <v>198100</v>
      </c>
      <c r="H119" s="95">
        <f>AG112+I112+U112+AS112+BE112+BQ112</f>
        <v>30241961.5</v>
      </c>
      <c r="I119" s="86"/>
      <c r="J119" s="102" t="s">
        <v>44</v>
      </c>
      <c r="K119" s="102"/>
      <c r="L119" s="95"/>
      <c r="M119" s="38"/>
      <c r="N119" s="37"/>
      <c r="O119" s="25"/>
      <c r="P119" s="41"/>
      <c r="Q119" s="20"/>
      <c r="R119" s="20"/>
      <c r="S119" s="21">
        <f t="shared" si="28"/>
        <v>0</v>
      </c>
      <c r="T119" s="13"/>
      <c r="U119" s="13"/>
      <c r="V119" s="13"/>
      <c r="W119" s="13"/>
      <c r="X119" s="14"/>
      <c r="Y119" s="105">
        <v>45592.0</v>
      </c>
      <c r="Z119" s="27"/>
      <c r="AA119" s="17"/>
      <c r="AB119" s="42"/>
      <c r="AC119" s="20">
        <v>350000.0</v>
      </c>
      <c r="AD119" s="20"/>
      <c r="AE119" s="21">
        <f t="shared" si="29"/>
        <v>346675</v>
      </c>
      <c r="AF119" s="13"/>
      <c r="AG119" s="13"/>
      <c r="AH119" s="13"/>
      <c r="AI119" s="13"/>
      <c r="AJ119" s="14"/>
      <c r="AK119" s="38"/>
      <c r="AL119" s="27"/>
      <c r="AM119" s="17"/>
      <c r="AN119" s="42"/>
      <c r="AO119" s="20"/>
      <c r="AP119" s="20"/>
      <c r="AQ119" s="21">
        <f t="shared" si="30"/>
        <v>0</v>
      </c>
      <c r="AR119" s="13"/>
      <c r="AS119" s="13"/>
      <c r="AT119" s="13"/>
      <c r="AU119" s="13"/>
      <c r="AV119" s="14"/>
      <c r="AW119" s="38"/>
      <c r="AX119" s="27"/>
      <c r="AY119" s="17"/>
      <c r="AZ119" s="42"/>
      <c r="BA119" s="20"/>
      <c r="BB119" s="20"/>
      <c r="BC119" s="21">
        <f t="shared" si="31"/>
        <v>0</v>
      </c>
      <c r="BD119" s="13"/>
      <c r="BE119" s="13"/>
      <c r="BF119" s="13"/>
      <c r="BG119" s="13"/>
      <c r="BH119" s="14"/>
      <c r="BI119" s="38"/>
      <c r="BJ119" s="27"/>
      <c r="BK119" s="17"/>
      <c r="BL119" s="42"/>
      <c r="BM119" s="20"/>
      <c r="BN119" s="20"/>
      <c r="BO119" s="21">
        <f t="shared" si="32"/>
        <v>0</v>
      </c>
      <c r="BP119" s="13"/>
      <c r="BQ119" s="13"/>
      <c r="BR119" s="13"/>
      <c r="BS119" s="13"/>
      <c r="BT119" s="14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</row>
    <row r="120">
      <c r="A120" s="60">
        <v>45574.0</v>
      </c>
      <c r="B120" s="35"/>
      <c r="C120" s="17"/>
      <c r="D120" s="18"/>
      <c r="E120" s="20"/>
      <c r="F120" s="20">
        <v>960000.0</v>
      </c>
      <c r="G120" s="21">
        <f t="shared" si="27"/>
        <v>811200</v>
      </c>
      <c r="H120" s="95"/>
      <c r="I120" s="95"/>
      <c r="J120" s="87">
        <f>SUM(H119)-(H119*98.5%)</f>
        <v>453629.4225</v>
      </c>
      <c r="K120" s="103"/>
      <c r="L120" s="95"/>
      <c r="M120" s="38"/>
      <c r="N120" s="24"/>
      <c r="O120" s="25"/>
      <c r="P120" s="41"/>
      <c r="Q120" s="30"/>
      <c r="R120" s="30"/>
      <c r="S120" s="21">
        <f t="shared" si="28"/>
        <v>0</v>
      </c>
      <c r="T120" s="13"/>
      <c r="U120" s="13"/>
      <c r="V120" s="13"/>
      <c r="W120" s="13"/>
      <c r="X120" s="14"/>
      <c r="Y120" s="105">
        <v>45593.0</v>
      </c>
      <c r="Z120" s="16">
        <v>2000000.0</v>
      </c>
      <c r="AA120" s="44"/>
      <c r="AB120" s="42"/>
      <c r="AC120" s="30"/>
      <c r="AD120" s="30"/>
      <c r="AE120" s="21">
        <f t="shared" si="29"/>
        <v>1700000</v>
      </c>
      <c r="AF120" s="13"/>
      <c r="AG120" s="13"/>
      <c r="AH120" s="13"/>
      <c r="AI120" s="13"/>
      <c r="AJ120" s="14"/>
      <c r="AK120" s="38"/>
      <c r="AL120" s="26"/>
      <c r="AM120" s="44"/>
      <c r="AN120" s="42"/>
      <c r="AO120" s="30"/>
      <c r="AP120" s="30"/>
      <c r="AQ120" s="21">
        <f t="shared" si="30"/>
        <v>0</v>
      </c>
      <c r="AR120" s="13"/>
      <c r="AS120" s="13"/>
      <c r="AT120" s="13"/>
      <c r="AU120" s="13"/>
      <c r="AV120" s="14"/>
      <c r="AW120" s="38"/>
      <c r="AX120" s="26"/>
      <c r="AY120" s="44"/>
      <c r="AZ120" s="42"/>
      <c r="BA120" s="30"/>
      <c r="BB120" s="30"/>
      <c r="BC120" s="21">
        <f t="shared" si="31"/>
        <v>0</v>
      </c>
      <c r="BD120" s="13"/>
      <c r="BE120" s="13"/>
      <c r="BF120" s="13"/>
      <c r="BG120" s="13"/>
      <c r="BH120" s="14"/>
      <c r="BI120" s="38"/>
      <c r="BJ120" s="26"/>
      <c r="BK120" s="44"/>
      <c r="BL120" s="42"/>
      <c r="BM120" s="30"/>
      <c r="BN120" s="30"/>
      <c r="BO120" s="21">
        <f t="shared" si="32"/>
        <v>0</v>
      </c>
      <c r="BP120" s="13"/>
      <c r="BQ120" s="13"/>
      <c r="BR120" s="13"/>
      <c r="BS120" s="13"/>
      <c r="BT120" s="14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</row>
    <row r="121">
      <c r="A121" s="60">
        <v>45574.0</v>
      </c>
      <c r="B121" s="24"/>
      <c r="C121" s="25"/>
      <c r="D121" s="41"/>
      <c r="E121" s="46"/>
      <c r="F121" s="46">
        <v>1850000.0</v>
      </c>
      <c r="G121" s="21">
        <f t="shared" si="27"/>
        <v>1563250</v>
      </c>
      <c r="H121" s="95"/>
      <c r="I121" s="95"/>
      <c r="J121" s="86" t="s">
        <v>36</v>
      </c>
      <c r="K121" s="86"/>
      <c r="L121" s="95"/>
      <c r="M121" s="38"/>
      <c r="N121" s="37"/>
      <c r="O121" s="25"/>
      <c r="P121" s="41"/>
      <c r="Q121" s="20"/>
      <c r="R121" s="20"/>
      <c r="S121" s="21">
        <f t="shared" si="28"/>
        <v>0</v>
      </c>
      <c r="T121" s="13"/>
      <c r="U121" s="13"/>
      <c r="V121" s="13"/>
      <c r="W121" s="13"/>
      <c r="X121" s="14"/>
      <c r="Y121" s="105">
        <v>45590.0</v>
      </c>
      <c r="Z121" s="45"/>
      <c r="AA121" s="17"/>
      <c r="AB121" s="18"/>
      <c r="AC121" s="20">
        <v>65000.0</v>
      </c>
      <c r="AD121" s="20"/>
      <c r="AE121" s="21">
        <f t="shared" si="29"/>
        <v>64382.5</v>
      </c>
      <c r="AF121" s="13"/>
      <c r="AG121" s="13"/>
      <c r="AH121" s="13"/>
      <c r="AI121" s="13"/>
      <c r="AJ121" s="14"/>
      <c r="AK121" s="38"/>
      <c r="AL121" s="45"/>
      <c r="AM121" s="17"/>
      <c r="AN121" s="18"/>
      <c r="AO121" s="20"/>
      <c r="AP121" s="20"/>
      <c r="AQ121" s="21">
        <f t="shared" si="30"/>
        <v>0</v>
      </c>
      <c r="AR121" s="13"/>
      <c r="AS121" s="13"/>
      <c r="AT121" s="13"/>
      <c r="AU121" s="13"/>
      <c r="AV121" s="14"/>
      <c r="AW121" s="38"/>
      <c r="AX121" s="45"/>
      <c r="AY121" s="17"/>
      <c r="AZ121" s="18"/>
      <c r="BA121" s="20"/>
      <c r="BB121" s="20"/>
      <c r="BC121" s="21">
        <f t="shared" si="31"/>
        <v>0</v>
      </c>
      <c r="BD121" s="13"/>
      <c r="BE121" s="13"/>
      <c r="BF121" s="13"/>
      <c r="BG121" s="13"/>
      <c r="BH121" s="14"/>
      <c r="BI121" s="38"/>
      <c r="BJ121" s="45"/>
      <c r="BK121" s="17"/>
      <c r="BL121" s="18"/>
      <c r="BM121" s="20"/>
      <c r="BN121" s="20"/>
      <c r="BO121" s="21">
        <f t="shared" si="32"/>
        <v>0</v>
      </c>
      <c r="BP121" s="13"/>
      <c r="BQ121" s="13"/>
      <c r="BR121" s="13"/>
      <c r="BS121" s="13"/>
      <c r="BT121" s="14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</row>
    <row r="122">
      <c r="A122" s="105">
        <v>45587.0</v>
      </c>
      <c r="B122" s="47"/>
      <c r="C122" s="25"/>
      <c r="D122" s="33">
        <v>2000000.0</v>
      </c>
      <c r="E122" s="46"/>
      <c r="F122" s="46"/>
      <c r="G122" s="21">
        <f t="shared" si="27"/>
        <v>2000000</v>
      </c>
      <c r="H122" s="94" t="s">
        <v>12</v>
      </c>
      <c r="I122" s="95"/>
      <c r="J122" s="87">
        <f>SUM(J120)-(J120*10%)</f>
        <v>408266.4802</v>
      </c>
      <c r="K122" s="87"/>
      <c r="L122" s="95"/>
      <c r="M122" s="38"/>
      <c r="N122" s="24"/>
      <c r="O122" s="25"/>
      <c r="P122" s="41"/>
      <c r="Q122" s="46"/>
      <c r="R122" s="46"/>
      <c r="S122" s="21">
        <f t="shared" si="28"/>
        <v>0</v>
      </c>
      <c r="T122" s="13"/>
      <c r="U122" s="13"/>
      <c r="V122" s="13"/>
      <c r="W122" s="13"/>
      <c r="X122" s="14"/>
      <c r="Y122" s="38"/>
      <c r="Z122" s="16"/>
      <c r="AA122" s="17"/>
      <c r="AB122" s="42"/>
      <c r="AC122" s="46"/>
      <c r="AD122" s="46"/>
      <c r="AE122" s="21">
        <f t="shared" si="29"/>
        <v>0</v>
      </c>
      <c r="AF122" s="13"/>
      <c r="AG122" s="13"/>
      <c r="AH122" s="13"/>
      <c r="AI122" s="13"/>
      <c r="AJ122" s="14"/>
      <c r="AK122" s="38"/>
      <c r="AL122" s="16"/>
      <c r="AM122" s="17"/>
      <c r="AN122" s="42"/>
      <c r="AO122" s="46"/>
      <c r="AP122" s="46"/>
      <c r="AQ122" s="21">
        <f t="shared" si="30"/>
        <v>0</v>
      </c>
      <c r="AR122" s="13"/>
      <c r="AS122" s="13"/>
      <c r="AT122" s="13"/>
      <c r="AU122" s="13"/>
      <c r="AV122" s="14"/>
      <c r="AW122" s="38"/>
      <c r="AX122" s="16"/>
      <c r="AY122" s="17"/>
      <c r="AZ122" s="42"/>
      <c r="BA122" s="46"/>
      <c r="BB122" s="46"/>
      <c r="BC122" s="21">
        <f t="shared" si="31"/>
        <v>0</v>
      </c>
      <c r="BD122" s="13"/>
      <c r="BE122" s="13"/>
      <c r="BF122" s="13"/>
      <c r="BG122" s="13"/>
      <c r="BH122" s="14"/>
      <c r="BI122" s="38"/>
      <c r="BJ122" s="16"/>
      <c r="BK122" s="17"/>
      <c r="BL122" s="42"/>
      <c r="BM122" s="46"/>
      <c r="BN122" s="46"/>
      <c r="BO122" s="21">
        <f t="shared" si="32"/>
        <v>0</v>
      </c>
      <c r="BP122" s="13"/>
      <c r="BQ122" s="13"/>
      <c r="BR122" s="13"/>
      <c r="BS122" s="13"/>
      <c r="BT122" s="14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</row>
    <row r="123">
      <c r="A123" s="105">
        <v>45588.0</v>
      </c>
      <c r="B123" s="47"/>
      <c r="C123" s="25"/>
      <c r="D123" s="33">
        <v>3000000.0</v>
      </c>
      <c r="E123" s="46"/>
      <c r="F123" s="46"/>
      <c r="G123" s="21">
        <f t="shared" si="27"/>
        <v>3000000</v>
      </c>
      <c r="H123" s="95">
        <f>H112+T112+AF112+AR112+BD112+BP112</f>
        <v>32820000</v>
      </c>
      <c r="I123" s="95"/>
      <c r="J123" s="95"/>
      <c r="K123" s="95"/>
      <c r="L123" s="95"/>
      <c r="M123" s="38"/>
      <c r="N123" s="47"/>
      <c r="O123" s="25"/>
      <c r="P123" s="41"/>
      <c r="Q123" s="46"/>
      <c r="R123" s="46"/>
      <c r="S123" s="21">
        <f t="shared" si="28"/>
        <v>0</v>
      </c>
      <c r="T123" s="13"/>
      <c r="U123" s="13"/>
      <c r="V123" s="13"/>
      <c r="W123" s="13"/>
      <c r="X123" s="14"/>
      <c r="Y123" s="38"/>
      <c r="Z123" s="48"/>
      <c r="AA123" s="17"/>
      <c r="AB123" s="18"/>
      <c r="AC123" s="46"/>
      <c r="AD123" s="46"/>
      <c r="AE123" s="21">
        <f t="shared" si="29"/>
        <v>0</v>
      </c>
      <c r="AF123" s="13"/>
      <c r="AG123" s="13"/>
      <c r="AH123" s="13"/>
      <c r="AI123" s="13"/>
      <c r="AJ123" s="14"/>
      <c r="AK123" s="38"/>
      <c r="AL123" s="48"/>
      <c r="AM123" s="17"/>
      <c r="AN123" s="18"/>
      <c r="AO123" s="46"/>
      <c r="AP123" s="46"/>
      <c r="AQ123" s="21">
        <f t="shared" si="30"/>
        <v>0</v>
      </c>
      <c r="AR123" s="13"/>
      <c r="AS123" s="13"/>
      <c r="AT123" s="13"/>
      <c r="AU123" s="13"/>
      <c r="AV123" s="14"/>
      <c r="AW123" s="38"/>
      <c r="AX123" s="48"/>
      <c r="AY123" s="17"/>
      <c r="AZ123" s="18"/>
      <c r="BA123" s="46"/>
      <c r="BB123" s="46"/>
      <c r="BC123" s="21">
        <f t="shared" si="31"/>
        <v>0</v>
      </c>
      <c r="BD123" s="13"/>
      <c r="BE123" s="13"/>
      <c r="BF123" s="13"/>
      <c r="BG123" s="13"/>
      <c r="BH123" s="14"/>
      <c r="BI123" s="38"/>
      <c r="BJ123" s="48"/>
      <c r="BK123" s="17"/>
      <c r="BL123" s="18"/>
      <c r="BM123" s="46"/>
      <c r="BN123" s="46"/>
      <c r="BO123" s="21">
        <f t="shared" si="32"/>
        <v>0</v>
      </c>
      <c r="BP123" s="13"/>
      <c r="BQ123" s="13"/>
      <c r="BR123" s="13"/>
      <c r="BS123" s="13"/>
      <c r="BT123" s="14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</row>
    <row r="124">
      <c r="A124" s="105">
        <v>45590.0</v>
      </c>
      <c r="B124" s="32"/>
      <c r="C124" s="25"/>
      <c r="D124" s="41"/>
      <c r="E124" s="46">
        <v>2000000.0</v>
      </c>
      <c r="F124" s="46"/>
      <c r="G124" s="21">
        <f t="shared" si="27"/>
        <v>1981000</v>
      </c>
      <c r="H124" s="95"/>
      <c r="I124" s="95"/>
      <c r="J124" s="95"/>
      <c r="K124" s="95"/>
      <c r="L124" s="95"/>
      <c r="M124" s="38"/>
      <c r="N124" s="32"/>
      <c r="O124" s="25"/>
      <c r="P124" s="41"/>
      <c r="Q124" s="46"/>
      <c r="R124" s="46"/>
      <c r="S124" s="21">
        <f t="shared" si="28"/>
        <v>0</v>
      </c>
      <c r="T124" s="13"/>
      <c r="U124" s="13"/>
      <c r="V124" s="13"/>
      <c r="W124" s="13"/>
      <c r="X124" s="14"/>
      <c r="Y124" s="38"/>
      <c r="Z124" s="27"/>
      <c r="AA124" s="17"/>
      <c r="AB124" s="42"/>
      <c r="AC124" s="46"/>
      <c r="AD124" s="46"/>
      <c r="AE124" s="21">
        <f t="shared" si="29"/>
        <v>0</v>
      </c>
      <c r="AF124" s="13"/>
      <c r="AG124" s="13"/>
      <c r="AH124" s="13"/>
      <c r="AI124" s="13"/>
      <c r="AJ124" s="14"/>
      <c r="AK124" s="38"/>
      <c r="AL124" s="27"/>
      <c r="AM124" s="17"/>
      <c r="AN124" s="42"/>
      <c r="AO124" s="46"/>
      <c r="AP124" s="46"/>
      <c r="AQ124" s="21">
        <f t="shared" si="30"/>
        <v>0</v>
      </c>
      <c r="AR124" s="13"/>
      <c r="AS124" s="13"/>
      <c r="AT124" s="13"/>
      <c r="AU124" s="13"/>
      <c r="AV124" s="14"/>
      <c r="AW124" s="38"/>
      <c r="AX124" s="27"/>
      <c r="AY124" s="17"/>
      <c r="AZ124" s="42"/>
      <c r="BA124" s="46"/>
      <c r="BB124" s="46"/>
      <c r="BC124" s="21">
        <f t="shared" si="31"/>
        <v>0</v>
      </c>
      <c r="BD124" s="13"/>
      <c r="BE124" s="13"/>
      <c r="BF124" s="13"/>
      <c r="BG124" s="13"/>
      <c r="BH124" s="14"/>
      <c r="BI124" s="38"/>
      <c r="BJ124" s="27"/>
      <c r="BK124" s="17"/>
      <c r="BL124" s="42"/>
      <c r="BM124" s="46"/>
      <c r="BN124" s="46"/>
      <c r="BO124" s="21">
        <f t="shared" si="32"/>
        <v>0</v>
      </c>
      <c r="BP124" s="13"/>
      <c r="BQ124" s="13"/>
      <c r="BR124" s="13"/>
      <c r="BS124" s="13"/>
      <c r="BT124" s="14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</row>
    <row r="125">
      <c r="A125" s="105">
        <v>45593.0</v>
      </c>
      <c r="B125" s="47"/>
      <c r="C125" s="25"/>
      <c r="D125" s="41"/>
      <c r="E125" s="46">
        <v>100000.0</v>
      </c>
      <c r="F125" s="46"/>
      <c r="G125" s="21">
        <f t="shared" si="27"/>
        <v>99050</v>
      </c>
      <c r="H125" s="13"/>
      <c r="I125" s="13"/>
      <c r="J125" s="13"/>
      <c r="K125" s="13"/>
      <c r="L125" s="14"/>
      <c r="M125" s="38"/>
      <c r="N125" s="47"/>
      <c r="O125" s="25"/>
      <c r="P125" s="41"/>
      <c r="Q125" s="46"/>
      <c r="R125" s="46"/>
      <c r="S125" s="21">
        <f t="shared" si="28"/>
        <v>0</v>
      </c>
      <c r="T125" s="13"/>
      <c r="U125" s="13"/>
      <c r="V125" s="13"/>
      <c r="W125" s="13"/>
      <c r="X125" s="14"/>
      <c r="Y125" s="38"/>
      <c r="Z125" s="47"/>
      <c r="AA125" s="25"/>
      <c r="AB125" s="41"/>
      <c r="AC125" s="46"/>
      <c r="AD125" s="46"/>
      <c r="AE125" s="21">
        <f t="shared" si="29"/>
        <v>0</v>
      </c>
      <c r="AF125" s="13"/>
      <c r="AG125" s="13"/>
      <c r="AH125" s="13"/>
      <c r="AI125" s="13"/>
      <c r="AJ125" s="14"/>
      <c r="AK125" s="38"/>
      <c r="AL125" s="47"/>
      <c r="AM125" s="25"/>
      <c r="AN125" s="41"/>
      <c r="AO125" s="46"/>
      <c r="AP125" s="46"/>
      <c r="AQ125" s="21">
        <f t="shared" si="30"/>
        <v>0</v>
      </c>
      <c r="AR125" s="13"/>
      <c r="AS125" s="13"/>
      <c r="AT125" s="13"/>
      <c r="AU125" s="13"/>
      <c r="AV125" s="14"/>
      <c r="AW125" s="38"/>
      <c r="AX125" s="47"/>
      <c r="AY125" s="25"/>
      <c r="AZ125" s="41"/>
      <c r="BA125" s="46"/>
      <c r="BB125" s="46"/>
      <c r="BC125" s="21">
        <f t="shared" si="31"/>
        <v>0</v>
      </c>
      <c r="BD125" s="13"/>
      <c r="BE125" s="13"/>
      <c r="BF125" s="13"/>
      <c r="BG125" s="13"/>
      <c r="BH125" s="14"/>
      <c r="BI125" s="38"/>
      <c r="BJ125" s="47"/>
      <c r="BK125" s="25"/>
      <c r="BL125" s="41"/>
      <c r="BM125" s="46"/>
      <c r="BN125" s="46"/>
      <c r="BO125" s="21">
        <f t="shared" si="32"/>
        <v>0</v>
      </c>
      <c r="BP125" s="13"/>
      <c r="BQ125" s="13"/>
      <c r="BR125" s="13"/>
      <c r="BS125" s="13"/>
      <c r="BT125" s="14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</row>
    <row r="126">
      <c r="A126" s="105">
        <v>45596.0</v>
      </c>
      <c r="B126" s="47"/>
      <c r="C126" s="25"/>
      <c r="D126" s="41"/>
      <c r="E126" s="46">
        <v>200000.0</v>
      </c>
      <c r="F126" s="46"/>
      <c r="G126" s="21">
        <f t="shared" si="27"/>
        <v>198100</v>
      </c>
      <c r="H126" s="13"/>
      <c r="I126" s="13"/>
      <c r="J126" s="86" t="s">
        <v>35</v>
      </c>
      <c r="K126" s="13"/>
      <c r="L126" s="14"/>
      <c r="M126" s="38"/>
      <c r="N126" s="47"/>
      <c r="O126" s="25"/>
      <c r="P126" s="41"/>
      <c r="Q126" s="46"/>
      <c r="R126" s="46"/>
      <c r="S126" s="21">
        <f t="shared" si="28"/>
        <v>0</v>
      </c>
      <c r="T126" s="13"/>
      <c r="U126" s="13"/>
      <c r="V126" s="13"/>
      <c r="W126" s="13"/>
      <c r="X126" s="14"/>
      <c r="Y126" s="38"/>
      <c r="Z126" s="47"/>
      <c r="AA126" s="25"/>
      <c r="AB126" s="41"/>
      <c r="AC126" s="46"/>
      <c r="AD126" s="46"/>
      <c r="AE126" s="21">
        <f t="shared" si="29"/>
        <v>0</v>
      </c>
      <c r="AF126" s="13"/>
      <c r="AG126" s="13"/>
      <c r="AH126" s="13"/>
      <c r="AI126" s="13"/>
      <c r="AJ126" s="14"/>
      <c r="AK126" s="38"/>
      <c r="AL126" s="47"/>
      <c r="AM126" s="25"/>
      <c r="AN126" s="41"/>
      <c r="AO126" s="46"/>
      <c r="AP126" s="46"/>
      <c r="AQ126" s="21">
        <f t="shared" si="30"/>
        <v>0</v>
      </c>
      <c r="AR126" s="13"/>
      <c r="AS126" s="13"/>
      <c r="AT126" s="13"/>
      <c r="AU126" s="13"/>
      <c r="AV126" s="14"/>
      <c r="AW126" s="38"/>
      <c r="AX126" s="47"/>
      <c r="AY126" s="25"/>
      <c r="AZ126" s="41"/>
      <c r="BA126" s="46"/>
      <c r="BB126" s="46"/>
      <c r="BC126" s="21">
        <f t="shared" si="31"/>
        <v>0</v>
      </c>
      <c r="BD126" s="13"/>
      <c r="BE126" s="13"/>
      <c r="BF126" s="13"/>
      <c r="BG126" s="13"/>
      <c r="BH126" s="14"/>
      <c r="BI126" s="38"/>
      <c r="BJ126" s="47"/>
      <c r="BK126" s="25"/>
      <c r="BL126" s="41"/>
      <c r="BM126" s="46"/>
      <c r="BN126" s="46"/>
      <c r="BO126" s="21">
        <f t="shared" si="32"/>
        <v>0</v>
      </c>
      <c r="BP126" s="13"/>
      <c r="BQ126" s="13"/>
      <c r="BR126" s="13"/>
      <c r="BS126" s="13"/>
      <c r="BT126" s="14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</row>
    <row r="127">
      <c r="A127" s="38"/>
      <c r="B127" s="47"/>
      <c r="C127" s="25"/>
      <c r="D127" s="41"/>
      <c r="E127" s="46"/>
      <c r="F127" s="46"/>
      <c r="G127" s="21">
        <f t="shared" si="27"/>
        <v>0</v>
      </c>
      <c r="H127" s="13"/>
      <c r="I127" s="13"/>
      <c r="J127" s="102" t="s">
        <v>52</v>
      </c>
      <c r="K127" s="13"/>
      <c r="L127" s="14"/>
      <c r="M127" s="38"/>
      <c r="N127" s="47"/>
      <c r="O127" s="25"/>
      <c r="P127" s="41"/>
      <c r="Q127" s="46"/>
      <c r="R127" s="46"/>
      <c r="S127" s="21">
        <f t="shared" si="28"/>
        <v>0</v>
      </c>
      <c r="T127" s="13"/>
      <c r="U127" s="13"/>
      <c r="V127" s="13"/>
      <c r="W127" s="13"/>
      <c r="X127" s="14"/>
      <c r="Y127" s="38"/>
      <c r="Z127" s="47"/>
      <c r="AA127" s="25"/>
      <c r="AB127" s="41"/>
      <c r="AC127" s="46"/>
      <c r="AD127" s="46"/>
      <c r="AE127" s="21">
        <f t="shared" si="29"/>
        <v>0</v>
      </c>
      <c r="AF127" s="13"/>
      <c r="AG127" s="13"/>
      <c r="AH127" s="13"/>
      <c r="AI127" s="13"/>
      <c r="AJ127" s="14"/>
      <c r="AK127" s="38"/>
      <c r="AL127" s="47"/>
      <c r="AM127" s="25"/>
      <c r="AN127" s="41"/>
      <c r="AO127" s="46"/>
      <c r="AP127" s="46"/>
      <c r="AQ127" s="21">
        <f t="shared" si="30"/>
        <v>0</v>
      </c>
      <c r="AR127" s="13"/>
      <c r="AS127" s="13"/>
      <c r="AT127" s="13"/>
      <c r="AU127" s="13"/>
      <c r="AV127" s="14"/>
      <c r="AW127" s="38"/>
      <c r="AX127" s="47"/>
      <c r="AY127" s="25"/>
      <c r="AZ127" s="41"/>
      <c r="BA127" s="46"/>
      <c r="BB127" s="46"/>
      <c r="BC127" s="21">
        <f t="shared" si="31"/>
        <v>0</v>
      </c>
      <c r="BD127" s="13"/>
      <c r="BE127" s="13"/>
      <c r="BF127" s="13"/>
      <c r="BG127" s="13"/>
      <c r="BH127" s="14"/>
      <c r="BI127" s="38"/>
      <c r="BJ127" s="47"/>
      <c r="BK127" s="25"/>
      <c r="BL127" s="41"/>
      <c r="BM127" s="46"/>
      <c r="BN127" s="46"/>
      <c r="BO127" s="21">
        <f t="shared" si="32"/>
        <v>0</v>
      </c>
      <c r="BP127" s="13"/>
      <c r="BQ127" s="13"/>
      <c r="BR127" s="13"/>
      <c r="BS127" s="13"/>
      <c r="BT127" s="14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</row>
    <row r="128">
      <c r="A128" s="38"/>
      <c r="B128" s="32"/>
      <c r="C128" s="25"/>
      <c r="D128" s="41"/>
      <c r="E128" s="49"/>
      <c r="F128" s="49"/>
      <c r="G128" s="21">
        <f t="shared" si="27"/>
        <v>0</v>
      </c>
      <c r="H128" s="13"/>
      <c r="I128" s="13"/>
      <c r="J128" s="87">
        <f>SUM(H119)-(H119*99%)</f>
        <v>302419.615</v>
      </c>
      <c r="K128" s="13"/>
      <c r="L128" s="14"/>
      <c r="M128" s="38"/>
      <c r="N128" s="32"/>
      <c r="O128" s="25"/>
      <c r="P128" s="41"/>
      <c r="Q128" s="49"/>
      <c r="R128" s="49"/>
      <c r="S128" s="21">
        <f t="shared" si="28"/>
        <v>0</v>
      </c>
      <c r="T128" s="13"/>
      <c r="U128" s="13"/>
      <c r="V128" s="13"/>
      <c r="W128" s="13"/>
      <c r="X128" s="14"/>
      <c r="Y128" s="38"/>
      <c r="Z128" s="32"/>
      <c r="AA128" s="25"/>
      <c r="AB128" s="41"/>
      <c r="AC128" s="49"/>
      <c r="AD128" s="49"/>
      <c r="AE128" s="21">
        <f t="shared" si="29"/>
        <v>0</v>
      </c>
      <c r="AF128" s="13"/>
      <c r="AG128" s="13"/>
      <c r="AH128" s="13"/>
      <c r="AI128" s="13"/>
      <c r="AJ128" s="14"/>
      <c r="AK128" s="38"/>
      <c r="AL128" s="32"/>
      <c r="AM128" s="25"/>
      <c r="AN128" s="41"/>
      <c r="AO128" s="49"/>
      <c r="AP128" s="49"/>
      <c r="AQ128" s="21">
        <f t="shared" si="30"/>
        <v>0</v>
      </c>
      <c r="AR128" s="13"/>
      <c r="AS128" s="13"/>
      <c r="AT128" s="13"/>
      <c r="AU128" s="13"/>
      <c r="AV128" s="14"/>
      <c r="AW128" s="38"/>
      <c r="AX128" s="32"/>
      <c r="AY128" s="25"/>
      <c r="AZ128" s="41"/>
      <c r="BA128" s="49"/>
      <c r="BB128" s="49"/>
      <c r="BC128" s="21">
        <f t="shared" si="31"/>
        <v>0</v>
      </c>
      <c r="BD128" s="13"/>
      <c r="BE128" s="13"/>
      <c r="BF128" s="13"/>
      <c r="BG128" s="13"/>
      <c r="BH128" s="14"/>
      <c r="BI128" s="38"/>
      <c r="BJ128" s="32"/>
      <c r="BK128" s="25"/>
      <c r="BL128" s="41"/>
      <c r="BM128" s="49"/>
      <c r="BN128" s="49"/>
      <c r="BO128" s="21">
        <f t="shared" si="32"/>
        <v>0</v>
      </c>
      <c r="BP128" s="13"/>
      <c r="BQ128" s="13"/>
      <c r="BR128" s="13"/>
      <c r="BS128" s="13"/>
      <c r="BT128" s="14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</row>
    <row r="129">
      <c r="A129" s="38"/>
      <c r="B129" s="32"/>
      <c r="C129" s="25"/>
      <c r="D129" s="41"/>
      <c r="E129" s="49"/>
      <c r="F129" s="49"/>
      <c r="G129" s="21">
        <f t="shared" si="27"/>
        <v>0</v>
      </c>
      <c r="H129" s="13"/>
      <c r="I129" s="13"/>
      <c r="J129" s="86" t="s">
        <v>53</v>
      </c>
      <c r="K129" s="13"/>
      <c r="L129" s="14"/>
      <c r="M129" s="38"/>
      <c r="N129" s="32"/>
      <c r="O129" s="25"/>
      <c r="P129" s="41"/>
      <c r="Q129" s="49"/>
      <c r="R129" s="49"/>
      <c r="S129" s="21">
        <f t="shared" si="28"/>
        <v>0</v>
      </c>
      <c r="T129" s="13"/>
      <c r="U129" s="13"/>
      <c r="V129" s="13"/>
      <c r="W129" s="13"/>
      <c r="X129" s="14"/>
      <c r="Y129" s="38"/>
      <c r="Z129" s="32"/>
      <c r="AA129" s="25"/>
      <c r="AB129" s="41"/>
      <c r="AC129" s="49"/>
      <c r="AD129" s="49"/>
      <c r="AE129" s="21">
        <f t="shared" si="29"/>
        <v>0</v>
      </c>
      <c r="AF129" s="13"/>
      <c r="AG129" s="13"/>
      <c r="AH129" s="13"/>
      <c r="AI129" s="13"/>
      <c r="AJ129" s="14"/>
      <c r="AK129" s="38"/>
      <c r="AL129" s="32"/>
      <c r="AM129" s="25"/>
      <c r="AN129" s="41"/>
      <c r="AO129" s="49"/>
      <c r="AP129" s="49"/>
      <c r="AQ129" s="21">
        <f t="shared" si="30"/>
        <v>0</v>
      </c>
      <c r="AR129" s="13"/>
      <c r="AS129" s="13"/>
      <c r="AT129" s="13"/>
      <c r="AU129" s="13"/>
      <c r="AV129" s="14"/>
      <c r="AW129" s="38"/>
      <c r="AX129" s="32"/>
      <c r="AY129" s="25"/>
      <c r="AZ129" s="41"/>
      <c r="BA129" s="49"/>
      <c r="BB129" s="49"/>
      <c r="BC129" s="21">
        <f t="shared" si="31"/>
        <v>0</v>
      </c>
      <c r="BD129" s="13"/>
      <c r="BE129" s="13"/>
      <c r="BF129" s="13"/>
      <c r="BG129" s="13"/>
      <c r="BH129" s="14"/>
      <c r="BI129" s="38"/>
      <c r="BJ129" s="32"/>
      <c r="BK129" s="25"/>
      <c r="BL129" s="41"/>
      <c r="BM129" s="49"/>
      <c r="BN129" s="49"/>
      <c r="BO129" s="21">
        <f t="shared" si="32"/>
        <v>0</v>
      </c>
      <c r="BP129" s="13"/>
      <c r="BQ129" s="13"/>
      <c r="BR129" s="13"/>
      <c r="BS129" s="13"/>
      <c r="BT129" s="14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</row>
    <row r="130">
      <c r="A130" s="38"/>
      <c r="B130" s="32"/>
      <c r="C130" s="25"/>
      <c r="D130" s="41"/>
      <c r="E130" s="49"/>
      <c r="F130" s="49"/>
      <c r="G130" s="21">
        <f t="shared" si="27"/>
        <v>0</v>
      </c>
      <c r="H130" s="13"/>
      <c r="I130" s="13"/>
      <c r="J130" s="87">
        <f>SUM(J128)-(J128*10%)</f>
        <v>272177.6535</v>
      </c>
      <c r="K130" s="13"/>
      <c r="L130" s="14"/>
      <c r="M130" s="38"/>
      <c r="N130" s="32"/>
      <c r="O130" s="25"/>
      <c r="P130" s="41"/>
      <c r="Q130" s="49"/>
      <c r="R130" s="49"/>
      <c r="S130" s="21">
        <f t="shared" si="28"/>
        <v>0</v>
      </c>
      <c r="T130" s="13"/>
      <c r="U130" s="13"/>
      <c r="V130" s="13"/>
      <c r="W130" s="13"/>
      <c r="X130" s="14"/>
      <c r="Y130" s="38"/>
      <c r="Z130" s="32"/>
      <c r="AA130" s="25"/>
      <c r="AB130" s="41"/>
      <c r="AC130" s="49"/>
      <c r="AD130" s="49"/>
      <c r="AE130" s="21">
        <f t="shared" si="29"/>
        <v>0</v>
      </c>
      <c r="AF130" s="13"/>
      <c r="AG130" s="13"/>
      <c r="AH130" s="13"/>
      <c r="AI130" s="13"/>
      <c r="AJ130" s="14"/>
      <c r="AK130" s="38"/>
      <c r="AL130" s="32"/>
      <c r="AM130" s="25"/>
      <c r="AN130" s="41"/>
      <c r="AO130" s="49"/>
      <c r="AP130" s="49"/>
      <c r="AQ130" s="21">
        <f t="shared" si="30"/>
        <v>0</v>
      </c>
      <c r="AR130" s="13"/>
      <c r="AS130" s="13"/>
      <c r="AT130" s="13"/>
      <c r="AU130" s="13"/>
      <c r="AV130" s="14"/>
      <c r="AW130" s="38"/>
      <c r="AX130" s="32"/>
      <c r="AY130" s="25"/>
      <c r="AZ130" s="41"/>
      <c r="BA130" s="49"/>
      <c r="BB130" s="49"/>
      <c r="BC130" s="21">
        <f t="shared" si="31"/>
        <v>0</v>
      </c>
      <c r="BD130" s="13"/>
      <c r="BE130" s="13"/>
      <c r="BF130" s="13"/>
      <c r="BG130" s="13"/>
      <c r="BH130" s="14"/>
      <c r="BI130" s="38"/>
      <c r="BJ130" s="32"/>
      <c r="BK130" s="25"/>
      <c r="BL130" s="41"/>
      <c r="BM130" s="49"/>
      <c r="BN130" s="49"/>
      <c r="BO130" s="21">
        <f t="shared" si="32"/>
        <v>0</v>
      </c>
      <c r="BP130" s="13"/>
      <c r="BQ130" s="13"/>
      <c r="BR130" s="13"/>
      <c r="BS130" s="13"/>
      <c r="BT130" s="14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</row>
    <row r="131">
      <c r="A131" s="38"/>
      <c r="B131" s="32"/>
      <c r="C131" s="25"/>
      <c r="D131" s="41"/>
      <c r="E131" s="46"/>
      <c r="F131" s="46"/>
      <c r="G131" s="21">
        <f t="shared" si="27"/>
        <v>0</v>
      </c>
      <c r="H131" s="67">
        <v>40.0</v>
      </c>
      <c r="I131" s="67"/>
      <c r="J131" s="13"/>
      <c r="K131" s="13"/>
      <c r="L131" s="14"/>
      <c r="M131" s="38"/>
      <c r="N131" s="32"/>
      <c r="O131" s="25"/>
      <c r="P131" s="41"/>
      <c r="Q131" s="46"/>
      <c r="R131" s="46"/>
      <c r="S131" s="21">
        <f t="shared" si="28"/>
        <v>0</v>
      </c>
      <c r="T131" s="13"/>
      <c r="U131" s="13"/>
      <c r="V131" s="13"/>
      <c r="W131" s="13"/>
      <c r="X131" s="14"/>
      <c r="Y131" s="38"/>
      <c r="Z131" s="32"/>
      <c r="AA131" s="25"/>
      <c r="AB131" s="41"/>
      <c r="AC131" s="46"/>
      <c r="AD131" s="46"/>
      <c r="AE131" s="21">
        <f t="shared" si="29"/>
        <v>0</v>
      </c>
      <c r="AF131" s="13"/>
      <c r="AG131" s="13"/>
      <c r="AH131" s="13"/>
      <c r="AI131" s="13"/>
      <c r="AJ131" s="14"/>
      <c r="AK131" s="38"/>
      <c r="AL131" s="32"/>
      <c r="AM131" s="25"/>
      <c r="AN131" s="41"/>
      <c r="AO131" s="46"/>
      <c r="AP131" s="46"/>
      <c r="AQ131" s="21">
        <f t="shared" si="30"/>
        <v>0</v>
      </c>
      <c r="AR131" s="13"/>
      <c r="AS131" s="13"/>
      <c r="AT131" s="13"/>
      <c r="AU131" s="13"/>
      <c r="AV131" s="14"/>
      <c r="AW131" s="38"/>
      <c r="AX131" s="32"/>
      <c r="AY131" s="25"/>
      <c r="AZ131" s="41"/>
      <c r="BA131" s="46"/>
      <c r="BB131" s="46"/>
      <c r="BC131" s="21">
        <f t="shared" si="31"/>
        <v>0</v>
      </c>
      <c r="BD131" s="13"/>
      <c r="BE131" s="13"/>
      <c r="BF131" s="13"/>
      <c r="BG131" s="13"/>
      <c r="BH131" s="14"/>
      <c r="BI131" s="38"/>
      <c r="BJ131" s="32"/>
      <c r="BK131" s="25"/>
      <c r="BL131" s="41"/>
      <c r="BM131" s="46"/>
      <c r="BN131" s="46"/>
      <c r="BO131" s="21">
        <f t="shared" si="32"/>
        <v>0</v>
      </c>
      <c r="BP131" s="13"/>
      <c r="BQ131" s="13"/>
      <c r="BR131" s="13"/>
      <c r="BS131" s="13"/>
      <c r="BT131" s="14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</row>
    <row r="132">
      <c r="A132" s="38"/>
      <c r="B132" s="47"/>
      <c r="C132" s="25"/>
      <c r="D132" s="41"/>
      <c r="E132" s="49"/>
      <c r="F132" s="49"/>
      <c r="G132" s="21">
        <f t="shared" si="27"/>
        <v>0</v>
      </c>
      <c r="H132" s="13"/>
      <c r="I132" s="67"/>
      <c r="J132" s="13"/>
      <c r="K132" s="13"/>
      <c r="L132" s="14"/>
      <c r="M132" s="38"/>
      <c r="N132" s="47"/>
      <c r="O132" s="25"/>
      <c r="P132" s="41"/>
      <c r="Q132" s="49"/>
      <c r="R132" s="49"/>
      <c r="S132" s="21">
        <f t="shared" si="28"/>
        <v>0</v>
      </c>
      <c r="T132" s="13"/>
      <c r="U132" s="13"/>
      <c r="V132" s="13"/>
      <c r="W132" s="13"/>
      <c r="X132" s="14"/>
      <c r="Y132" s="38"/>
      <c r="Z132" s="47"/>
      <c r="AA132" s="25"/>
      <c r="AB132" s="41"/>
      <c r="AC132" s="49"/>
      <c r="AD132" s="49"/>
      <c r="AE132" s="21">
        <f t="shared" si="29"/>
        <v>0</v>
      </c>
      <c r="AF132" s="13"/>
      <c r="AG132" s="13"/>
      <c r="AH132" s="13"/>
      <c r="AI132" s="13"/>
      <c r="AJ132" s="14"/>
      <c r="AK132" s="38"/>
      <c r="AL132" s="47"/>
      <c r="AM132" s="25"/>
      <c r="AN132" s="41"/>
      <c r="AO132" s="49"/>
      <c r="AP132" s="49"/>
      <c r="AQ132" s="21">
        <f t="shared" si="30"/>
        <v>0</v>
      </c>
      <c r="AR132" s="13"/>
      <c r="AS132" s="13"/>
      <c r="AT132" s="13"/>
      <c r="AU132" s="13"/>
      <c r="AV132" s="14"/>
      <c r="AW132" s="38"/>
      <c r="AX132" s="47"/>
      <c r="AY132" s="25"/>
      <c r="AZ132" s="41"/>
      <c r="BA132" s="49"/>
      <c r="BB132" s="49"/>
      <c r="BC132" s="21">
        <f t="shared" si="31"/>
        <v>0</v>
      </c>
      <c r="BD132" s="13"/>
      <c r="BE132" s="13"/>
      <c r="BF132" s="13"/>
      <c r="BG132" s="13"/>
      <c r="BH132" s="14"/>
      <c r="BI132" s="38"/>
      <c r="BJ132" s="47"/>
      <c r="BK132" s="25"/>
      <c r="BL132" s="41"/>
      <c r="BM132" s="49"/>
      <c r="BN132" s="49"/>
      <c r="BO132" s="21">
        <f t="shared" si="32"/>
        <v>0</v>
      </c>
      <c r="BP132" s="13"/>
      <c r="BQ132" s="13"/>
      <c r="BR132" s="13"/>
      <c r="BS132" s="13"/>
      <c r="BT132" s="14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</row>
    <row r="133">
      <c r="A133" s="38"/>
      <c r="B133" s="32"/>
      <c r="C133" s="25"/>
      <c r="D133" s="41"/>
      <c r="E133" s="49"/>
      <c r="F133" s="49"/>
      <c r="G133" s="21">
        <f t="shared" si="27"/>
        <v>0</v>
      </c>
      <c r="H133" s="13"/>
      <c r="I133" s="67"/>
      <c r="J133" s="13"/>
      <c r="K133" s="13"/>
      <c r="L133" s="14"/>
      <c r="M133" s="38"/>
      <c r="N133" s="32"/>
      <c r="O133" s="25"/>
      <c r="P133" s="41"/>
      <c r="Q133" s="49"/>
      <c r="R133" s="49"/>
      <c r="S133" s="21">
        <f t="shared" si="28"/>
        <v>0</v>
      </c>
      <c r="T133" s="13"/>
      <c r="U133" s="13"/>
      <c r="V133" s="13"/>
      <c r="W133" s="13"/>
      <c r="X133" s="14"/>
      <c r="Y133" s="38"/>
      <c r="Z133" s="32"/>
      <c r="AA133" s="25"/>
      <c r="AB133" s="41"/>
      <c r="AC133" s="49"/>
      <c r="AD133" s="49"/>
      <c r="AE133" s="21">
        <f t="shared" si="29"/>
        <v>0</v>
      </c>
      <c r="AF133" s="13"/>
      <c r="AG133" s="13"/>
      <c r="AH133" s="13"/>
      <c r="AI133" s="13"/>
      <c r="AJ133" s="14"/>
      <c r="AK133" s="38"/>
      <c r="AL133" s="32"/>
      <c r="AM133" s="25"/>
      <c r="AN133" s="41"/>
      <c r="AO133" s="49"/>
      <c r="AP133" s="49"/>
      <c r="AQ133" s="21">
        <f t="shared" si="30"/>
        <v>0</v>
      </c>
      <c r="AR133" s="13"/>
      <c r="AS133" s="13"/>
      <c r="AT133" s="13"/>
      <c r="AU133" s="13"/>
      <c r="AV133" s="14"/>
      <c r="AW133" s="38"/>
      <c r="AX133" s="32"/>
      <c r="AY133" s="25"/>
      <c r="AZ133" s="41"/>
      <c r="BA133" s="49"/>
      <c r="BB133" s="49"/>
      <c r="BC133" s="21">
        <f t="shared" si="31"/>
        <v>0</v>
      </c>
      <c r="BD133" s="13"/>
      <c r="BE133" s="13"/>
      <c r="BF133" s="13"/>
      <c r="BG133" s="13"/>
      <c r="BH133" s="14"/>
      <c r="BI133" s="38"/>
      <c r="BJ133" s="32"/>
      <c r="BK133" s="25"/>
      <c r="BL133" s="41"/>
      <c r="BM133" s="49"/>
      <c r="BN133" s="49"/>
      <c r="BO133" s="21">
        <f t="shared" si="32"/>
        <v>0</v>
      </c>
      <c r="BP133" s="13"/>
      <c r="BQ133" s="13"/>
      <c r="BR133" s="13"/>
      <c r="BS133" s="13"/>
      <c r="BT133" s="14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</row>
    <row r="134">
      <c r="A134" s="38"/>
      <c r="B134" s="32"/>
      <c r="C134" s="25"/>
      <c r="D134" s="41"/>
      <c r="E134" s="49"/>
      <c r="F134" s="49"/>
      <c r="G134" s="21">
        <f t="shared" si="27"/>
        <v>0</v>
      </c>
      <c r="H134" s="13"/>
      <c r="I134" s="67"/>
      <c r="J134" s="13"/>
      <c r="K134" s="13"/>
      <c r="L134" s="14"/>
      <c r="M134" s="38"/>
      <c r="N134" s="32"/>
      <c r="O134" s="25"/>
      <c r="P134" s="41"/>
      <c r="Q134" s="49"/>
      <c r="R134" s="49"/>
      <c r="S134" s="21">
        <f t="shared" si="28"/>
        <v>0</v>
      </c>
      <c r="T134" s="13"/>
      <c r="U134" s="13"/>
      <c r="V134" s="13"/>
      <c r="W134" s="13"/>
      <c r="X134" s="14"/>
      <c r="Y134" s="38"/>
      <c r="Z134" s="32"/>
      <c r="AA134" s="25"/>
      <c r="AB134" s="41"/>
      <c r="AC134" s="49"/>
      <c r="AD134" s="49"/>
      <c r="AE134" s="21">
        <f t="shared" si="29"/>
        <v>0</v>
      </c>
      <c r="AF134" s="13"/>
      <c r="AG134" s="13"/>
      <c r="AH134" s="13"/>
      <c r="AI134" s="13"/>
      <c r="AJ134" s="14"/>
      <c r="AK134" s="38"/>
      <c r="AL134" s="32"/>
      <c r="AM134" s="25"/>
      <c r="AN134" s="41"/>
      <c r="AO134" s="49"/>
      <c r="AP134" s="49"/>
      <c r="AQ134" s="21">
        <f t="shared" si="30"/>
        <v>0</v>
      </c>
      <c r="AR134" s="13"/>
      <c r="AS134" s="13"/>
      <c r="AT134" s="13"/>
      <c r="AU134" s="13"/>
      <c r="AV134" s="14"/>
      <c r="AW134" s="38"/>
      <c r="AX134" s="32"/>
      <c r="AY134" s="25"/>
      <c r="AZ134" s="41"/>
      <c r="BA134" s="49"/>
      <c r="BB134" s="49"/>
      <c r="BC134" s="21">
        <f t="shared" si="31"/>
        <v>0</v>
      </c>
      <c r="BD134" s="13"/>
      <c r="BE134" s="13"/>
      <c r="BF134" s="13"/>
      <c r="BG134" s="13"/>
      <c r="BH134" s="14"/>
      <c r="BI134" s="38"/>
      <c r="BJ134" s="32"/>
      <c r="BK134" s="25"/>
      <c r="BL134" s="41"/>
      <c r="BM134" s="49"/>
      <c r="BN134" s="49"/>
      <c r="BO134" s="21">
        <f t="shared" si="32"/>
        <v>0</v>
      </c>
      <c r="BP134" s="13"/>
      <c r="BQ134" s="13"/>
      <c r="BR134" s="13"/>
      <c r="BS134" s="13"/>
      <c r="BT134" s="14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</row>
    <row r="135">
      <c r="A135" s="50"/>
      <c r="B135" s="32"/>
      <c r="C135" s="25"/>
      <c r="D135" s="41"/>
      <c r="E135" s="49"/>
      <c r="F135" s="49"/>
      <c r="G135" s="88">
        <f t="shared" si="27"/>
        <v>0</v>
      </c>
      <c r="H135" s="89"/>
      <c r="I135" s="104"/>
      <c r="J135" s="89"/>
      <c r="K135" s="89"/>
      <c r="L135" s="90"/>
      <c r="M135" s="50"/>
      <c r="N135" s="32"/>
      <c r="O135" s="25"/>
      <c r="P135" s="41"/>
      <c r="Q135" s="49"/>
      <c r="R135" s="49"/>
      <c r="S135" s="21">
        <f t="shared" si="28"/>
        <v>0</v>
      </c>
      <c r="T135" s="89"/>
      <c r="U135" s="89"/>
      <c r="V135" s="89"/>
      <c r="W135" s="89"/>
      <c r="X135" s="90"/>
      <c r="Y135" s="50"/>
      <c r="Z135" s="32"/>
      <c r="AA135" s="25"/>
      <c r="AB135" s="41"/>
      <c r="AC135" s="49"/>
      <c r="AD135" s="49"/>
      <c r="AE135" s="21">
        <f t="shared" si="29"/>
        <v>0</v>
      </c>
      <c r="AF135" s="89"/>
      <c r="AG135" s="89"/>
      <c r="AH135" s="89"/>
      <c r="AI135" s="89"/>
      <c r="AJ135" s="90"/>
      <c r="AK135" s="50"/>
      <c r="AL135" s="32"/>
      <c r="AM135" s="25"/>
      <c r="AN135" s="41"/>
      <c r="AO135" s="49"/>
      <c r="AP135" s="49"/>
      <c r="AQ135" s="21">
        <f t="shared" si="30"/>
        <v>0</v>
      </c>
      <c r="AR135" s="89"/>
      <c r="AS135" s="89"/>
      <c r="AT135" s="89"/>
      <c r="AU135" s="89"/>
      <c r="AV135" s="90"/>
      <c r="AW135" s="50"/>
      <c r="AX135" s="32"/>
      <c r="AY135" s="25"/>
      <c r="AZ135" s="41"/>
      <c r="BA135" s="49"/>
      <c r="BB135" s="49"/>
      <c r="BC135" s="21">
        <f t="shared" si="31"/>
        <v>0</v>
      </c>
      <c r="BD135" s="89"/>
      <c r="BE135" s="89"/>
      <c r="BF135" s="89"/>
      <c r="BG135" s="89"/>
      <c r="BH135" s="90"/>
      <c r="BI135" s="50"/>
      <c r="BJ135" s="32"/>
      <c r="BK135" s="25"/>
      <c r="BL135" s="41"/>
      <c r="BM135" s="49"/>
      <c r="BN135" s="49"/>
      <c r="BO135" s="21">
        <f t="shared" si="32"/>
        <v>0</v>
      </c>
      <c r="BP135" s="89"/>
      <c r="BQ135" s="89"/>
      <c r="BR135" s="89"/>
      <c r="BS135" s="89"/>
      <c r="BT135" s="90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</row>
    <row r="136">
      <c r="A136" s="1" t="s">
        <v>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1" t="s">
        <v>1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3"/>
      <c r="Y136" s="1" t="s">
        <v>2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3"/>
      <c r="AK136" s="1" t="s">
        <v>45</v>
      </c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3"/>
      <c r="AW136" s="1" t="s">
        <v>46</v>
      </c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3"/>
      <c r="BI136" s="1" t="s">
        <v>54</v>
      </c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3"/>
      <c r="BU136" s="4"/>
      <c r="CG136" s="107"/>
      <c r="CH136" s="107"/>
      <c r="CI136" s="107"/>
      <c r="CJ136" s="107"/>
    </row>
    <row r="137">
      <c r="A137" s="5" t="s">
        <v>55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5" t="s">
        <v>48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5" t="s">
        <v>55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5" t="s">
        <v>55</v>
      </c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5" t="s">
        <v>55</v>
      </c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5" t="s">
        <v>55</v>
      </c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108"/>
      <c r="CG137" s="107"/>
      <c r="CH137" s="107"/>
      <c r="CI137" s="107"/>
      <c r="CJ137" s="107"/>
    </row>
    <row r="138">
      <c r="A138" s="7" t="s">
        <v>5</v>
      </c>
      <c r="B138" s="8" t="s">
        <v>6</v>
      </c>
      <c r="C138" s="9" t="s">
        <v>7</v>
      </c>
      <c r="D138" s="10" t="s">
        <v>8</v>
      </c>
      <c r="E138" s="11" t="s">
        <v>9</v>
      </c>
      <c r="F138" s="11" t="s">
        <v>10</v>
      </c>
      <c r="G138" s="12" t="s">
        <v>11</v>
      </c>
      <c r="H138" s="12" t="s">
        <v>12</v>
      </c>
      <c r="I138" s="12" t="s">
        <v>13</v>
      </c>
      <c r="J138" s="13" t="s">
        <v>14</v>
      </c>
      <c r="K138" s="67" t="s">
        <v>56</v>
      </c>
      <c r="L138" s="14" t="s">
        <v>16</v>
      </c>
      <c r="M138" s="7" t="s">
        <v>5</v>
      </c>
      <c r="N138" s="8" t="s">
        <v>6</v>
      </c>
      <c r="O138" s="9" t="s">
        <v>7</v>
      </c>
      <c r="P138" s="10" t="s">
        <v>8</v>
      </c>
      <c r="Q138" s="11" t="s">
        <v>9</v>
      </c>
      <c r="R138" s="11" t="s">
        <v>10</v>
      </c>
      <c r="S138" s="12" t="s">
        <v>11</v>
      </c>
      <c r="T138" s="12" t="s">
        <v>12</v>
      </c>
      <c r="U138" s="12" t="s">
        <v>13</v>
      </c>
      <c r="V138" s="13" t="s">
        <v>14</v>
      </c>
      <c r="W138" s="13" t="s">
        <v>15</v>
      </c>
      <c r="X138" s="14" t="s">
        <v>16</v>
      </c>
      <c r="Y138" s="7" t="s">
        <v>5</v>
      </c>
      <c r="Z138" s="8" t="s">
        <v>6</v>
      </c>
      <c r="AA138" s="9" t="s">
        <v>7</v>
      </c>
      <c r="AB138" s="10" t="s">
        <v>8</v>
      </c>
      <c r="AC138" s="11" t="s">
        <v>9</v>
      </c>
      <c r="AD138" s="11" t="s">
        <v>10</v>
      </c>
      <c r="AE138" s="12" t="s">
        <v>11</v>
      </c>
      <c r="AF138" s="12" t="s">
        <v>12</v>
      </c>
      <c r="AG138" s="91" t="s">
        <v>39</v>
      </c>
      <c r="AH138" s="13" t="s">
        <v>14</v>
      </c>
      <c r="AI138" s="13" t="s">
        <v>15</v>
      </c>
      <c r="AJ138" s="14" t="s">
        <v>16</v>
      </c>
      <c r="AK138" s="7" t="s">
        <v>5</v>
      </c>
      <c r="AL138" s="8" t="s">
        <v>6</v>
      </c>
      <c r="AM138" s="9" t="s">
        <v>7</v>
      </c>
      <c r="AN138" s="10" t="s">
        <v>8</v>
      </c>
      <c r="AO138" s="11" t="s">
        <v>9</v>
      </c>
      <c r="AP138" s="11" t="s">
        <v>10</v>
      </c>
      <c r="AQ138" s="12" t="s">
        <v>11</v>
      </c>
      <c r="AR138" s="12" t="s">
        <v>12</v>
      </c>
      <c r="AS138" s="91" t="s">
        <v>39</v>
      </c>
      <c r="AT138" s="13" t="s">
        <v>14</v>
      </c>
      <c r="AU138" s="13" t="s">
        <v>15</v>
      </c>
      <c r="AV138" s="14" t="s">
        <v>16</v>
      </c>
      <c r="AW138" s="7" t="s">
        <v>5</v>
      </c>
      <c r="AX138" s="8" t="s">
        <v>6</v>
      </c>
      <c r="AY138" s="9" t="s">
        <v>7</v>
      </c>
      <c r="AZ138" s="10" t="s">
        <v>8</v>
      </c>
      <c r="BA138" s="11" t="s">
        <v>9</v>
      </c>
      <c r="BB138" s="11" t="s">
        <v>10</v>
      </c>
      <c r="BC138" s="12" t="s">
        <v>11</v>
      </c>
      <c r="BD138" s="12" t="s">
        <v>12</v>
      </c>
      <c r="BE138" s="91" t="s">
        <v>39</v>
      </c>
      <c r="BF138" s="13" t="s">
        <v>14</v>
      </c>
      <c r="BG138" s="13" t="s">
        <v>15</v>
      </c>
      <c r="BH138" s="14" t="s">
        <v>16</v>
      </c>
      <c r="BI138" s="7" t="s">
        <v>5</v>
      </c>
      <c r="BJ138" s="8" t="s">
        <v>6</v>
      </c>
      <c r="BK138" s="9" t="s">
        <v>7</v>
      </c>
      <c r="BL138" s="10" t="s">
        <v>8</v>
      </c>
      <c r="BM138" s="11" t="s">
        <v>9</v>
      </c>
      <c r="BN138" s="11" t="s">
        <v>10</v>
      </c>
      <c r="BO138" s="12" t="s">
        <v>11</v>
      </c>
      <c r="BP138" s="12" t="s">
        <v>12</v>
      </c>
      <c r="BQ138" s="91" t="s">
        <v>39</v>
      </c>
      <c r="BR138" s="13" t="s">
        <v>14</v>
      </c>
      <c r="BS138" s="13" t="s">
        <v>15</v>
      </c>
      <c r="BT138" s="14" t="s">
        <v>16</v>
      </c>
      <c r="BU138" s="109"/>
      <c r="BV138" s="108"/>
      <c r="BW138" s="108"/>
      <c r="BX138" s="108"/>
      <c r="BY138" s="108"/>
      <c r="BZ138" s="108"/>
      <c r="CA138" s="109"/>
      <c r="CB138" s="109"/>
      <c r="CC138" s="109"/>
      <c r="CD138" s="107"/>
      <c r="CE138" s="107"/>
      <c r="CF138" s="107"/>
      <c r="CG138" s="107"/>
      <c r="CH138" s="107"/>
      <c r="CI138" s="107"/>
      <c r="CJ138" s="107"/>
    </row>
    <row r="139">
      <c r="A139" s="60">
        <v>45600.0</v>
      </c>
      <c r="B139" s="16"/>
      <c r="C139" s="17"/>
      <c r="D139" s="18">
        <v>1400000.0</v>
      </c>
      <c r="E139" s="20"/>
      <c r="F139" s="20"/>
      <c r="G139" s="21">
        <f t="shared" ref="G139:G162" si="39">SUM(B139)-(B139*15%)+(C139)-(C139*20.8%)+(D139)+(E139)-(E139*0.95%)+(F139)-(F139*15.5%)</f>
        <v>1400000</v>
      </c>
      <c r="H139" s="22">
        <f>SUM(B139:F162)</f>
        <v>7340000</v>
      </c>
      <c r="I139" s="21">
        <f>SUM(G139:G162)</f>
        <v>6843620</v>
      </c>
      <c r="J139" s="21">
        <f>SUM(I139)-(I139*97%)</f>
        <v>205308.6</v>
      </c>
      <c r="K139" s="21">
        <f>SUM(I139)-(I139*95%)</f>
        <v>342181</v>
      </c>
      <c r="L139" s="23">
        <f>SUM(I139)-(I139*93%)</f>
        <v>479053.4</v>
      </c>
      <c r="M139" s="60"/>
      <c r="N139" s="24">
        <v>1700000.0</v>
      </c>
      <c r="O139" s="25"/>
      <c r="P139" s="18"/>
      <c r="Q139" s="20"/>
      <c r="R139" s="20"/>
      <c r="S139" s="21">
        <f t="shared" ref="S139:S162" si="40">SUM(N139)-(N139*15%)+(O139)-(O139*20.8%)+(P139)+(Q139)-(Q139*0.95%)+(R139)-(R139*15.5%)</f>
        <v>1445000</v>
      </c>
      <c r="T139" s="22">
        <f>SUM(N139:R162)</f>
        <v>1700000</v>
      </c>
      <c r="U139" s="21">
        <f>SUM(S139:S162)</f>
        <v>1445000</v>
      </c>
      <c r="V139" s="21">
        <f>SUM(U139)-(U139*97%)</f>
        <v>43350</v>
      </c>
      <c r="W139" s="21">
        <f>SUM(U139)-(U139*95%)</f>
        <v>72250</v>
      </c>
      <c r="X139" s="23">
        <f>SUM(U139)-(U139*93%)</f>
        <v>101150</v>
      </c>
      <c r="Y139" s="60"/>
      <c r="Z139" s="16"/>
      <c r="AA139" s="43"/>
      <c r="AB139" s="18"/>
      <c r="AC139" s="20">
        <v>750000.0</v>
      </c>
      <c r="AD139" s="20"/>
      <c r="AE139" s="21">
        <f t="shared" ref="AE139:AE162" si="41">SUM(Z139)-(Z139*15%)+(AA139)-(AA139*20.8%)+(AB139)+(AC139)-(AC139*0.95%)+(AD139)-(AD139*15.5%)</f>
        <v>742875</v>
      </c>
      <c r="AF139" s="22">
        <f>SUM(Z139:AD162)</f>
        <v>5950000</v>
      </c>
      <c r="AG139" s="21">
        <f>SUM(AE139:AE162)</f>
        <v>5064275</v>
      </c>
      <c r="AH139" s="21">
        <f>SUM(AG139)-(AG139*97%)</f>
        <v>151928.25</v>
      </c>
      <c r="AI139" s="21">
        <f>SUM(AG139)-(AG139*95%)</f>
        <v>253213.75</v>
      </c>
      <c r="AJ139" s="23">
        <f>SUM(AG139)-(AG139*93%)</f>
        <v>354499.25</v>
      </c>
      <c r="AK139" s="60"/>
      <c r="AL139" s="16"/>
      <c r="AM139" s="43"/>
      <c r="AN139" s="18"/>
      <c r="AO139" s="20"/>
      <c r="AP139" s="20"/>
      <c r="AQ139" s="21">
        <f t="shared" ref="AQ139:AQ162" si="42">SUM(AL139)-(AL139*15%)+(AM139)-(AM139*20.8%)+(AN139)+(AO139)-(AO139*0.95%)+(AP139)-(AP139*15.5%)</f>
        <v>0</v>
      </c>
      <c r="AR139" s="22">
        <f>SUM(AL139:AP162)</f>
        <v>0</v>
      </c>
      <c r="AS139" s="21">
        <f>SUM(AQ139:AQ162)</f>
        <v>0</v>
      </c>
      <c r="AT139" s="21">
        <f>SUM(AS139)-(AS139*97%)</f>
        <v>0</v>
      </c>
      <c r="AU139" s="21">
        <f>SUM(AS139)-(AS139*95%)</f>
        <v>0</v>
      </c>
      <c r="AV139" s="23">
        <f>SUM(AS139)-(AS139*93%)</f>
        <v>0</v>
      </c>
      <c r="AW139" s="60">
        <v>45601.0</v>
      </c>
      <c r="AX139" s="16"/>
      <c r="AY139" s="43"/>
      <c r="AZ139" s="18"/>
      <c r="BA139" s="20">
        <v>50000.0</v>
      </c>
      <c r="BB139" s="20"/>
      <c r="BC139" s="21">
        <f t="shared" ref="BC139:BC162" si="43">SUM(AX139)-(AX139*15%)+(AY139)-(AY139*20.8%)+(AZ139)+(BA139)-(BA139*0.95%)+(BB139)-(BB139*15.5%)</f>
        <v>49525</v>
      </c>
      <c r="BD139" s="22">
        <f>SUM(AX139:BB162)</f>
        <v>3880000</v>
      </c>
      <c r="BE139" s="21">
        <f>SUM(BC139:BC162)</f>
        <v>3863090</v>
      </c>
      <c r="BF139" s="21">
        <f>SUM(BE139)-(BE139*97%)</f>
        <v>115892.7</v>
      </c>
      <c r="BG139" s="21">
        <f>SUM(BE139)-(BE139*96%)</f>
        <v>154523.6</v>
      </c>
      <c r="BH139" s="23">
        <f>SUM(BE139)-(BE139*93%)</f>
        <v>270416.3</v>
      </c>
      <c r="BI139" s="60"/>
      <c r="BJ139" s="16"/>
      <c r="BK139" s="43"/>
      <c r="BL139" s="18"/>
      <c r="BM139" s="20"/>
      <c r="BN139" s="20"/>
      <c r="BO139" s="21">
        <f t="shared" ref="BO139:BO162" si="44">SUM(BJ139)-(BJ139*15%)+(BK139)-(BK139*20.8%)+(BL139)+(BM139)-(BM139*0.95%)+(BN139)-(BN139*15.5%)</f>
        <v>0</v>
      </c>
      <c r="BP139" s="22">
        <f>SUM(BJ139:BN162)</f>
        <v>0</v>
      </c>
      <c r="BQ139" s="21">
        <f>SUM(BO139:BO162)</f>
        <v>0</v>
      </c>
      <c r="BR139" s="21">
        <f>SUM(BQ139)-(BQ139*97%)</f>
        <v>0</v>
      </c>
      <c r="BS139" s="21">
        <f>SUM(BQ139)-(BQ139*95%)</f>
        <v>0</v>
      </c>
      <c r="BT139" s="23">
        <f>SUM(BQ139)-(BQ139*93%)</f>
        <v>0</v>
      </c>
      <c r="BU139" s="110"/>
      <c r="BV139" s="107"/>
      <c r="BW139" s="107"/>
      <c r="BX139" s="107"/>
      <c r="BY139" s="107"/>
      <c r="BZ139" s="107"/>
      <c r="CA139" s="111"/>
      <c r="CB139" s="112"/>
      <c r="CC139" s="111"/>
      <c r="CD139" s="111"/>
      <c r="CE139" s="111"/>
      <c r="CF139" s="111"/>
      <c r="CG139" s="107"/>
      <c r="CH139" s="107"/>
      <c r="CI139" s="107"/>
      <c r="CJ139" s="107"/>
    </row>
    <row r="140">
      <c r="A140" s="60"/>
      <c r="B140" s="27"/>
      <c r="C140" s="17"/>
      <c r="D140" s="40"/>
      <c r="E140" s="20">
        <v>90000.0</v>
      </c>
      <c r="F140" s="30"/>
      <c r="G140" s="21">
        <f t="shared" si="39"/>
        <v>89145</v>
      </c>
      <c r="H140" s="31" t="s">
        <v>20</v>
      </c>
      <c r="I140" s="13"/>
      <c r="J140" s="13" t="s">
        <v>21</v>
      </c>
      <c r="K140" s="13" t="s">
        <v>22</v>
      </c>
      <c r="L140" s="14" t="s">
        <v>23</v>
      </c>
      <c r="M140" s="60"/>
      <c r="N140" s="32"/>
      <c r="O140" s="25"/>
      <c r="P140" s="33"/>
      <c r="Q140" s="30"/>
      <c r="R140" s="30"/>
      <c r="S140" s="21">
        <f t="shared" si="40"/>
        <v>0</v>
      </c>
      <c r="T140" s="31" t="s">
        <v>20</v>
      </c>
      <c r="U140" s="13"/>
      <c r="V140" s="13" t="s">
        <v>21</v>
      </c>
      <c r="W140" s="13" t="s">
        <v>22</v>
      </c>
      <c r="X140" s="14" t="s">
        <v>23</v>
      </c>
      <c r="Y140" s="60">
        <v>45619.0</v>
      </c>
      <c r="Z140" s="27"/>
      <c r="AA140" s="43">
        <v>1700000.0</v>
      </c>
      <c r="AB140" s="28"/>
      <c r="AC140" s="30"/>
      <c r="AD140" s="30"/>
      <c r="AE140" s="21">
        <f t="shared" si="41"/>
        <v>1346400</v>
      </c>
      <c r="AF140" s="31" t="s">
        <v>20</v>
      </c>
      <c r="AG140" s="13"/>
      <c r="AH140" s="13" t="s">
        <v>21</v>
      </c>
      <c r="AI140" s="13" t="s">
        <v>22</v>
      </c>
      <c r="AJ140" s="14" t="s">
        <v>23</v>
      </c>
      <c r="AK140" s="60"/>
      <c r="AL140" s="27"/>
      <c r="AM140" s="17"/>
      <c r="AN140" s="28"/>
      <c r="AO140" s="30"/>
      <c r="AP140" s="30"/>
      <c r="AQ140" s="21">
        <f t="shared" si="42"/>
        <v>0</v>
      </c>
      <c r="AR140" s="31" t="s">
        <v>20</v>
      </c>
      <c r="AS140" s="13"/>
      <c r="AT140" s="13" t="s">
        <v>21</v>
      </c>
      <c r="AU140" s="13" t="s">
        <v>22</v>
      </c>
      <c r="AV140" s="14" t="s">
        <v>23</v>
      </c>
      <c r="AW140" s="60">
        <v>45616.0</v>
      </c>
      <c r="AX140" s="27"/>
      <c r="AY140" s="17"/>
      <c r="AZ140" s="28">
        <v>1000000.0</v>
      </c>
      <c r="BA140" s="30"/>
      <c r="BB140" s="30"/>
      <c r="BC140" s="21">
        <f t="shared" si="43"/>
        <v>1000000</v>
      </c>
      <c r="BD140" s="31" t="s">
        <v>20</v>
      </c>
      <c r="BE140" s="13"/>
      <c r="BF140" s="13" t="s">
        <v>21</v>
      </c>
      <c r="BG140" s="13" t="s">
        <v>22</v>
      </c>
      <c r="BH140" s="14" t="s">
        <v>23</v>
      </c>
      <c r="BI140" s="60"/>
      <c r="BJ140" s="27"/>
      <c r="BK140" s="17"/>
      <c r="BL140" s="28"/>
      <c r="BM140" s="30"/>
      <c r="BN140" s="30"/>
      <c r="BO140" s="21">
        <f t="shared" si="44"/>
        <v>0</v>
      </c>
      <c r="BP140" s="31" t="s">
        <v>20</v>
      </c>
      <c r="BQ140" s="13"/>
      <c r="BR140" s="13" t="s">
        <v>21</v>
      </c>
      <c r="BS140" s="13" t="s">
        <v>22</v>
      </c>
      <c r="BT140" s="14" t="s">
        <v>23</v>
      </c>
      <c r="BU140" s="110"/>
      <c r="BV140" s="107"/>
      <c r="BW140" s="107"/>
      <c r="BX140" s="107"/>
      <c r="BY140" s="107"/>
      <c r="BZ140" s="107"/>
      <c r="CA140" s="111"/>
      <c r="CB140" s="113"/>
      <c r="CC140" s="107"/>
      <c r="CD140" s="107"/>
      <c r="CE140" s="107"/>
      <c r="CF140" s="107"/>
      <c r="CG140" s="107"/>
      <c r="CH140" s="107"/>
      <c r="CI140" s="107"/>
      <c r="CJ140" s="107"/>
    </row>
    <row r="141">
      <c r="A141" s="15"/>
      <c r="B141" s="39"/>
      <c r="C141" s="17"/>
      <c r="D141" s="18">
        <v>1700000.0</v>
      </c>
      <c r="E141" s="20"/>
      <c r="F141" s="20"/>
      <c r="G141" s="21">
        <f t="shared" si="39"/>
        <v>1700000</v>
      </c>
      <c r="H141" s="36"/>
      <c r="I141" s="13"/>
      <c r="J141" s="21">
        <f t="shared" ref="J141:L141" si="45">SUM(J139)-(J139*10%)</f>
        <v>184777.74</v>
      </c>
      <c r="K141" s="21">
        <f t="shared" si="45"/>
        <v>307962.9</v>
      </c>
      <c r="L141" s="23">
        <f t="shared" si="45"/>
        <v>431148.06</v>
      </c>
      <c r="M141" s="60"/>
      <c r="N141" s="32"/>
      <c r="O141" s="25"/>
      <c r="P141" s="33"/>
      <c r="Q141" s="20"/>
      <c r="R141" s="20"/>
      <c r="S141" s="21">
        <f t="shared" si="40"/>
        <v>0</v>
      </c>
      <c r="T141" s="36"/>
      <c r="U141" s="13"/>
      <c r="V141" s="21">
        <f t="shared" ref="V141:X141" si="46">SUM(V139)-(V139*10%)</f>
        <v>39015</v>
      </c>
      <c r="W141" s="21">
        <f t="shared" si="46"/>
        <v>65025</v>
      </c>
      <c r="X141" s="23">
        <f t="shared" si="46"/>
        <v>91035</v>
      </c>
      <c r="Y141" s="60">
        <v>45619.0</v>
      </c>
      <c r="Z141" s="35">
        <v>1300000.0</v>
      </c>
      <c r="AA141" s="43"/>
      <c r="AB141" s="18"/>
      <c r="AC141" s="20"/>
      <c r="AD141" s="20"/>
      <c r="AE141" s="21">
        <f t="shared" si="41"/>
        <v>1105000</v>
      </c>
      <c r="AF141" s="36"/>
      <c r="AG141" s="13"/>
      <c r="AH141" s="21">
        <f t="shared" ref="AH141:AJ141" si="47">SUM(AH139)-(AH139*10%)</f>
        <v>136735.425</v>
      </c>
      <c r="AI141" s="21">
        <f t="shared" si="47"/>
        <v>227892.375</v>
      </c>
      <c r="AJ141" s="23">
        <f t="shared" si="47"/>
        <v>319049.325</v>
      </c>
      <c r="AK141" s="60"/>
      <c r="AL141" s="39"/>
      <c r="AM141" s="43"/>
      <c r="AN141" s="18"/>
      <c r="AO141" s="20"/>
      <c r="AP141" s="20"/>
      <c r="AQ141" s="21">
        <f t="shared" si="42"/>
        <v>0</v>
      </c>
      <c r="AR141" s="36"/>
      <c r="AS141" s="13"/>
      <c r="AT141" s="21">
        <f t="shared" ref="AT141:AV141" si="48">SUM(AT139)-(AT139*10%)</f>
        <v>0</v>
      </c>
      <c r="AU141" s="21">
        <f t="shared" si="48"/>
        <v>0</v>
      </c>
      <c r="AV141" s="23">
        <f t="shared" si="48"/>
        <v>0</v>
      </c>
      <c r="AW141" s="60"/>
      <c r="AX141" s="27"/>
      <c r="AY141" s="17"/>
      <c r="AZ141" s="28"/>
      <c r="BA141" s="30">
        <v>250000.0</v>
      </c>
      <c r="BB141" s="20"/>
      <c r="BC141" s="21">
        <f t="shared" si="43"/>
        <v>247625</v>
      </c>
      <c r="BD141" s="36"/>
      <c r="BE141" s="13"/>
      <c r="BF141" s="21">
        <f t="shared" ref="BF141:BH141" si="49">SUM(BF139)-(BF139*10%)</f>
        <v>104303.43</v>
      </c>
      <c r="BG141" s="21">
        <f t="shared" si="49"/>
        <v>139071.24</v>
      </c>
      <c r="BH141" s="23">
        <f t="shared" si="49"/>
        <v>243374.67</v>
      </c>
      <c r="BI141" s="60"/>
      <c r="BJ141" s="27"/>
      <c r="BK141" s="17"/>
      <c r="BL141" s="28"/>
      <c r="BM141" s="30"/>
      <c r="BN141" s="20"/>
      <c r="BO141" s="21">
        <f t="shared" si="44"/>
        <v>0</v>
      </c>
      <c r="BP141" s="36"/>
      <c r="BQ141" s="13"/>
      <c r="BR141" s="21">
        <f t="shared" ref="BR141:BT141" si="50">SUM(BR139)-(BR139*10%)</f>
        <v>0</v>
      </c>
      <c r="BS141" s="21">
        <f t="shared" si="50"/>
        <v>0</v>
      </c>
      <c r="BT141" s="23">
        <f t="shared" si="50"/>
        <v>0</v>
      </c>
      <c r="BU141" s="110"/>
      <c r="BV141" s="107"/>
      <c r="BW141" s="107"/>
      <c r="BX141" s="107"/>
      <c r="BY141" s="107"/>
      <c r="BZ141" s="107"/>
      <c r="CA141" s="111"/>
      <c r="CB141" s="107"/>
      <c r="CC141" s="107"/>
      <c r="CD141" s="111"/>
      <c r="CE141" s="111"/>
      <c r="CF141" s="111"/>
      <c r="CG141" s="107"/>
      <c r="CH141" s="107"/>
      <c r="CI141" s="107"/>
      <c r="CJ141" s="107"/>
    </row>
    <row r="142">
      <c r="A142" s="60"/>
      <c r="B142" s="27"/>
      <c r="C142" s="17"/>
      <c r="D142" s="18"/>
      <c r="E142" s="20"/>
      <c r="F142" s="20">
        <v>1000000.0</v>
      </c>
      <c r="G142" s="21">
        <f t="shared" si="39"/>
        <v>845000</v>
      </c>
      <c r="H142" s="13"/>
      <c r="I142" s="13"/>
      <c r="J142" s="13"/>
      <c r="K142" s="13"/>
      <c r="L142" s="14"/>
      <c r="M142" s="60"/>
      <c r="N142" s="32"/>
      <c r="O142" s="93"/>
      <c r="P142" s="33"/>
      <c r="Q142" s="20"/>
      <c r="R142" s="20"/>
      <c r="S142" s="21">
        <f t="shared" si="40"/>
        <v>0</v>
      </c>
      <c r="T142" s="13"/>
      <c r="U142" s="13"/>
      <c r="V142" s="13"/>
      <c r="W142" s="13"/>
      <c r="X142" s="14"/>
      <c r="Y142" s="60">
        <v>45620.0</v>
      </c>
      <c r="Z142" s="35">
        <v>2200000.0</v>
      </c>
      <c r="AA142" s="17"/>
      <c r="AB142" s="18"/>
      <c r="AC142" s="20"/>
      <c r="AD142" s="20"/>
      <c r="AE142" s="21">
        <f t="shared" si="41"/>
        <v>1870000</v>
      </c>
      <c r="AF142" s="13"/>
      <c r="AG142" s="13"/>
      <c r="AH142" s="13"/>
      <c r="AI142" s="13"/>
      <c r="AJ142" s="14"/>
      <c r="AK142" s="60"/>
      <c r="AL142" s="35"/>
      <c r="AM142" s="17"/>
      <c r="AN142" s="18"/>
      <c r="AO142" s="20"/>
      <c r="AP142" s="20"/>
      <c r="AQ142" s="21">
        <f t="shared" si="42"/>
        <v>0</v>
      </c>
      <c r="AR142" s="13"/>
      <c r="AS142" s="13"/>
      <c r="AT142" s="13"/>
      <c r="AU142" s="13"/>
      <c r="AV142" s="14"/>
      <c r="AW142" s="60">
        <v>45619.0</v>
      </c>
      <c r="AX142" s="39"/>
      <c r="AY142" s="43"/>
      <c r="AZ142" s="18"/>
      <c r="BA142" s="20">
        <v>500000.0</v>
      </c>
      <c r="BB142" s="20"/>
      <c r="BC142" s="21">
        <f t="shared" si="43"/>
        <v>495250</v>
      </c>
      <c r="BD142" s="13"/>
      <c r="BE142" s="13"/>
      <c r="BF142" s="13"/>
      <c r="BG142" s="13"/>
      <c r="BH142" s="14"/>
      <c r="BI142" s="60"/>
      <c r="BJ142" s="39"/>
      <c r="BK142" s="43"/>
      <c r="BL142" s="18"/>
      <c r="BM142" s="20"/>
      <c r="BN142" s="20"/>
      <c r="BO142" s="21">
        <f t="shared" si="44"/>
        <v>0</v>
      </c>
      <c r="BP142" s="13"/>
      <c r="BQ142" s="13"/>
      <c r="BR142" s="13"/>
      <c r="BS142" s="13"/>
      <c r="BT142" s="14"/>
      <c r="BU142" s="110"/>
      <c r="BV142" s="107"/>
      <c r="BW142" s="107"/>
      <c r="BX142" s="107"/>
      <c r="BY142" s="107"/>
      <c r="BZ142" s="107"/>
      <c r="CA142" s="111"/>
      <c r="CB142" s="107"/>
      <c r="CC142" s="107"/>
      <c r="CD142" s="107"/>
      <c r="CE142" s="107"/>
      <c r="CF142" s="107"/>
      <c r="CG142" s="107"/>
      <c r="CH142" s="107"/>
      <c r="CI142" s="107"/>
      <c r="CJ142" s="107"/>
    </row>
    <row r="143">
      <c r="A143" s="60"/>
      <c r="B143" s="39"/>
      <c r="C143" s="17"/>
      <c r="D143" s="18"/>
      <c r="E143" s="20">
        <v>290000.0</v>
      </c>
      <c r="F143" s="20"/>
      <c r="G143" s="21">
        <f t="shared" si="39"/>
        <v>287245</v>
      </c>
      <c r="H143" s="13"/>
      <c r="I143" s="13"/>
      <c r="J143" s="13"/>
      <c r="K143" s="13"/>
      <c r="L143" s="14"/>
      <c r="M143" s="60"/>
      <c r="N143" s="32"/>
      <c r="O143" s="25"/>
      <c r="P143" s="33"/>
      <c r="Q143" s="20"/>
      <c r="R143" s="20"/>
      <c r="S143" s="21">
        <f t="shared" si="40"/>
        <v>0</v>
      </c>
      <c r="T143" s="13"/>
      <c r="U143" s="13"/>
      <c r="V143" s="13"/>
      <c r="W143" s="13"/>
      <c r="X143" s="14"/>
      <c r="Y143" s="60"/>
      <c r="Z143" s="27"/>
      <c r="AA143" s="43"/>
      <c r="AB143" s="18"/>
      <c r="AC143" s="20"/>
      <c r="AD143" s="20"/>
      <c r="AE143" s="21">
        <f t="shared" si="41"/>
        <v>0</v>
      </c>
      <c r="AF143" s="13"/>
      <c r="AG143" s="13"/>
      <c r="AH143" s="13"/>
      <c r="AI143" s="13"/>
      <c r="AJ143" s="14"/>
      <c r="AK143" s="60"/>
      <c r="AL143" s="27"/>
      <c r="AM143" s="43"/>
      <c r="AN143" s="18"/>
      <c r="AO143" s="20"/>
      <c r="AP143" s="20"/>
      <c r="AQ143" s="21">
        <f t="shared" si="42"/>
        <v>0</v>
      </c>
      <c r="AR143" s="13"/>
      <c r="AS143" s="13"/>
      <c r="AT143" s="13"/>
      <c r="AU143" s="13"/>
      <c r="AV143" s="14"/>
      <c r="AW143" s="60">
        <v>45624.0</v>
      </c>
      <c r="AX143" s="27"/>
      <c r="AY143" s="43"/>
      <c r="AZ143" s="18">
        <v>1100000.0</v>
      </c>
      <c r="BA143" s="20"/>
      <c r="BB143" s="20"/>
      <c r="BC143" s="21">
        <f t="shared" si="43"/>
        <v>1100000</v>
      </c>
      <c r="BD143" s="13"/>
      <c r="BE143" s="13"/>
      <c r="BF143" s="13"/>
      <c r="BG143" s="13"/>
      <c r="BH143" s="14"/>
      <c r="BI143" s="60"/>
      <c r="BJ143" s="27"/>
      <c r="BK143" s="43"/>
      <c r="BL143" s="18"/>
      <c r="BM143" s="20"/>
      <c r="BN143" s="20"/>
      <c r="BO143" s="21">
        <f t="shared" si="44"/>
        <v>0</v>
      </c>
      <c r="BP143" s="13"/>
      <c r="BQ143" s="13"/>
      <c r="BR143" s="13"/>
      <c r="BS143" s="13"/>
      <c r="BT143" s="14"/>
      <c r="BU143" s="110"/>
      <c r="BV143" s="107"/>
      <c r="BW143" s="107"/>
      <c r="BX143" s="107"/>
      <c r="BY143" s="107"/>
      <c r="BZ143" s="107"/>
      <c r="CA143" s="111"/>
      <c r="CB143" s="107"/>
      <c r="CC143" s="107"/>
      <c r="CD143" s="107"/>
      <c r="CE143" s="107"/>
      <c r="CF143" s="107"/>
      <c r="CG143" s="107"/>
      <c r="CH143" s="107"/>
      <c r="CI143" s="107"/>
      <c r="CJ143" s="107"/>
    </row>
    <row r="144">
      <c r="A144" s="60"/>
      <c r="B144" s="39"/>
      <c r="C144" s="43"/>
      <c r="D144" s="18"/>
      <c r="E144" s="20">
        <v>410000.0</v>
      </c>
      <c r="F144" s="20"/>
      <c r="G144" s="21">
        <f t="shared" si="39"/>
        <v>406105</v>
      </c>
      <c r="H144" s="13"/>
      <c r="I144" s="13"/>
      <c r="J144" s="13"/>
      <c r="K144" s="13">
        <f>BC140+BC141+BC142+G144+AE140+AE141+AE142+G146+G147+G148+G149++BC143+BC144+BC145+BC146+S139</f>
        <v>12102195</v>
      </c>
      <c r="L144" s="14"/>
      <c r="M144" s="60"/>
      <c r="N144" s="32"/>
      <c r="O144" s="25"/>
      <c r="P144" s="33"/>
      <c r="Q144" s="20"/>
      <c r="R144" s="20"/>
      <c r="S144" s="21">
        <f t="shared" si="40"/>
        <v>0</v>
      </c>
      <c r="T144" s="13"/>
      <c r="U144" s="13"/>
      <c r="V144" s="13"/>
      <c r="W144" s="13"/>
      <c r="X144" s="14"/>
      <c r="Y144" s="60"/>
      <c r="Z144" s="35"/>
      <c r="AA144" s="43"/>
      <c r="AB144" s="18"/>
      <c r="AC144" s="20"/>
      <c r="AD144" s="20"/>
      <c r="AE144" s="21">
        <f t="shared" si="41"/>
        <v>0</v>
      </c>
      <c r="AF144" s="13"/>
      <c r="AG144" s="13"/>
      <c r="AH144" s="13"/>
      <c r="AI144" s="13"/>
      <c r="AJ144" s="14"/>
      <c r="AK144" s="60"/>
      <c r="AL144" s="39"/>
      <c r="AM144" s="43"/>
      <c r="AN144" s="18"/>
      <c r="AO144" s="20"/>
      <c r="AP144" s="20"/>
      <c r="AQ144" s="21">
        <f t="shared" si="42"/>
        <v>0</v>
      </c>
      <c r="AR144" s="13"/>
      <c r="AS144" s="13"/>
      <c r="AT144" s="13"/>
      <c r="AU144" s="13"/>
      <c r="AV144" s="14"/>
      <c r="AW144" s="60">
        <v>45625.0</v>
      </c>
      <c r="AX144" s="39"/>
      <c r="AY144" s="43"/>
      <c r="AZ144" s="18"/>
      <c r="BA144" s="20">
        <v>180000.0</v>
      </c>
      <c r="BB144" s="20"/>
      <c r="BC144" s="21">
        <f t="shared" si="43"/>
        <v>178290</v>
      </c>
      <c r="BD144" s="13"/>
      <c r="BE144" s="13"/>
      <c r="BF144" s="13"/>
      <c r="BG144" s="13"/>
      <c r="BH144" s="14"/>
      <c r="BI144" s="60"/>
      <c r="BJ144" s="39"/>
      <c r="BK144" s="43"/>
      <c r="BL144" s="18"/>
      <c r="BM144" s="20"/>
      <c r="BN144" s="20"/>
      <c r="BO144" s="21">
        <f t="shared" si="44"/>
        <v>0</v>
      </c>
      <c r="BP144" s="13"/>
      <c r="BQ144" s="13"/>
      <c r="BR144" s="13"/>
      <c r="BS144" s="13"/>
      <c r="BT144" s="14"/>
      <c r="BU144" s="110"/>
      <c r="BV144" s="107"/>
      <c r="BW144" s="107"/>
      <c r="BX144" s="107"/>
      <c r="BY144" s="107"/>
      <c r="BZ144" s="107"/>
      <c r="CA144" s="111"/>
      <c r="CB144" s="107"/>
      <c r="CC144" s="107"/>
      <c r="CD144" s="107"/>
      <c r="CE144" s="107"/>
      <c r="CF144" s="107"/>
      <c r="CG144" s="107"/>
      <c r="CH144" s="107"/>
      <c r="CI144" s="107"/>
      <c r="CJ144" s="107"/>
    </row>
    <row r="145">
      <c r="A145" s="60">
        <v>45624.0</v>
      </c>
      <c r="B145" s="35"/>
      <c r="C145" s="17"/>
      <c r="D145" s="18"/>
      <c r="E145" s="20"/>
      <c r="F145" s="20"/>
      <c r="G145" s="21">
        <f t="shared" si="39"/>
        <v>0</v>
      </c>
      <c r="H145" s="94" t="s">
        <v>13</v>
      </c>
      <c r="I145" s="86" t="s">
        <v>57</v>
      </c>
      <c r="J145" s="86" t="s">
        <v>57</v>
      </c>
      <c r="K145" s="86" t="s">
        <v>58</v>
      </c>
      <c r="L145" s="95"/>
      <c r="M145" s="38"/>
      <c r="N145" s="32"/>
      <c r="O145" s="25"/>
      <c r="P145" s="33"/>
      <c r="Q145" s="20"/>
      <c r="R145" s="20"/>
      <c r="S145" s="21">
        <f t="shared" si="40"/>
        <v>0</v>
      </c>
      <c r="T145" s="13"/>
      <c r="U145" s="13"/>
      <c r="V145" s="13"/>
      <c r="W145" s="13"/>
      <c r="X145" s="14"/>
      <c r="Y145" s="105"/>
      <c r="Z145" s="106"/>
      <c r="AA145" s="98"/>
      <c r="AB145" s="99"/>
      <c r="AC145" s="100"/>
      <c r="AD145" s="101"/>
      <c r="AE145" s="21">
        <f t="shared" si="41"/>
        <v>0</v>
      </c>
      <c r="AF145" s="13"/>
      <c r="AG145" s="13"/>
      <c r="AH145" s="13"/>
      <c r="AI145" s="13"/>
      <c r="AJ145" s="14"/>
      <c r="AK145" s="96"/>
      <c r="AL145" s="97"/>
      <c r="AM145" s="98"/>
      <c r="AN145" s="99"/>
      <c r="AO145" s="100"/>
      <c r="AP145" s="101"/>
      <c r="AQ145" s="21">
        <f t="shared" si="42"/>
        <v>0</v>
      </c>
      <c r="AR145" s="13"/>
      <c r="AS145" s="13"/>
      <c r="AT145" s="13"/>
      <c r="AU145" s="13"/>
      <c r="AV145" s="14"/>
      <c r="AW145" s="60">
        <v>45625.0</v>
      </c>
      <c r="AX145" s="97"/>
      <c r="AY145" s="98"/>
      <c r="AZ145" s="99"/>
      <c r="BA145" s="114">
        <v>450000.0</v>
      </c>
      <c r="BB145" s="101"/>
      <c r="BC145" s="21">
        <f t="shared" si="43"/>
        <v>445725</v>
      </c>
      <c r="BD145" s="13"/>
      <c r="BE145" s="13"/>
      <c r="BF145" s="13"/>
      <c r="BG145" s="13"/>
      <c r="BH145" s="14"/>
      <c r="BI145" s="96"/>
      <c r="BJ145" s="97"/>
      <c r="BK145" s="98"/>
      <c r="BL145" s="99"/>
      <c r="BM145" s="100"/>
      <c r="BN145" s="101"/>
      <c r="BO145" s="21">
        <f t="shared" si="44"/>
        <v>0</v>
      </c>
      <c r="BP145" s="13"/>
      <c r="BQ145" s="13"/>
      <c r="BR145" s="13"/>
      <c r="BS145" s="13"/>
      <c r="BT145" s="14"/>
      <c r="BU145" s="110"/>
      <c r="BV145" s="107"/>
      <c r="BW145" s="107"/>
      <c r="BX145" s="107"/>
      <c r="BY145" s="107"/>
      <c r="BZ145" s="107"/>
      <c r="CA145" s="111"/>
      <c r="CB145" s="107"/>
      <c r="CC145" s="107"/>
      <c r="CD145" s="107"/>
      <c r="CE145" s="107"/>
      <c r="CF145" s="107"/>
      <c r="CG145" s="107"/>
      <c r="CH145" s="107"/>
      <c r="CI145" s="107"/>
      <c r="CJ145" s="107"/>
    </row>
    <row r="146">
      <c r="A146" s="60">
        <v>45625.0</v>
      </c>
      <c r="B146" s="16"/>
      <c r="C146" s="17"/>
      <c r="D146" s="42"/>
      <c r="E146" s="30">
        <v>250000.0</v>
      </c>
      <c r="F146" s="30"/>
      <c r="G146" s="21">
        <f t="shared" si="39"/>
        <v>247625</v>
      </c>
      <c r="H146" s="95">
        <f>AG139+I139+U139+AS139+BE139+BQ139+CC139</f>
        <v>17215985</v>
      </c>
      <c r="I146" s="102" t="s">
        <v>52</v>
      </c>
      <c r="J146" s="102" t="s">
        <v>44</v>
      </c>
      <c r="K146" s="102" t="s">
        <v>52</v>
      </c>
      <c r="L146" s="102" t="s">
        <v>44</v>
      </c>
      <c r="M146" s="38"/>
      <c r="N146" s="37"/>
      <c r="O146" s="25"/>
      <c r="P146" s="41"/>
      <c r="Q146" s="20"/>
      <c r="R146" s="20"/>
      <c r="S146" s="21">
        <f t="shared" si="40"/>
        <v>0</v>
      </c>
      <c r="T146" s="13"/>
      <c r="U146" s="13"/>
      <c r="V146" s="13"/>
      <c r="W146" s="13"/>
      <c r="X146" s="14"/>
      <c r="Y146" s="105"/>
      <c r="Z146" s="27"/>
      <c r="AA146" s="17"/>
      <c r="AB146" s="42"/>
      <c r="AC146" s="20"/>
      <c r="AD146" s="20"/>
      <c r="AE146" s="21">
        <f t="shared" si="41"/>
        <v>0</v>
      </c>
      <c r="AF146" s="13"/>
      <c r="AG146" s="13"/>
      <c r="AH146" s="13"/>
      <c r="AI146" s="13"/>
      <c r="AJ146" s="14"/>
      <c r="AK146" s="38"/>
      <c r="AL146" s="27"/>
      <c r="AM146" s="17"/>
      <c r="AN146" s="42"/>
      <c r="AO146" s="20"/>
      <c r="AP146" s="20"/>
      <c r="AQ146" s="21">
        <f t="shared" si="42"/>
        <v>0</v>
      </c>
      <c r="AR146" s="13"/>
      <c r="AS146" s="13"/>
      <c r="AT146" s="13"/>
      <c r="AU146" s="13"/>
      <c r="AV146" s="14"/>
      <c r="AW146" s="60">
        <v>45626.0</v>
      </c>
      <c r="AX146" s="27"/>
      <c r="AY146" s="17"/>
      <c r="AZ146" s="42"/>
      <c r="BA146" s="20">
        <v>350000.0</v>
      </c>
      <c r="BB146" s="20"/>
      <c r="BC146" s="21">
        <f t="shared" si="43"/>
        <v>346675</v>
      </c>
      <c r="BD146" s="13"/>
      <c r="BE146" s="13"/>
      <c r="BF146" s="13"/>
      <c r="BG146" s="13"/>
      <c r="BH146" s="14"/>
      <c r="BI146" s="38"/>
      <c r="BJ146" s="27"/>
      <c r="BK146" s="17"/>
      <c r="BL146" s="42"/>
      <c r="BM146" s="20"/>
      <c r="BN146" s="20"/>
      <c r="BO146" s="21">
        <f t="shared" si="44"/>
        <v>0</v>
      </c>
      <c r="BP146" s="13"/>
      <c r="BQ146" s="13"/>
      <c r="BR146" s="13"/>
      <c r="BS146" s="13"/>
      <c r="BT146" s="14"/>
      <c r="BU146" s="107"/>
      <c r="BV146" s="107"/>
      <c r="BW146" s="107"/>
      <c r="BX146" s="107"/>
      <c r="BY146" s="107"/>
      <c r="BZ146" s="107"/>
      <c r="CA146" s="111"/>
      <c r="CB146" s="107"/>
      <c r="CC146" s="107"/>
      <c r="CD146" s="107"/>
      <c r="CE146" s="107"/>
      <c r="CF146" s="107"/>
      <c r="CG146" s="107"/>
      <c r="CH146" s="107"/>
      <c r="CI146" s="107"/>
      <c r="CJ146" s="107"/>
    </row>
    <row r="147">
      <c r="A147" s="60">
        <v>45625.0</v>
      </c>
      <c r="B147" s="35">
        <v>1900000.0</v>
      </c>
      <c r="C147" s="17"/>
      <c r="D147" s="18"/>
      <c r="E147" s="20"/>
      <c r="F147" s="20"/>
      <c r="G147" s="21">
        <f t="shared" si="39"/>
        <v>1615000</v>
      </c>
      <c r="H147" s="95"/>
      <c r="I147" s="115">
        <f>SUM(H146)-(H146*99%)</f>
        <v>172159.85</v>
      </c>
      <c r="J147" s="87">
        <f>SUM(H146)-(H146*98.5%)</f>
        <v>258239.775</v>
      </c>
      <c r="K147" s="87">
        <f>SUM(K144)-(K144*99%)</f>
        <v>121021.95</v>
      </c>
      <c r="L147" s="87">
        <f>SUM(K144)-(K144*98.5%)</f>
        <v>181532.925</v>
      </c>
      <c r="M147" s="38"/>
      <c r="N147" s="24"/>
      <c r="O147" s="25"/>
      <c r="P147" s="41"/>
      <c r="Q147" s="30"/>
      <c r="R147" s="30"/>
      <c r="S147" s="21">
        <f t="shared" si="40"/>
        <v>0</v>
      </c>
      <c r="T147" s="13"/>
      <c r="U147" s="13"/>
      <c r="V147" s="13"/>
      <c r="W147" s="13"/>
      <c r="X147" s="14"/>
      <c r="Y147" s="105"/>
      <c r="Z147" s="16"/>
      <c r="AA147" s="44"/>
      <c r="AB147" s="42"/>
      <c r="AC147" s="30"/>
      <c r="AD147" s="30"/>
      <c r="AE147" s="21">
        <f t="shared" si="41"/>
        <v>0</v>
      </c>
      <c r="AF147" s="13"/>
      <c r="AG147" s="13"/>
      <c r="AH147" s="13"/>
      <c r="AI147" s="13"/>
      <c r="AJ147" s="14"/>
      <c r="AK147" s="38"/>
      <c r="AL147" s="26"/>
      <c r="AM147" s="44"/>
      <c r="AN147" s="42"/>
      <c r="AO147" s="30"/>
      <c r="AP147" s="30"/>
      <c r="AQ147" s="21">
        <f t="shared" si="42"/>
        <v>0</v>
      </c>
      <c r="AR147" s="13"/>
      <c r="AS147" s="13"/>
      <c r="AT147" s="13"/>
      <c r="AU147" s="13"/>
      <c r="AV147" s="14"/>
      <c r="AW147" s="38"/>
      <c r="AX147" s="26"/>
      <c r="AY147" s="44"/>
      <c r="AZ147" s="42"/>
      <c r="BA147" s="30"/>
      <c r="BB147" s="30"/>
      <c r="BC147" s="21">
        <f t="shared" si="43"/>
        <v>0</v>
      </c>
      <c r="BD147" s="13"/>
      <c r="BE147" s="13"/>
      <c r="BF147" s="13"/>
      <c r="BG147" s="13"/>
      <c r="BH147" s="14"/>
      <c r="BI147" s="38"/>
      <c r="BJ147" s="26"/>
      <c r="BK147" s="44"/>
      <c r="BL147" s="42"/>
      <c r="BM147" s="30"/>
      <c r="BN147" s="30"/>
      <c r="BO147" s="21">
        <f t="shared" si="44"/>
        <v>0</v>
      </c>
      <c r="BP147" s="13"/>
      <c r="BQ147" s="13"/>
      <c r="BR147" s="13"/>
      <c r="BS147" s="13"/>
      <c r="BT147" s="14"/>
      <c r="BU147" s="107"/>
      <c r="BV147" s="107"/>
      <c r="BW147" s="107"/>
      <c r="BX147" s="107"/>
      <c r="BY147" s="107"/>
      <c r="BZ147" s="107"/>
      <c r="CA147" s="111"/>
      <c r="CB147" s="107"/>
      <c r="CC147" s="107"/>
      <c r="CD147" s="107"/>
      <c r="CE147" s="107"/>
      <c r="CF147" s="107"/>
      <c r="CG147" s="107"/>
      <c r="CH147" s="107"/>
      <c r="CI147" s="107"/>
      <c r="CJ147" s="107"/>
    </row>
    <row r="148">
      <c r="A148" s="60">
        <v>45626.0</v>
      </c>
      <c r="B148" s="24"/>
      <c r="C148" s="25"/>
      <c r="D148" s="41"/>
      <c r="E148" s="46"/>
      <c r="F148" s="46"/>
      <c r="G148" s="21">
        <f t="shared" si="39"/>
        <v>0</v>
      </c>
      <c r="H148" s="95"/>
      <c r="I148" s="86" t="s">
        <v>53</v>
      </c>
      <c r="J148" s="86" t="s">
        <v>36</v>
      </c>
      <c r="K148" s="86" t="s">
        <v>53</v>
      </c>
      <c r="L148" s="86" t="s">
        <v>36</v>
      </c>
      <c r="M148" s="38"/>
      <c r="N148" s="37"/>
      <c r="O148" s="25"/>
      <c r="P148" s="41"/>
      <c r="Q148" s="20"/>
      <c r="R148" s="20"/>
      <c r="S148" s="21">
        <f t="shared" si="40"/>
        <v>0</v>
      </c>
      <c r="T148" s="13"/>
      <c r="U148" s="13"/>
      <c r="V148" s="13"/>
      <c r="W148" s="13"/>
      <c r="X148" s="14"/>
      <c r="Y148" s="38"/>
      <c r="Z148" s="45"/>
      <c r="AA148" s="17"/>
      <c r="AB148" s="18"/>
      <c r="AC148" s="20"/>
      <c r="AD148" s="20"/>
      <c r="AE148" s="21">
        <f t="shared" si="41"/>
        <v>0</v>
      </c>
      <c r="AF148" s="13"/>
      <c r="AG148" s="13"/>
      <c r="AH148" s="13"/>
      <c r="AI148" s="13"/>
      <c r="AJ148" s="14"/>
      <c r="AK148" s="38"/>
      <c r="AL148" s="45"/>
      <c r="AM148" s="17"/>
      <c r="AN148" s="18"/>
      <c r="AO148" s="20"/>
      <c r="AP148" s="20"/>
      <c r="AQ148" s="21">
        <f t="shared" si="42"/>
        <v>0</v>
      </c>
      <c r="AR148" s="13"/>
      <c r="AS148" s="13"/>
      <c r="AT148" s="13"/>
      <c r="AU148" s="13"/>
      <c r="AV148" s="14"/>
      <c r="AW148" s="38"/>
      <c r="AX148" s="45"/>
      <c r="AY148" s="17"/>
      <c r="AZ148" s="18"/>
      <c r="BA148" s="20"/>
      <c r="BB148" s="20"/>
      <c r="BC148" s="21">
        <f t="shared" si="43"/>
        <v>0</v>
      </c>
      <c r="BD148" s="13"/>
      <c r="BE148" s="13"/>
      <c r="BF148" s="13"/>
      <c r="BG148" s="13"/>
      <c r="BH148" s="14"/>
      <c r="BI148" s="38"/>
      <c r="BJ148" s="45"/>
      <c r="BK148" s="17"/>
      <c r="BL148" s="18"/>
      <c r="BM148" s="20"/>
      <c r="BN148" s="20"/>
      <c r="BO148" s="21">
        <f t="shared" si="44"/>
        <v>0</v>
      </c>
      <c r="BP148" s="13"/>
      <c r="BQ148" s="13"/>
      <c r="BR148" s="13"/>
      <c r="BS148" s="13"/>
      <c r="BT148" s="14"/>
      <c r="BU148" s="107"/>
      <c r="BV148" s="107"/>
      <c r="BW148" s="107"/>
      <c r="BX148" s="107"/>
      <c r="BY148" s="107"/>
      <c r="BZ148" s="107"/>
      <c r="CA148" s="111"/>
      <c r="CB148" s="107"/>
      <c r="CC148" s="107"/>
      <c r="CD148" s="107"/>
      <c r="CE148" s="107"/>
      <c r="CF148" s="107"/>
      <c r="CG148" s="107"/>
      <c r="CH148" s="107"/>
      <c r="CI148" s="107"/>
      <c r="CJ148" s="107"/>
    </row>
    <row r="149">
      <c r="A149" s="60">
        <v>45626.0</v>
      </c>
      <c r="B149" s="47"/>
      <c r="C149" s="25"/>
      <c r="D149" s="33"/>
      <c r="E149" s="46"/>
      <c r="F149" s="46">
        <v>300000.0</v>
      </c>
      <c r="G149" s="21">
        <f t="shared" si="39"/>
        <v>253500</v>
      </c>
      <c r="H149" s="94" t="s">
        <v>12</v>
      </c>
      <c r="I149" s="87">
        <f t="shared" ref="I149:L149" si="51">SUM(I147)-(I147*10%)</f>
        <v>154943.865</v>
      </c>
      <c r="J149" s="87">
        <f t="shared" si="51"/>
        <v>232415.7975</v>
      </c>
      <c r="K149" s="87">
        <f t="shared" si="51"/>
        <v>108919.755</v>
      </c>
      <c r="L149" s="87">
        <f t="shared" si="51"/>
        <v>163379.6325</v>
      </c>
      <c r="M149" s="38"/>
      <c r="N149" s="24"/>
      <c r="O149" s="25"/>
      <c r="P149" s="41"/>
      <c r="Q149" s="46"/>
      <c r="R149" s="46"/>
      <c r="S149" s="21">
        <f t="shared" si="40"/>
        <v>0</v>
      </c>
      <c r="T149" s="13"/>
      <c r="U149" s="13"/>
      <c r="V149" s="13"/>
      <c r="W149" s="13"/>
      <c r="X149" s="14"/>
      <c r="Y149" s="38"/>
      <c r="Z149" s="16"/>
      <c r="AA149" s="17"/>
      <c r="AB149" s="42"/>
      <c r="AC149" s="46"/>
      <c r="AD149" s="46"/>
      <c r="AE149" s="21">
        <f t="shared" si="41"/>
        <v>0</v>
      </c>
      <c r="AF149" s="13"/>
      <c r="AG149" s="13"/>
      <c r="AH149" s="13"/>
      <c r="AI149" s="13"/>
      <c r="AJ149" s="14"/>
      <c r="AK149" s="38"/>
      <c r="AL149" s="16"/>
      <c r="AM149" s="17"/>
      <c r="AN149" s="42"/>
      <c r="AO149" s="46"/>
      <c r="AP149" s="46"/>
      <c r="AQ149" s="21">
        <f t="shared" si="42"/>
        <v>0</v>
      </c>
      <c r="AR149" s="13"/>
      <c r="AS149" s="13"/>
      <c r="AT149" s="13"/>
      <c r="AU149" s="13"/>
      <c r="AV149" s="14"/>
      <c r="AW149" s="38"/>
      <c r="AX149" s="16"/>
      <c r="AY149" s="17"/>
      <c r="AZ149" s="42"/>
      <c r="BA149" s="46"/>
      <c r="BB149" s="46"/>
      <c r="BC149" s="21">
        <f t="shared" si="43"/>
        <v>0</v>
      </c>
      <c r="BD149" s="13"/>
      <c r="BE149" s="13"/>
      <c r="BF149" s="13"/>
      <c r="BG149" s="13"/>
      <c r="BH149" s="14"/>
      <c r="BI149" s="38"/>
      <c r="BJ149" s="16"/>
      <c r="BK149" s="17"/>
      <c r="BL149" s="42"/>
      <c r="BM149" s="46"/>
      <c r="BN149" s="46"/>
      <c r="BO149" s="21">
        <f t="shared" si="44"/>
        <v>0</v>
      </c>
      <c r="BP149" s="13"/>
      <c r="BQ149" s="13"/>
      <c r="BR149" s="13"/>
      <c r="BS149" s="13"/>
      <c r="BT149" s="14"/>
      <c r="BU149" s="107"/>
      <c r="BV149" s="107"/>
      <c r="BW149" s="107"/>
      <c r="BX149" s="107"/>
      <c r="BY149" s="107"/>
      <c r="BZ149" s="107"/>
      <c r="CA149" s="111"/>
      <c r="CB149" s="107"/>
      <c r="CC149" s="107"/>
      <c r="CD149" s="107"/>
      <c r="CE149" s="107"/>
      <c r="CF149" s="107"/>
      <c r="CG149" s="107"/>
      <c r="CH149" s="107"/>
      <c r="CI149" s="107"/>
      <c r="CJ149" s="107"/>
    </row>
    <row r="150">
      <c r="A150" s="105"/>
      <c r="B150" s="47"/>
      <c r="C150" s="25"/>
      <c r="D150" s="33"/>
      <c r="E150" s="46"/>
      <c r="F150" s="46"/>
      <c r="G150" s="21">
        <f t="shared" si="39"/>
        <v>0</v>
      </c>
      <c r="H150" s="95">
        <f>H139+T139+AF139+AR139+BD139+BP139+CB139</f>
        <v>18870000</v>
      </c>
      <c r="I150" s="95"/>
      <c r="J150" s="95"/>
      <c r="K150" s="95"/>
      <c r="L150" s="95"/>
      <c r="M150" s="38"/>
      <c r="N150" s="47"/>
      <c r="O150" s="25"/>
      <c r="P150" s="41"/>
      <c r="Q150" s="46"/>
      <c r="R150" s="46"/>
      <c r="S150" s="21">
        <f t="shared" si="40"/>
        <v>0</v>
      </c>
      <c r="T150" s="13"/>
      <c r="U150" s="13"/>
      <c r="V150" s="13"/>
      <c r="W150" s="13"/>
      <c r="X150" s="14"/>
      <c r="Y150" s="38"/>
      <c r="Z150" s="48"/>
      <c r="AA150" s="17"/>
      <c r="AB150" s="18"/>
      <c r="AC150" s="46"/>
      <c r="AD150" s="46"/>
      <c r="AE150" s="21">
        <f t="shared" si="41"/>
        <v>0</v>
      </c>
      <c r="AF150" s="13"/>
      <c r="AG150" s="13"/>
      <c r="AH150" s="13"/>
      <c r="AI150" s="13"/>
      <c r="AJ150" s="14"/>
      <c r="AK150" s="38"/>
      <c r="AL150" s="48"/>
      <c r="AM150" s="17"/>
      <c r="AN150" s="18"/>
      <c r="AO150" s="46"/>
      <c r="AP150" s="46"/>
      <c r="AQ150" s="21">
        <f t="shared" si="42"/>
        <v>0</v>
      </c>
      <c r="AR150" s="13"/>
      <c r="AS150" s="13"/>
      <c r="AT150" s="13"/>
      <c r="AU150" s="13"/>
      <c r="AV150" s="14"/>
      <c r="AW150" s="38"/>
      <c r="AX150" s="48"/>
      <c r="AY150" s="17"/>
      <c r="AZ150" s="18"/>
      <c r="BA150" s="46"/>
      <c r="BB150" s="46"/>
      <c r="BC150" s="21">
        <f t="shared" si="43"/>
        <v>0</v>
      </c>
      <c r="BD150" s="13"/>
      <c r="BE150" s="13"/>
      <c r="BF150" s="13"/>
      <c r="BG150" s="13"/>
      <c r="BH150" s="14"/>
      <c r="BI150" s="38"/>
      <c r="BJ150" s="48"/>
      <c r="BK150" s="17"/>
      <c r="BL150" s="18"/>
      <c r="BM150" s="46"/>
      <c r="BN150" s="46"/>
      <c r="BO150" s="21">
        <f t="shared" si="44"/>
        <v>0</v>
      </c>
      <c r="BP150" s="13"/>
      <c r="BQ150" s="13"/>
      <c r="BR150" s="13"/>
      <c r="BS150" s="13"/>
      <c r="BT150" s="14"/>
      <c r="BU150" s="107"/>
      <c r="BV150" s="107"/>
      <c r="BW150" s="107"/>
      <c r="BX150" s="107"/>
      <c r="BY150" s="107"/>
      <c r="BZ150" s="107"/>
      <c r="CA150" s="111"/>
      <c r="CB150" s="107"/>
      <c r="CC150" s="107"/>
      <c r="CD150" s="107"/>
      <c r="CE150" s="107"/>
      <c r="CF150" s="107"/>
      <c r="CG150" s="107"/>
      <c r="CH150" s="107"/>
      <c r="CI150" s="107"/>
      <c r="CJ150" s="107"/>
    </row>
    <row r="151">
      <c r="A151" s="105"/>
      <c r="B151" s="32"/>
      <c r="C151" s="25"/>
      <c r="D151" s="41"/>
      <c r="E151" s="46"/>
      <c r="F151" s="46"/>
      <c r="G151" s="21">
        <f t="shared" si="39"/>
        <v>0</v>
      </c>
      <c r="H151" s="95"/>
      <c r="I151" s="95"/>
      <c r="J151" s="95"/>
      <c r="K151" s="95"/>
      <c r="L151" s="95"/>
      <c r="M151" s="38"/>
      <c r="N151" s="32"/>
      <c r="O151" s="25"/>
      <c r="P151" s="41"/>
      <c r="Q151" s="46"/>
      <c r="R151" s="46"/>
      <c r="S151" s="21">
        <f t="shared" si="40"/>
        <v>0</v>
      </c>
      <c r="T151" s="13"/>
      <c r="U151" s="13"/>
      <c r="V151" s="13"/>
      <c r="W151" s="13"/>
      <c r="X151" s="14"/>
      <c r="Y151" s="38"/>
      <c r="Z151" s="27"/>
      <c r="AA151" s="17"/>
      <c r="AB151" s="42"/>
      <c r="AC151" s="46"/>
      <c r="AD151" s="46"/>
      <c r="AE151" s="21">
        <f t="shared" si="41"/>
        <v>0</v>
      </c>
      <c r="AF151" s="13"/>
      <c r="AG151" s="13"/>
      <c r="AH151" s="13"/>
      <c r="AI151" s="13"/>
      <c r="AJ151" s="14"/>
      <c r="AK151" s="38"/>
      <c r="AL151" s="27"/>
      <c r="AM151" s="17"/>
      <c r="AN151" s="42"/>
      <c r="AO151" s="46"/>
      <c r="AP151" s="46"/>
      <c r="AQ151" s="21">
        <f t="shared" si="42"/>
        <v>0</v>
      </c>
      <c r="AR151" s="13"/>
      <c r="AS151" s="13"/>
      <c r="AT151" s="13"/>
      <c r="AU151" s="13"/>
      <c r="AV151" s="14"/>
      <c r="AW151" s="38"/>
      <c r="AX151" s="27"/>
      <c r="AY151" s="17"/>
      <c r="AZ151" s="42"/>
      <c r="BA151" s="46"/>
      <c r="BB151" s="46"/>
      <c r="BC151" s="21">
        <f t="shared" si="43"/>
        <v>0</v>
      </c>
      <c r="BD151" s="13"/>
      <c r="BE151" s="13"/>
      <c r="BF151" s="13"/>
      <c r="BG151" s="13"/>
      <c r="BH151" s="14"/>
      <c r="BI151" s="38"/>
      <c r="BJ151" s="27"/>
      <c r="BK151" s="17"/>
      <c r="BL151" s="42"/>
      <c r="BM151" s="46"/>
      <c r="BN151" s="46"/>
      <c r="BO151" s="21">
        <f t="shared" si="44"/>
        <v>0</v>
      </c>
      <c r="BP151" s="13"/>
      <c r="BQ151" s="13"/>
      <c r="BR151" s="13"/>
      <c r="BS151" s="13"/>
      <c r="BT151" s="14"/>
      <c r="BU151" s="107"/>
      <c r="BV151" s="107"/>
      <c r="BW151" s="107"/>
      <c r="BX151" s="107"/>
      <c r="BY151" s="107"/>
      <c r="BZ151" s="107"/>
      <c r="CA151" s="111"/>
      <c r="CB151" s="107"/>
      <c r="CC151" s="107"/>
      <c r="CD151" s="107"/>
      <c r="CE151" s="107"/>
      <c r="CF151" s="107"/>
      <c r="CG151" s="107"/>
      <c r="CH151" s="107"/>
      <c r="CI151" s="107"/>
      <c r="CJ151" s="107"/>
    </row>
    <row r="152">
      <c r="A152" s="105"/>
      <c r="B152" s="47"/>
      <c r="C152" s="25"/>
      <c r="D152" s="41"/>
      <c r="E152" s="46"/>
      <c r="F152" s="46"/>
      <c r="G152" s="21">
        <f t="shared" si="39"/>
        <v>0</v>
      </c>
      <c r="H152" s="13"/>
      <c r="I152" s="13"/>
      <c r="J152" s="13"/>
      <c r="K152" s="13"/>
      <c r="L152" s="14"/>
      <c r="M152" s="38"/>
      <c r="N152" s="47"/>
      <c r="O152" s="25"/>
      <c r="P152" s="41"/>
      <c r="Q152" s="46"/>
      <c r="R152" s="46"/>
      <c r="S152" s="21">
        <f t="shared" si="40"/>
        <v>0</v>
      </c>
      <c r="T152" s="13"/>
      <c r="U152" s="116"/>
      <c r="V152" s="117" t="s">
        <v>59</v>
      </c>
      <c r="W152" s="116"/>
      <c r="X152" s="14"/>
      <c r="Y152" s="38"/>
      <c r="Z152" s="47"/>
      <c r="AA152" s="25"/>
      <c r="AB152" s="41"/>
      <c r="AC152" s="46"/>
      <c r="AD152" s="46"/>
      <c r="AE152" s="21">
        <f t="shared" si="41"/>
        <v>0</v>
      </c>
      <c r="AF152" s="13"/>
      <c r="AG152" s="116"/>
      <c r="AH152" s="117" t="s">
        <v>60</v>
      </c>
      <c r="AI152" s="116"/>
      <c r="AJ152" s="14"/>
      <c r="AK152" s="38"/>
      <c r="AL152" s="47"/>
      <c r="AM152" s="25"/>
      <c r="AN152" s="41"/>
      <c r="AO152" s="46"/>
      <c r="AP152" s="46"/>
      <c r="AQ152" s="21">
        <f t="shared" si="42"/>
        <v>0</v>
      </c>
      <c r="AR152" s="13"/>
      <c r="AS152" s="116"/>
      <c r="AT152" s="117" t="s">
        <v>61</v>
      </c>
      <c r="AU152" s="116"/>
      <c r="AV152" s="14"/>
      <c r="AW152" s="38"/>
      <c r="AX152" s="47"/>
      <c r="AY152" s="25"/>
      <c r="AZ152" s="41"/>
      <c r="BA152" s="46"/>
      <c r="BB152" s="46"/>
      <c r="BC152" s="21">
        <f t="shared" si="43"/>
        <v>0</v>
      </c>
      <c r="BD152" s="13"/>
      <c r="BE152" s="116"/>
      <c r="BF152" s="117" t="s">
        <v>59</v>
      </c>
      <c r="BG152" s="116"/>
      <c r="BH152" s="14"/>
      <c r="BI152" s="38"/>
      <c r="BJ152" s="47"/>
      <c r="BK152" s="25"/>
      <c r="BL152" s="41"/>
      <c r="BM152" s="46"/>
      <c r="BN152" s="46"/>
      <c r="BO152" s="21">
        <f t="shared" si="44"/>
        <v>0</v>
      </c>
      <c r="BP152" s="13"/>
      <c r="BQ152" s="116"/>
      <c r="BR152" s="117" t="s">
        <v>59</v>
      </c>
      <c r="BS152" s="116"/>
      <c r="BT152" s="14"/>
      <c r="BU152" s="107"/>
      <c r="BV152" s="107"/>
      <c r="BW152" s="107"/>
      <c r="BX152" s="107"/>
      <c r="BY152" s="107"/>
      <c r="BZ152" s="107"/>
      <c r="CA152" s="111"/>
      <c r="CB152" s="107"/>
      <c r="CC152" s="107"/>
      <c r="CD152" s="107"/>
      <c r="CE152" s="107"/>
      <c r="CF152" s="107"/>
      <c r="CG152" s="107"/>
      <c r="CH152" s="107"/>
      <c r="CI152" s="107"/>
      <c r="CJ152" s="107"/>
    </row>
    <row r="153">
      <c r="A153" s="38"/>
      <c r="B153" s="47"/>
      <c r="C153" s="25"/>
      <c r="D153" s="41"/>
      <c r="E153" s="46"/>
      <c r="F153" s="46"/>
      <c r="G153" s="21">
        <f t="shared" si="39"/>
        <v>0</v>
      </c>
      <c r="H153" s="116"/>
      <c r="I153" s="117" t="s">
        <v>61</v>
      </c>
      <c r="J153" s="116"/>
      <c r="K153" s="13"/>
      <c r="L153" s="14"/>
      <c r="M153" s="38"/>
      <c r="N153" s="47"/>
      <c r="O153" s="25"/>
      <c r="P153" s="41"/>
      <c r="Q153" s="46"/>
      <c r="R153" s="46"/>
      <c r="S153" s="21">
        <f t="shared" si="40"/>
        <v>0</v>
      </c>
      <c r="T153" s="13"/>
      <c r="U153" s="118">
        <v>0.03</v>
      </c>
      <c r="V153" s="118">
        <v>0.05</v>
      </c>
      <c r="W153" s="118">
        <v>0.07</v>
      </c>
      <c r="X153" s="14"/>
      <c r="Y153" s="38"/>
      <c r="Z153" s="47"/>
      <c r="AA153" s="25"/>
      <c r="AB153" s="41"/>
      <c r="AC153" s="46"/>
      <c r="AD153" s="46"/>
      <c r="AE153" s="21">
        <f t="shared" si="41"/>
        <v>0</v>
      </c>
      <c r="AF153" s="13"/>
      <c r="AG153" s="118">
        <v>0.03</v>
      </c>
      <c r="AH153" s="118">
        <v>0.05</v>
      </c>
      <c r="AI153" s="118">
        <v>0.07</v>
      </c>
      <c r="AJ153" s="14"/>
      <c r="AK153" s="38"/>
      <c r="AL153" s="47"/>
      <c r="AM153" s="25"/>
      <c r="AN153" s="41"/>
      <c r="AO153" s="46"/>
      <c r="AP153" s="46"/>
      <c r="AQ153" s="21">
        <f t="shared" si="42"/>
        <v>0</v>
      </c>
      <c r="AR153" s="13"/>
      <c r="AS153" s="118">
        <v>0.03</v>
      </c>
      <c r="AT153" s="118">
        <v>0.05</v>
      </c>
      <c r="AU153" s="118">
        <v>0.07</v>
      </c>
      <c r="AV153" s="14"/>
      <c r="AW153" s="38"/>
      <c r="AX153" s="47"/>
      <c r="AY153" s="25"/>
      <c r="AZ153" s="41"/>
      <c r="BA153" s="46"/>
      <c r="BB153" s="46"/>
      <c r="BC153" s="21">
        <f t="shared" si="43"/>
        <v>0</v>
      </c>
      <c r="BD153" s="13"/>
      <c r="BE153" s="118">
        <v>0.03</v>
      </c>
      <c r="BF153" s="118">
        <v>0.05</v>
      </c>
      <c r="BG153" s="118">
        <v>0.07</v>
      </c>
      <c r="BH153" s="14"/>
      <c r="BI153" s="38"/>
      <c r="BJ153" s="47"/>
      <c r="BK153" s="25"/>
      <c r="BL153" s="41"/>
      <c r="BM153" s="46"/>
      <c r="BN153" s="46"/>
      <c r="BO153" s="21">
        <f t="shared" si="44"/>
        <v>0</v>
      </c>
      <c r="BP153" s="13"/>
      <c r="BQ153" s="118">
        <v>0.03</v>
      </c>
      <c r="BR153" s="118">
        <v>0.05</v>
      </c>
      <c r="BS153" s="118">
        <v>0.07</v>
      </c>
      <c r="BT153" s="14"/>
      <c r="BU153" s="107"/>
      <c r="BV153" s="107"/>
      <c r="BW153" s="107"/>
      <c r="BX153" s="107"/>
      <c r="BY153" s="107"/>
      <c r="BZ153" s="107"/>
      <c r="CA153" s="111"/>
      <c r="CB153" s="107"/>
      <c r="CC153" s="107"/>
      <c r="CD153" s="107"/>
      <c r="CE153" s="107"/>
      <c r="CF153" s="107"/>
      <c r="CG153" s="107"/>
      <c r="CH153" s="107"/>
      <c r="CI153" s="107"/>
      <c r="CJ153" s="107"/>
    </row>
    <row r="154">
      <c r="A154" s="38"/>
      <c r="B154" s="47"/>
      <c r="C154" s="25"/>
      <c r="D154" s="41"/>
      <c r="E154" s="46"/>
      <c r="F154" s="46"/>
      <c r="G154" s="21">
        <f t="shared" si="39"/>
        <v>0</v>
      </c>
      <c r="H154" s="118">
        <v>0.03</v>
      </c>
      <c r="I154" s="118">
        <v>0.05</v>
      </c>
      <c r="J154" s="118">
        <v>0.07</v>
      </c>
      <c r="K154" s="13"/>
      <c r="L154" s="14"/>
      <c r="M154" s="38"/>
      <c r="N154" s="47"/>
      <c r="O154" s="25"/>
      <c r="P154" s="41"/>
      <c r="Q154" s="46"/>
      <c r="R154" s="46"/>
      <c r="S154" s="21">
        <f t="shared" si="40"/>
        <v>0</v>
      </c>
      <c r="T154" s="13"/>
      <c r="U154" s="117">
        <v>7.0</v>
      </c>
      <c r="V154" s="117">
        <v>9.0</v>
      </c>
      <c r="W154" s="117">
        <v>12.0</v>
      </c>
      <c r="X154" s="14"/>
      <c r="Y154" s="38"/>
      <c r="Z154" s="47"/>
      <c r="AA154" s="25"/>
      <c r="AB154" s="41"/>
      <c r="AC154" s="46"/>
      <c r="AD154" s="46"/>
      <c r="AE154" s="21">
        <f t="shared" si="41"/>
        <v>0</v>
      </c>
      <c r="AF154" s="13"/>
      <c r="AG154" s="117">
        <v>7.0</v>
      </c>
      <c r="AH154" s="117">
        <v>13.0</v>
      </c>
      <c r="AI154" s="117">
        <v>16.0</v>
      </c>
      <c r="AJ154" s="14"/>
      <c r="AK154" s="38"/>
      <c r="AL154" s="47"/>
      <c r="AM154" s="25"/>
      <c r="AN154" s="41"/>
      <c r="AO154" s="46"/>
      <c r="AP154" s="46"/>
      <c r="AQ154" s="21">
        <f t="shared" si="42"/>
        <v>0</v>
      </c>
      <c r="AR154" s="13"/>
      <c r="AS154" s="117">
        <v>7.0</v>
      </c>
      <c r="AT154" s="117">
        <v>13.0</v>
      </c>
      <c r="AU154" s="117">
        <v>16.0</v>
      </c>
      <c r="AV154" s="14"/>
      <c r="AW154" s="38"/>
      <c r="AX154" s="47"/>
      <c r="AY154" s="25"/>
      <c r="AZ154" s="41"/>
      <c r="BA154" s="46"/>
      <c r="BB154" s="46"/>
      <c r="BC154" s="21">
        <f t="shared" si="43"/>
        <v>0</v>
      </c>
      <c r="BD154" s="13"/>
      <c r="BE154" s="117">
        <v>7.0</v>
      </c>
      <c r="BF154" s="117">
        <v>9.0</v>
      </c>
      <c r="BG154" s="117">
        <v>12.0</v>
      </c>
      <c r="BH154" s="14"/>
      <c r="BI154" s="38"/>
      <c r="BJ154" s="47"/>
      <c r="BK154" s="25"/>
      <c r="BL154" s="41"/>
      <c r="BM154" s="46"/>
      <c r="BN154" s="46"/>
      <c r="BO154" s="21">
        <f t="shared" si="44"/>
        <v>0</v>
      </c>
      <c r="BP154" s="13"/>
      <c r="BQ154" s="117">
        <v>7.0</v>
      </c>
      <c r="BR154" s="117">
        <v>9.0</v>
      </c>
      <c r="BS154" s="117">
        <v>12.0</v>
      </c>
      <c r="BT154" s="14"/>
      <c r="BU154" s="107"/>
      <c r="BV154" s="107"/>
      <c r="BW154" s="107"/>
      <c r="BX154" s="107"/>
      <c r="BY154" s="107"/>
      <c r="BZ154" s="107"/>
      <c r="CA154" s="111"/>
      <c r="CB154" s="107"/>
      <c r="CC154" s="107"/>
      <c r="CD154" s="107"/>
      <c r="CE154" s="107"/>
      <c r="CF154" s="107"/>
      <c r="CG154" s="107"/>
      <c r="CH154" s="107"/>
      <c r="CI154" s="107"/>
      <c r="CJ154" s="107"/>
    </row>
    <row r="155">
      <c r="A155" s="38"/>
      <c r="B155" s="32"/>
      <c r="C155" s="25"/>
      <c r="D155" s="41"/>
      <c r="E155" s="49"/>
      <c r="F155" s="49"/>
      <c r="G155" s="21">
        <f t="shared" si="39"/>
        <v>0</v>
      </c>
      <c r="H155" s="117">
        <v>8.0</v>
      </c>
      <c r="I155" s="117">
        <v>14.0</v>
      </c>
      <c r="J155" s="117">
        <v>17.0</v>
      </c>
      <c r="K155" s="13"/>
      <c r="L155" s="14"/>
      <c r="M155" s="38"/>
      <c r="N155" s="32"/>
      <c r="O155" s="25"/>
      <c r="P155" s="41"/>
      <c r="Q155" s="49"/>
      <c r="R155" s="49"/>
      <c r="S155" s="21">
        <f t="shared" si="40"/>
        <v>0</v>
      </c>
      <c r="T155" s="13"/>
      <c r="U155" s="13"/>
      <c r="V155" s="13"/>
      <c r="W155" s="13"/>
      <c r="X155" s="14"/>
      <c r="Y155" s="38"/>
      <c r="Z155" s="32"/>
      <c r="AA155" s="25"/>
      <c r="AB155" s="41"/>
      <c r="AC155" s="49"/>
      <c r="AD155" s="49"/>
      <c r="AE155" s="21">
        <f t="shared" si="41"/>
        <v>0</v>
      </c>
      <c r="AF155" s="13"/>
      <c r="AG155" s="13"/>
      <c r="AH155" s="13"/>
      <c r="AI155" s="13"/>
      <c r="AJ155" s="14"/>
      <c r="AK155" s="38"/>
      <c r="AL155" s="32"/>
      <c r="AM155" s="25"/>
      <c r="AN155" s="41"/>
      <c r="AO155" s="49"/>
      <c r="AP155" s="49"/>
      <c r="AQ155" s="21">
        <f t="shared" si="42"/>
        <v>0</v>
      </c>
      <c r="AR155" s="13"/>
      <c r="AS155" s="13"/>
      <c r="AT155" s="13"/>
      <c r="AU155" s="13"/>
      <c r="AV155" s="14"/>
      <c r="AW155" s="38"/>
      <c r="AX155" s="32"/>
      <c r="AY155" s="25"/>
      <c r="AZ155" s="41"/>
      <c r="BA155" s="49"/>
      <c r="BB155" s="49"/>
      <c r="BC155" s="21">
        <f t="shared" si="43"/>
        <v>0</v>
      </c>
      <c r="BD155" s="13"/>
      <c r="BE155" s="13"/>
      <c r="BF155" s="13"/>
      <c r="BG155" s="13"/>
      <c r="BH155" s="14"/>
      <c r="BI155" s="38"/>
      <c r="BJ155" s="32"/>
      <c r="BK155" s="25"/>
      <c r="BL155" s="41"/>
      <c r="BM155" s="49"/>
      <c r="BN155" s="49"/>
      <c r="BO155" s="21">
        <f t="shared" si="44"/>
        <v>0</v>
      </c>
      <c r="BP155" s="13"/>
      <c r="BQ155" s="13"/>
      <c r="BR155" s="13"/>
      <c r="BS155" s="13"/>
      <c r="BT155" s="14"/>
      <c r="BU155" s="107"/>
      <c r="BV155" s="107"/>
      <c r="BW155" s="107"/>
      <c r="BX155" s="107"/>
      <c r="BY155" s="107"/>
      <c r="BZ155" s="107"/>
      <c r="CA155" s="111"/>
      <c r="CB155" s="107"/>
      <c r="CC155" s="107"/>
      <c r="CD155" s="107"/>
      <c r="CE155" s="107"/>
      <c r="CF155" s="107"/>
      <c r="CG155" s="107"/>
      <c r="CH155" s="107"/>
      <c r="CI155" s="107"/>
      <c r="CJ155" s="107"/>
    </row>
    <row r="156">
      <c r="A156" s="38"/>
      <c r="B156" s="32"/>
      <c r="C156" s="25"/>
      <c r="D156" s="41"/>
      <c r="E156" s="49"/>
      <c r="F156" s="49"/>
      <c r="G156" s="21">
        <f t="shared" si="39"/>
        <v>0</v>
      </c>
      <c r="H156" s="13"/>
      <c r="I156" s="13"/>
      <c r="J156" s="13"/>
      <c r="K156" s="13"/>
      <c r="L156" s="14"/>
      <c r="M156" s="38"/>
      <c r="N156" s="32"/>
      <c r="O156" s="25"/>
      <c r="P156" s="41"/>
      <c r="Q156" s="49"/>
      <c r="R156" s="49"/>
      <c r="S156" s="21">
        <f t="shared" si="40"/>
        <v>0</v>
      </c>
      <c r="T156" s="13"/>
      <c r="U156" s="13"/>
      <c r="V156" s="13"/>
      <c r="W156" s="13"/>
      <c r="X156" s="14"/>
      <c r="Y156" s="38"/>
      <c r="Z156" s="32"/>
      <c r="AA156" s="25"/>
      <c r="AB156" s="41"/>
      <c r="AC156" s="49"/>
      <c r="AD156" s="49"/>
      <c r="AE156" s="21">
        <f t="shared" si="41"/>
        <v>0</v>
      </c>
      <c r="AF156" s="13"/>
      <c r="AG156" s="13"/>
      <c r="AH156" s="13"/>
      <c r="AI156" s="13"/>
      <c r="AJ156" s="14"/>
      <c r="AK156" s="38"/>
      <c r="AL156" s="32"/>
      <c r="AM156" s="25"/>
      <c r="AN156" s="41"/>
      <c r="AO156" s="49"/>
      <c r="AP156" s="49"/>
      <c r="AQ156" s="21">
        <f t="shared" si="42"/>
        <v>0</v>
      </c>
      <c r="AR156" s="13"/>
      <c r="AS156" s="13"/>
      <c r="AT156" s="13"/>
      <c r="AU156" s="13"/>
      <c r="AV156" s="14"/>
      <c r="AW156" s="38"/>
      <c r="AX156" s="32"/>
      <c r="AY156" s="25"/>
      <c r="AZ156" s="41"/>
      <c r="BA156" s="49"/>
      <c r="BB156" s="49"/>
      <c r="BC156" s="21">
        <f t="shared" si="43"/>
        <v>0</v>
      </c>
      <c r="BD156" s="13"/>
      <c r="BE156" s="13"/>
      <c r="BF156" s="13"/>
      <c r="BG156" s="13"/>
      <c r="BH156" s="14"/>
      <c r="BI156" s="38"/>
      <c r="BJ156" s="32"/>
      <c r="BK156" s="25"/>
      <c r="BL156" s="41"/>
      <c r="BM156" s="49"/>
      <c r="BN156" s="49"/>
      <c r="BO156" s="21">
        <f t="shared" si="44"/>
        <v>0</v>
      </c>
      <c r="BP156" s="13"/>
      <c r="BQ156" s="13"/>
      <c r="BR156" s="13"/>
      <c r="BS156" s="13"/>
      <c r="BT156" s="14"/>
      <c r="BU156" s="107"/>
      <c r="BV156" s="107"/>
      <c r="BW156" s="107"/>
      <c r="BX156" s="107"/>
      <c r="BY156" s="107"/>
      <c r="BZ156" s="107"/>
      <c r="CA156" s="111"/>
      <c r="CB156" s="107"/>
      <c r="CC156" s="107"/>
      <c r="CD156" s="107"/>
      <c r="CE156" s="107"/>
      <c r="CF156" s="107"/>
      <c r="CG156" s="107"/>
      <c r="CH156" s="107"/>
      <c r="CI156" s="107"/>
      <c r="CJ156" s="107"/>
    </row>
    <row r="157">
      <c r="A157" s="38"/>
      <c r="B157" s="32"/>
      <c r="C157" s="25"/>
      <c r="D157" s="41"/>
      <c r="E157" s="49"/>
      <c r="F157" s="49"/>
      <c r="G157" s="21">
        <f t="shared" si="39"/>
        <v>0</v>
      </c>
      <c r="H157" s="13"/>
      <c r="I157" s="13"/>
      <c r="J157" s="67">
        <v>69.0</v>
      </c>
      <c r="K157" s="13"/>
      <c r="L157" s="14"/>
      <c r="M157" s="38"/>
      <c r="N157" s="32"/>
      <c r="O157" s="25"/>
      <c r="P157" s="41"/>
      <c r="Q157" s="49"/>
      <c r="R157" s="49"/>
      <c r="S157" s="21">
        <f t="shared" si="40"/>
        <v>0</v>
      </c>
      <c r="T157" s="13"/>
      <c r="U157" s="13"/>
      <c r="V157" s="13"/>
      <c r="W157" s="13"/>
      <c r="X157" s="14"/>
      <c r="Y157" s="38"/>
      <c r="Z157" s="32"/>
      <c r="AA157" s="25"/>
      <c r="AB157" s="41"/>
      <c r="AC157" s="49"/>
      <c r="AD157" s="49"/>
      <c r="AE157" s="21">
        <f t="shared" si="41"/>
        <v>0</v>
      </c>
      <c r="AF157" s="13"/>
      <c r="AG157" s="13"/>
      <c r="AH157" s="13"/>
      <c r="AI157" s="13"/>
      <c r="AJ157" s="14"/>
      <c r="AK157" s="38"/>
      <c r="AL157" s="32"/>
      <c r="AM157" s="25"/>
      <c r="AN157" s="41"/>
      <c r="AO157" s="49"/>
      <c r="AP157" s="49"/>
      <c r="AQ157" s="21">
        <f t="shared" si="42"/>
        <v>0</v>
      </c>
      <c r="AR157" s="13"/>
      <c r="AS157" s="13"/>
      <c r="AT157" s="13"/>
      <c r="AU157" s="13"/>
      <c r="AV157" s="14"/>
      <c r="AW157" s="38"/>
      <c r="AX157" s="32"/>
      <c r="AY157" s="25"/>
      <c r="AZ157" s="41"/>
      <c r="BA157" s="49"/>
      <c r="BB157" s="49"/>
      <c r="BC157" s="21">
        <f t="shared" si="43"/>
        <v>0</v>
      </c>
      <c r="BD157" s="13"/>
      <c r="BE157" s="13"/>
      <c r="BF157" s="13"/>
      <c r="BG157" s="13"/>
      <c r="BH157" s="14"/>
      <c r="BI157" s="38"/>
      <c r="BJ157" s="32"/>
      <c r="BK157" s="25"/>
      <c r="BL157" s="41"/>
      <c r="BM157" s="49"/>
      <c r="BN157" s="49"/>
      <c r="BO157" s="21">
        <f t="shared" si="44"/>
        <v>0</v>
      </c>
      <c r="BP157" s="13"/>
      <c r="BQ157" s="13"/>
      <c r="BR157" s="13"/>
      <c r="BS157" s="13"/>
      <c r="BT157" s="14"/>
      <c r="BU157" s="107"/>
      <c r="BV157" s="107"/>
      <c r="BW157" s="107"/>
      <c r="BX157" s="107"/>
      <c r="BY157" s="107"/>
      <c r="BZ157" s="107"/>
      <c r="CA157" s="111"/>
      <c r="CB157" s="107"/>
      <c r="CC157" s="107"/>
      <c r="CD157" s="107"/>
      <c r="CE157" s="107"/>
      <c r="CF157" s="107"/>
      <c r="CG157" s="107"/>
      <c r="CH157" s="107"/>
      <c r="CI157" s="107"/>
      <c r="CJ157" s="107"/>
    </row>
    <row r="158">
      <c r="A158" s="38"/>
      <c r="B158" s="32"/>
      <c r="C158" s="25"/>
      <c r="D158" s="41"/>
      <c r="E158" s="46"/>
      <c r="F158" s="46"/>
      <c r="G158" s="21">
        <f t="shared" si="39"/>
        <v>0</v>
      </c>
      <c r="H158" s="13"/>
      <c r="I158" s="67"/>
      <c r="J158" s="13"/>
      <c r="K158" s="13"/>
      <c r="L158" s="14"/>
      <c r="M158" s="38"/>
      <c r="N158" s="32"/>
      <c r="O158" s="25"/>
      <c r="P158" s="41"/>
      <c r="Q158" s="46"/>
      <c r="R158" s="46"/>
      <c r="S158" s="21">
        <f t="shared" si="40"/>
        <v>0</v>
      </c>
      <c r="T158" s="13"/>
      <c r="U158" s="13"/>
      <c r="V158" s="13"/>
      <c r="W158" s="13"/>
      <c r="X158" s="14"/>
      <c r="Y158" s="38"/>
      <c r="Z158" s="32"/>
      <c r="AA158" s="25"/>
      <c r="AB158" s="41"/>
      <c r="AC158" s="46"/>
      <c r="AD158" s="46"/>
      <c r="AE158" s="21">
        <f t="shared" si="41"/>
        <v>0</v>
      </c>
      <c r="AF158" s="13"/>
      <c r="AG158" s="13"/>
      <c r="AH158" s="13"/>
      <c r="AI158" s="13"/>
      <c r="AJ158" s="14"/>
      <c r="AK158" s="38"/>
      <c r="AL158" s="32"/>
      <c r="AM158" s="25"/>
      <c r="AN158" s="41"/>
      <c r="AO158" s="46"/>
      <c r="AP158" s="46"/>
      <c r="AQ158" s="21">
        <f t="shared" si="42"/>
        <v>0</v>
      </c>
      <c r="AR158" s="13"/>
      <c r="AS158" s="13"/>
      <c r="AT158" s="13"/>
      <c r="AU158" s="13"/>
      <c r="AV158" s="14"/>
      <c r="AW158" s="38"/>
      <c r="AX158" s="32"/>
      <c r="AY158" s="25"/>
      <c r="AZ158" s="41"/>
      <c r="BA158" s="46"/>
      <c r="BB158" s="46"/>
      <c r="BC158" s="21">
        <f t="shared" si="43"/>
        <v>0</v>
      </c>
      <c r="BD158" s="13"/>
      <c r="BE158" s="13"/>
      <c r="BF158" s="13"/>
      <c r="BG158" s="13"/>
      <c r="BH158" s="14"/>
      <c r="BI158" s="38"/>
      <c r="BJ158" s="32"/>
      <c r="BK158" s="25"/>
      <c r="BL158" s="41"/>
      <c r="BM158" s="46"/>
      <c r="BN158" s="46"/>
      <c r="BO158" s="21">
        <f t="shared" si="44"/>
        <v>0</v>
      </c>
      <c r="BP158" s="13"/>
      <c r="BQ158" s="13"/>
      <c r="BR158" s="13"/>
      <c r="BS158" s="13"/>
      <c r="BT158" s="14"/>
      <c r="BU158" s="107"/>
      <c r="BV158" s="107"/>
      <c r="BW158" s="107"/>
      <c r="BX158" s="107"/>
      <c r="BY158" s="107"/>
      <c r="BZ158" s="107"/>
      <c r="CA158" s="111"/>
      <c r="CB158" s="107"/>
      <c r="CC158" s="107"/>
      <c r="CD158" s="107"/>
      <c r="CE158" s="107"/>
      <c r="CF158" s="107"/>
      <c r="CG158" s="107"/>
      <c r="CH158" s="107"/>
      <c r="CI158" s="107"/>
      <c r="CJ158" s="107"/>
    </row>
    <row r="159">
      <c r="A159" s="38"/>
      <c r="B159" s="47"/>
      <c r="C159" s="25"/>
      <c r="D159" s="41"/>
      <c r="E159" s="49"/>
      <c r="F159" s="49"/>
      <c r="G159" s="21">
        <f t="shared" si="39"/>
        <v>0</v>
      </c>
      <c r="H159" s="13"/>
      <c r="I159" s="67"/>
      <c r="J159" s="13"/>
      <c r="K159" s="13"/>
      <c r="L159" s="14"/>
      <c r="M159" s="38"/>
      <c r="N159" s="47"/>
      <c r="O159" s="25"/>
      <c r="P159" s="41"/>
      <c r="Q159" s="49"/>
      <c r="R159" s="49"/>
      <c r="S159" s="21">
        <f t="shared" si="40"/>
        <v>0</v>
      </c>
      <c r="T159" s="13"/>
      <c r="U159" s="13"/>
      <c r="V159" s="13"/>
      <c r="W159" s="13"/>
      <c r="X159" s="14"/>
      <c r="Y159" s="38"/>
      <c r="Z159" s="47"/>
      <c r="AA159" s="25"/>
      <c r="AB159" s="41"/>
      <c r="AC159" s="49"/>
      <c r="AD159" s="49"/>
      <c r="AE159" s="21">
        <f t="shared" si="41"/>
        <v>0</v>
      </c>
      <c r="AF159" s="13"/>
      <c r="AG159" s="13"/>
      <c r="AH159" s="13"/>
      <c r="AI159" s="13"/>
      <c r="AJ159" s="14"/>
      <c r="AK159" s="38"/>
      <c r="AL159" s="47"/>
      <c r="AM159" s="25"/>
      <c r="AN159" s="41"/>
      <c r="AO159" s="49"/>
      <c r="AP159" s="49"/>
      <c r="AQ159" s="21">
        <f t="shared" si="42"/>
        <v>0</v>
      </c>
      <c r="AR159" s="13"/>
      <c r="AS159" s="13"/>
      <c r="AT159" s="13"/>
      <c r="AU159" s="13"/>
      <c r="AV159" s="14"/>
      <c r="AW159" s="38"/>
      <c r="AX159" s="47"/>
      <c r="AY159" s="25"/>
      <c r="AZ159" s="41"/>
      <c r="BA159" s="49"/>
      <c r="BB159" s="49"/>
      <c r="BC159" s="21">
        <f t="shared" si="43"/>
        <v>0</v>
      </c>
      <c r="BD159" s="13"/>
      <c r="BE159" s="13"/>
      <c r="BF159" s="13"/>
      <c r="BG159" s="13"/>
      <c r="BH159" s="14"/>
      <c r="BI159" s="38"/>
      <c r="BJ159" s="47"/>
      <c r="BK159" s="25"/>
      <c r="BL159" s="41"/>
      <c r="BM159" s="49"/>
      <c r="BN159" s="49"/>
      <c r="BO159" s="21">
        <f t="shared" si="44"/>
        <v>0</v>
      </c>
      <c r="BP159" s="13"/>
      <c r="BQ159" s="13"/>
      <c r="BR159" s="13"/>
      <c r="BS159" s="13"/>
      <c r="BT159" s="14"/>
      <c r="BU159" s="107"/>
      <c r="BV159" s="107"/>
      <c r="BW159" s="107"/>
      <c r="BX159" s="107"/>
      <c r="BY159" s="107"/>
      <c r="BZ159" s="107"/>
      <c r="CA159" s="111"/>
      <c r="CB159" s="107"/>
      <c r="CC159" s="107"/>
      <c r="CD159" s="107"/>
      <c r="CE159" s="107"/>
      <c r="CF159" s="107"/>
      <c r="CG159" s="107"/>
      <c r="CH159" s="107"/>
      <c r="CI159" s="107"/>
      <c r="CJ159" s="107"/>
    </row>
    <row r="160">
      <c r="A160" s="38"/>
      <c r="B160" s="32"/>
      <c r="C160" s="25"/>
      <c r="D160" s="41"/>
      <c r="E160" s="49"/>
      <c r="F160" s="49"/>
      <c r="G160" s="21">
        <f t="shared" si="39"/>
        <v>0</v>
      </c>
      <c r="H160" s="13"/>
      <c r="I160" s="67"/>
      <c r="J160" s="13"/>
      <c r="K160" s="13"/>
      <c r="L160" s="14"/>
      <c r="M160" s="38"/>
      <c r="N160" s="32"/>
      <c r="O160" s="25"/>
      <c r="P160" s="41"/>
      <c r="Q160" s="49"/>
      <c r="R160" s="49"/>
      <c r="S160" s="21">
        <f t="shared" si="40"/>
        <v>0</v>
      </c>
      <c r="T160" s="13"/>
      <c r="U160" s="13"/>
      <c r="V160" s="13"/>
      <c r="W160" s="13"/>
      <c r="X160" s="14"/>
      <c r="Y160" s="38"/>
      <c r="Z160" s="32"/>
      <c r="AA160" s="25"/>
      <c r="AB160" s="41"/>
      <c r="AC160" s="49"/>
      <c r="AD160" s="49"/>
      <c r="AE160" s="21">
        <f t="shared" si="41"/>
        <v>0</v>
      </c>
      <c r="AF160" s="13"/>
      <c r="AG160" s="13"/>
      <c r="AH160" s="13"/>
      <c r="AI160" s="13"/>
      <c r="AJ160" s="14"/>
      <c r="AK160" s="38"/>
      <c r="AL160" s="32"/>
      <c r="AM160" s="25"/>
      <c r="AN160" s="41"/>
      <c r="AO160" s="49"/>
      <c r="AP160" s="49"/>
      <c r="AQ160" s="21">
        <f t="shared" si="42"/>
        <v>0</v>
      </c>
      <c r="AR160" s="13"/>
      <c r="AS160" s="13"/>
      <c r="AT160" s="13"/>
      <c r="AU160" s="13"/>
      <c r="AV160" s="14"/>
      <c r="AW160" s="38"/>
      <c r="AX160" s="32"/>
      <c r="AY160" s="25"/>
      <c r="AZ160" s="41"/>
      <c r="BA160" s="49"/>
      <c r="BB160" s="49"/>
      <c r="BC160" s="21">
        <f t="shared" si="43"/>
        <v>0</v>
      </c>
      <c r="BD160" s="13"/>
      <c r="BE160" s="13"/>
      <c r="BF160" s="13"/>
      <c r="BG160" s="13"/>
      <c r="BH160" s="14"/>
      <c r="BI160" s="38"/>
      <c r="BJ160" s="32"/>
      <c r="BK160" s="25"/>
      <c r="BL160" s="41"/>
      <c r="BM160" s="49"/>
      <c r="BN160" s="49"/>
      <c r="BO160" s="21">
        <f t="shared" si="44"/>
        <v>0</v>
      </c>
      <c r="BP160" s="13"/>
      <c r="BQ160" s="13"/>
      <c r="BR160" s="13"/>
      <c r="BS160" s="13"/>
      <c r="BT160" s="14"/>
      <c r="BU160" s="107"/>
      <c r="BV160" s="107"/>
      <c r="BW160" s="107"/>
      <c r="BX160" s="107"/>
      <c r="BY160" s="107"/>
      <c r="BZ160" s="107"/>
      <c r="CA160" s="111"/>
      <c r="CB160" s="107"/>
      <c r="CC160" s="107"/>
      <c r="CD160" s="107"/>
      <c r="CE160" s="107"/>
      <c r="CF160" s="107"/>
      <c r="CG160" s="107"/>
      <c r="CH160" s="107"/>
      <c r="CI160" s="107"/>
      <c r="CJ160" s="107"/>
    </row>
    <row r="161">
      <c r="A161" s="38"/>
      <c r="B161" s="32"/>
      <c r="C161" s="25"/>
      <c r="D161" s="41"/>
      <c r="E161" s="49"/>
      <c r="F161" s="49"/>
      <c r="G161" s="21">
        <f t="shared" si="39"/>
        <v>0</v>
      </c>
      <c r="H161" s="13"/>
      <c r="I161" s="67"/>
      <c r="J161" s="13"/>
      <c r="K161" s="13"/>
      <c r="L161" s="14"/>
      <c r="M161" s="38"/>
      <c r="N161" s="32"/>
      <c r="O161" s="25"/>
      <c r="P161" s="41"/>
      <c r="Q161" s="49"/>
      <c r="R161" s="49"/>
      <c r="S161" s="21">
        <f t="shared" si="40"/>
        <v>0</v>
      </c>
      <c r="T161" s="13"/>
      <c r="U161" s="13"/>
      <c r="V161" s="13"/>
      <c r="W161" s="13"/>
      <c r="X161" s="14"/>
      <c r="Y161" s="38"/>
      <c r="Z161" s="32"/>
      <c r="AA161" s="25"/>
      <c r="AB161" s="41"/>
      <c r="AC161" s="49"/>
      <c r="AD161" s="49"/>
      <c r="AE161" s="21">
        <f t="shared" si="41"/>
        <v>0</v>
      </c>
      <c r="AF161" s="13"/>
      <c r="AG161" s="13"/>
      <c r="AH161" s="13"/>
      <c r="AI161" s="13"/>
      <c r="AJ161" s="14"/>
      <c r="AK161" s="38"/>
      <c r="AL161" s="32"/>
      <c r="AM161" s="25"/>
      <c r="AN161" s="41"/>
      <c r="AO161" s="49"/>
      <c r="AP161" s="49"/>
      <c r="AQ161" s="21">
        <f t="shared" si="42"/>
        <v>0</v>
      </c>
      <c r="AR161" s="13"/>
      <c r="AS161" s="13"/>
      <c r="AT161" s="13"/>
      <c r="AU161" s="13"/>
      <c r="AV161" s="14"/>
      <c r="AW161" s="38"/>
      <c r="AX161" s="32"/>
      <c r="AY161" s="25"/>
      <c r="AZ161" s="41"/>
      <c r="BA161" s="49"/>
      <c r="BB161" s="49"/>
      <c r="BC161" s="21">
        <f t="shared" si="43"/>
        <v>0</v>
      </c>
      <c r="BD161" s="13"/>
      <c r="BE161" s="13"/>
      <c r="BF161" s="13"/>
      <c r="BG161" s="13"/>
      <c r="BH161" s="14"/>
      <c r="BI161" s="38"/>
      <c r="BJ161" s="32"/>
      <c r="BK161" s="25"/>
      <c r="BL161" s="41"/>
      <c r="BM161" s="49"/>
      <c r="BN161" s="49"/>
      <c r="BO161" s="21">
        <f t="shared" si="44"/>
        <v>0</v>
      </c>
      <c r="BP161" s="13"/>
      <c r="BQ161" s="13"/>
      <c r="BR161" s="13"/>
      <c r="BS161" s="13"/>
      <c r="BT161" s="14"/>
      <c r="BU161" s="107"/>
      <c r="BV161" s="107"/>
      <c r="BW161" s="107"/>
      <c r="BX161" s="107"/>
      <c r="BY161" s="107"/>
      <c r="BZ161" s="107"/>
      <c r="CA161" s="111"/>
      <c r="CB161" s="107"/>
      <c r="CC161" s="107"/>
      <c r="CD161" s="107"/>
      <c r="CE161" s="107"/>
      <c r="CF161" s="107"/>
      <c r="CG161" s="107"/>
      <c r="CH161" s="107"/>
      <c r="CI161" s="107"/>
      <c r="CJ161" s="107"/>
    </row>
    <row r="162">
      <c r="A162" s="50"/>
      <c r="B162" s="32"/>
      <c r="C162" s="25"/>
      <c r="D162" s="41"/>
      <c r="E162" s="49"/>
      <c r="F162" s="49"/>
      <c r="G162" s="88">
        <f t="shared" si="39"/>
        <v>0</v>
      </c>
      <c r="H162" s="89"/>
      <c r="I162" s="104"/>
      <c r="J162" s="89"/>
      <c r="K162" s="89"/>
      <c r="L162" s="90"/>
      <c r="M162" s="50"/>
      <c r="N162" s="32"/>
      <c r="O162" s="25"/>
      <c r="P162" s="41"/>
      <c r="Q162" s="49"/>
      <c r="R162" s="49"/>
      <c r="S162" s="21">
        <f t="shared" si="40"/>
        <v>0</v>
      </c>
      <c r="T162" s="89"/>
      <c r="U162" s="89"/>
      <c r="V162" s="89"/>
      <c r="W162" s="89"/>
      <c r="X162" s="90"/>
      <c r="Y162" s="51"/>
      <c r="Z162" s="52"/>
      <c r="AA162" s="53"/>
      <c r="AB162" s="119"/>
      <c r="AC162" s="120"/>
      <c r="AD162" s="120"/>
      <c r="AE162" s="21">
        <f t="shared" si="41"/>
        <v>0</v>
      </c>
      <c r="AF162" s="13"/>
      <c r="AG162" s="13"/>
      <c r="AH162" s="13"/>
      <c r="AI162" s="13"/>
      <c r="AJ162" s="14"/>
      <c r="AK162" s="51"/>
      <c r="AL162" s="52"/>
      <c r="AM162" s="53"/>
      <c r="AN162" s="119"/>
      <c r="AO162" s="120"/>
      <c r="AP162" s="120"/>
      <c r="AQ162" s="21">
        <f t="shared" si="42"/>
        <v>0</v>
      </c>
      <c r="AR162" s="13"/>
      <c r="AS162" s="13"/>
      <c r="AT162" s="13"/>
      <c r="AU162" s="13"/>
      <c r="AV162" s="14"/>
      <c r="AW162" s="51"/>
      <c r="AX162" s="52"/>
      <c r="AY162" s="53"/>
      <c r="AZ162" s="119"/>
      <c r="BA162" s="120"/>
      <c r="BB162" s="120"/>
      <c r="BC162" s="21">
        <f t="shared" si="43"/>
        <v>0</v>
      </c>
      <c r="BD162" s="13"/>
      <c r="BE162" s="13"/>
      <c r="BF162" s="13"/>
      <c r="BG162" s="13"/>
      <c r="BH162" s="14"/>
      <c r="BI162" s="51"/>
      <c r="BJ162" s="52"/>
      <c r="BK162" s="53"/>
      <c r="BL162" s="119"/>
      <c r="BM162" s="120"/>
      <c r="BN162" s="120"/>
      <c r="BO162" s="21">
        <f t="shared" si="44"/>
        <v>0</v>
      </c>
      <c r="BP162" s="13"/>
      <c r="BQ162" s="13"/>
      <c r="BR162" s="13"/>
      <c r="BS162" s="13"/>
      <c r="BT162" s="14"/>
      <c r="BU162" s="107"/>
      <c r="BV162" s="107"/>
      <c r="BW162" s="107"/>
      <c r="BX162" s="107"/>
      <c r="BY162" s="107"/>
      <c r="BZ162" s="107"/>
      <c r="CA162" s="111"/>
      <c r="CB162" s="107"/>
      <c r="CC162" s="107"/>
      <c r="CD162" s="107"/>
      <c r="CE162" s="107"/>
      <c r="CF162" s="107"/>
      <c r="CG162" s="107"/>
      <c r="CH162" s="107"/>
      <c r="CI162" s="107"/>
      <c r="CJ162" s="107"/>
    </row>
    <row r="163">
      <c r="A163" s="1" t="s">
        <v>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1" t="s">
        <v>62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3"/>
      <c r="Y163" s="1" t="s">
        <v>1</v>
      </c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3"/>
      <c r="AK163" s="4"/>
      <c r="AW163" s="4"/>
      <c r="BI163" s="4"/>
      <c r="BU163" s="4"/>
      <c r="CG163" s="107"/>
      <c r="CH163" s="107"/>
      <c r="CI163" s="107"/>
      <c r="CJ163" s="107"/>
    </row>
    <row r="164">
      <c r="A164" s="5" t="s">
        <v>63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5" t="s">
        <v>63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5" t="s">
        <v>63</v>
      </c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121"/>
      <c r="AW164" s="121"/>
      <c r="BI164" s="121"/>
      <c r="BU164" s="108"/>
      <c r="CG164" s="107"/>
      <c r="CH164" s="107"/>
      <c r="CI164" s="107"/>
      <c r="CJ164" s="107"/>
    </row>
    <row r="165">
      <c r="A165" s="7" t="s">
        <v>5</v>
      </c>
      <c r="B165" s="8" t="s">
        <v>6</v>
      </c>
      <c r="C165" s="9" t="s">
        <v>7</v>
      </c>
      <c r="D165" s="10" t="s">
        <v>8</v>
      </c>
      <c r="E165" s="11" t="s">
        <v>9</v>
      </c>
      <c r="F165" s="11" t="s">
        <v>10</v>
      </c>
      <c r="G165" s="12" t="s">
        <v>11</v>
      </c>
      <c r="H165" s="12" t="s">
        <v>12</v>
      </c>
      <c r="I165" s="12" t="s">
        <v>13</v>
      </c>
      <c r="J165" s="13" t="s">
        <v>14</v>
      </c>
      <c r="K165" s="67" t="s">
        <v>15</v>
      </c>
      <c r="L165" s="14" t="s">
        <v>16</v>
      </c>
      <c r="M165" s="7" t="s">
        <v>5</v>
      </c>
      <c r="N165" s="8" t="s">
        <v>6</v>
      </c>
      <c r="O165" s="9" t="s">
        <v>7</v>
      </c>
      <c r="P165" s="10" t="s">
        <v>8</v>
      </c>
      <c r="Q165" s="11" t="s">
        <v>9</v>
      </c>
      <c r="R165" s="11" t="s">
        <v>10</v>
      </c>
      <c r="S165" s="12" t="s">
        <v>11</v>
      </c>
      <c r="T165" s="12" t="s">
        <v>12</v>
      </c>
      <c r="U165" s="12" t="s">
        <v>13</v>
      </c>
      <c r="V165" s="13" t="s">
        <v>14</v>
      </c>
      <c r="W165" s="13" t="s">
        <v>15</v>
      </c>
      <c r="X165" s="14" t="s">
        <v>16</v>
      </c>
      <c r="Y165" s="7" t="s">
        <v>5</v>
      </c>
      <c r="Z165" s="8" t="s">
        <v>6</v>
      </c>
      <c r="AA165" s="9" t="s">
        <v>7</v>
      </c>
      <c r="AB165" s="10" t="s">
        <v>8</v>
      </c>
      <c r="AC165" s="11" t="s">
        <v>9</v>
      </c>
      <c r="AD165" s="11" t="s">
        <v>10</v>
      </c>
      <c r="AE165" s="12" t="s">
        <v>11</v>
      </c>
      <c r="AF165" s="12" t="s">
        <v>12</v>
      </c>
      <c r="AG165" s="12" t="s">
        <v>13</v>
      </c>
      <c r="AH165" s="13" t="s">
        <v>14</v>
      </c>
      <c r="AI165" s="13" t="s">
        <v>15</v>
      </c>
      <c r="AJ165" s="14" t="s">
        <v>16</v>
      </c>
      <c r="AK165" s="122"/>
      <c r="AL165" s="121"/>
      <c r="AM165" s="121"/>
      <c r="AN165" s="121"/>
      <c r="AO165" s="121"/>
      <c r="AP165" s="121"/>
      <c r="AQ165" s="122"/>
      <c r="AR165" s="122"/>
      <c r="AS165" s="123"/>
      <c r="AT165" s="13"/>
      <c r="AU165" s="13"/>
      <c r="AV165" s="13"/>
      <c r="AW165" s="122"/>
      <c r="AX165" s="121"/>
      <c r="AY165" s="121"/>
      <c r="AZ165" s="121"/>
      <c r="BA165" s="121"/>
      <c r="BB165" s="121"/>
      <c r="BC165" s="122"/>
      <c r="BD165" s="122"/>
      <c r="BE165" s="123"/>
      <c r="BF165" s="13"/>
      <c r="BG165" s="13"/>
      <c r="BH165" s="13"/>
      <c r="BI165" s="122"/>
      <c r="BJ165" s="121"/>
      <c r="BK165" s="121"/>
      <c r="BL165" s="121"/>
      <c r="BM165" s="121"/>
      <c r="BN165" s="121"/>
      <c r="BO165" s="122"/>
      <c r="BP165" s="122"/>
      <c r="BQ165" s="123"/>
      <c r="BR165" s="13"/>
      <c r="BS165" s="13"/>
      <c r="BT165" s="13"/>
      <c r="BU165" s="109"/>
      <c r="BV165" s="108"/>
      <c r="BW165" s="108"/>
      <c r="BX165" s="108"/>
      <c r="BY165" s="108"/>
      <c r="BZ165" s="108"/>
      <c r="CA165" s="109"/>
      <c r="CB165" s="109"/>
      <c r="CC165" s="109"/>
      <c r="CD165" s="107"/>
      <c r="CE165" s="107"/>
      <c r="CF165" s="107"/>
      <c r="CG165" s="107"/>
      <c r="CH165" s="107"/>
      <c r="CI165" s="107"/>
      <c r="CJ165" s="107"/>
    </row>
    <row r="166">
      <c r="A166" s="60">
        <v>45629.0</v>
      </c>
      <c r="B166" s="16"/>
      <c r="C166" s="17"/>
      <c r="D166" s="18"/>
      <c r="E166" s="20">
        <v>200000.0</v>
      </c>
      <c r="F166" s="20"/>
      <c r="G166" s="21">
        <f t="shared" ref="G166:G189" si="52">SUM(B166)-(B166*15%)+(C166)-(C166*20.8%)+(D166)+(E166)-(E166*0.95%)+(F166)-(F166*15.5%)</f>
        <v>198100</v>
      </c>
      <c r="H166" s="22">
        <f>SUM(B166:F189)</f>
        <v>3980000</v>
      </c>
      <c r="I166" s="21">
        <f>SUM(G166:G189)</f>
        <v>3942190</v>
      </c>
      <c r="J166" s="21">
        <f>SUM(I166)-(I166*97%)</f>
        <v>118265.7</v>
      </c>
      <c r="K166" s="21">
        <f>SUM(I166)-(I166*95%)</f>
        <v>197109.5</v>
      </c>
      <c r="L166" s="23">
        <f>SUM(I166)-(I166*93%)</f>
        <v>275953.3</v>
      </c>
      <c r="M166" s="60">
        <v>45628.0</v>
      </c>
      <c r="N166" s="24"/>
      <c r="O166" s="25"/>
      <c r="P166" s="18">
        <v>1500000.0</v>
      </c>
      <c r="Q166" s="20"/>
      <c r="R166" s="20"/>
      <c r="S166" s="21">
        <f t="shared" ref="S166:S189" si="53">SUM(N166)-(N166*15%)+(O166)-(O166*20.8%)+(P166)+(Q166)-(Q166*0.95%)+(R166)-(R166*15.5%)</f>
        <v>1500000</v>
      </c>
      <c r="T166" s="22">
        <f>SUM(N166:R189)</f>
        <v>4965000</v>
      </c>
      <c r="U166" s="21">
        <f>SUM(S166:S189)</f>
        <v>4670182.5</v>
      </c>
      <c r="V166" s="21">
        <f>SUM(U166)-(U166*97%)</f>
        <v>140105.475</v>
      </c>
      <c r="W166" s="21">
        <f>SUM(U166)-(U166*95%)</f>
        <v>233509.125</v>
      </c>
      <c r="X166" s="23">
        <f>SUM(U166)-(U166*93%)</f>
        <v>326912.775</v>
      </c>
      <c r="Y166" s="60"/>
      <c r="Z166" s="24"/>
      <c r="AA166" s="25"/>
      <c r="AB166" s="18"/>
      <c r="AC166" s="20"/>
      <c r="AD166" s="20"/>
      <c r="AE166" s="21">
        <f t="shared" ref="AE166:AE189" si="54">SUM(Z166)-(Z166*15%)+(AA166)-(AA166*20.8%)+(AB166)+(AC166)-(AC166*0.95%)+(AD166)-(AD166*15.5%)</f>
        <v>0</v>
      </c>
      <c r="AF166" s="22">
        <f>SUM(Z166:AD189)</f>
        <v>0</v>
      </c>
      <c r="AG166" s="21">
        <f>SUM(AE166:AE189)</f>
        <v>0</v>
      </c>
      <c r="AH166" s="21">
        <f>SUM(AG166)-(AG166*97%)</f>
        <v>0</v>
      </c>
      <c r="AI166" s="21">
        <f>SUM(AG166)-(AG166*95%)</f>
        <v>0</v>
      </c>
      <c r="AJ166" s="23">
        <f>SUM(AG166)-(AG166*93%)</f>
        <v>0</v>
      </c>
      <c r="AK166" s="124"/>
      <c r="AL166" s="125"/>
      <c r="AM166" s="126"/>
      <c r="AN166" s="127"/>
      <c r="AO166" s="127"/>
      <c r="AP166" s="127"/>
      <c r="AQ166" s="128"/>
      <c r="AR166" s="22"/>
      <c r="AS166" s="128"/>
      <c r="AT166" s="128"/>
      <c r="AU166" s="128"/>
      <c r="AV166" s="128"/>
      <c r="AW166" s="124"/>
      <c r="AX166" s="125"/>
      <c r="AY166" s="126"/>
      <c r="AZ166" s="127"/>
      <c r="BA166" s="127"/>
      <c r="BB166" s="127"/>
      <c r="BC166" s="128"/>
      <c r="BD166" s="22"/>
      <c r="BE166" s="128"/>
      <c r="BF166" s="128"/>
      <c r="BG166" s="128"/>
      <c r="BH166" s="128"/>
      <c r="BI166" s="124"/>
      <c r="BJ166" s="125"/>
      <c r="BK166" s="126"/>
      <c r="BL166" s="127"/>
      <c r="BM166" s="127"/>
      <c r="BN166" s="127"/>
      <c r="BO166" s="128"/>
      <c r="BP166" s="22"/>
      <c r="BQ166" s="128"/>
      <c r="BR166" s="128"/>
      <c r="BS166" s="128"/>
      <c r="BT166" s="128"/>
      <c r="BU166" s="110"/>
      <c r="BV166" s="107"/>
      <c r="BW166" s="107"/>
      <c r="BX166" s="107"/>
      <c r="BY166" s="107"/>
      <c r="BZ166" s="107"/>
      <c r="CA166" s="111"/>
      <c r="CB166" s="112"/>
      <c r="CC166" s="111"/>
      <c r="CD166" s="111"/>
      <c r="CE166" s="111"/>
      <c r="CF166" s="111"/>
      <c r="CG166" s="107"/>
      <c r="CH166" s="107"/>
      <c r="CI166" s="107"/>
      <c r="CJ166" s="107"/>
    </row>
    <row r="167">
      <c r="A167" s="15">
        <v>7.0</v>
      </c>
      <c r="B167" s="27"/>
      <c r="C167" s="17"/>
      <c r="D167" s="40"/>
      <c r="E167" s="20">
        <v>1800000.0</v>
      </c>
      <c r="F167" s="30"/>
      <c r="G167" s="21">
        <f t="shared" si="52"/>
        <v>1782900</v>
      </c>
      <c r="H167" s="31" t="s">
        <v>20</v>
      </c>
      <c r="I167" s="13"/>
      <c r="J167" s="13" t="s">
        <v>21</v>
      </c>
      <c r="K167" s="13" t="s">
        <v>22</v>
      </c>
      <c r="L167" s="14" t="s">
        <v>23</v>
      </c>
      <c r="M167" s="60">
        <v>45643.0</v>
      </c>
      <c r="N167" s="32"/>
      <c r="O167" s="25"/>
      <c r="P167" s="33"/>
      <c r="Q167" s="30">
        <v>500000.0</v>
      </c>
      <c r="R167" s="30"/>
      <c r="S167" s="21">
        <f t="shared" si="53"/>
        <v>495250</v>
      </c>
      <c r="T167" s="31" t="s">
        <v>20</v>
      </c>
      <c r="U167" s="13"/>
      <c r="V167" s="13" t="s">
        <v>21</v>
      </c>
      <c r="W167" s="13" t="s">
        <v>22</v>
      </c>
      <c r="X167" s="14" t="s">
        <v>23</v>
      </c>
      <c r="Y167" s="60"/>
      <c r="Z167" s="32"/>
      <c r="AA167" s="25"/>
      <c r="AB167" s="33"/>
      <c r="AC167" s="30"/>
      <c r="AD167" s="30"/>
      <c r="AE167" s="21">
        <f t="shared" si="54"/>
        <v>0</v>
      </c>
      <c r="AF167" s="31" t="s">
        <v>20</v>
      </c>
      <c r="AG167" s="13"/>
      <c r="AH167" s="13" t="s">
        <v>21</v>
      </c>
      <c r="AI167" s="13" t="s">
        <v>22</v>
      </c>
      <c r="AJ167" s="14" t="s">
        <v>23</v>
      </c>
      <c r="AK167" s="124"/>
      <c r="AL167" s="127"/>
      <c r="AM167" s="129"/>
      <c r="AN167" s="126"/>
      <c r="AO167" s="126"/>
      <c r="AP167" s="126"/>
      <c r="AQ167" s="128"/>
      <c r="AR167" s="130"/>
      <c r="AS167" s="13"/>
      <c r="AT167" s="13"/>
      <c r="AU167" s="13"/>
      <c r="AV167" s="13"/>
      <c r="AW167" s="124"/>
      <c r="AX167" s="127"/>
      <c r="AY167" s="129"/>
      <c r="AZ167" s="126"/>
      <c r="BA167" s="126"/>
      <c r="BB167" s="126"/>
      <c r="BC167" s="128"/>
      <c r="BD167" s="130"/>
      <c r="BE167" s="13"/>
      <c r="BF167" s="13"/>
      <c r="BG167" s="13"/>
      <c r="BH167" s="13"/>
      <c r="BI167" s="124"/>
      <c r="BJ167" s="127"/>
      <c r="BK167" s="129"/>
      <c r="BL167" s="126"/>
      <c r="BM167" s="126"/>
      <c r="BN167" s="126"/>
      <c r="BO167" s="128"/>
      <c r="BP167" s="130"/>
      <c r="BQ167" s="13"/>
      <c r="BR167" s="13"/>
      <c r="BS167" s="13"/>
      <c r="BT167" s="13"/>
      <c r="BU167" s="110"/>
      <c r="BV167" s="107"/>
      <c r="BW167" s="107"/>
      <c r="BX167" s="107"/>
      <c r="BY167" s="107"/>
      <c r="BZ167" s="107"/>
      <c r="CA167" s="111"/>
      <c r="CB167" s="113"/>
      <c r="CC167" s="107"/>
      <c r="CD167" s="107"/>
      <c r="CE167" s="107"/>
      <c r="CF167" s="107"/>
      <c r="CG167" s="107"/>
      <c r="CH167" s="107"/>
      <c r="CI167" s="107"/>
      <c r="CJ167" s="107"/>
    </row>
    <row r="168">
      <c r="A168" s="15" t="s">
        <v>64</v>
      </c>
      <c r="B168" s="39"/>
      <c r="C168" s="17"/>
      <c r="D168" s="18"/>
      <c r="E168" s="20">
        <v>200000.0</v>
      </c>
      <c r="F168" s="20"/>
      <c r="G168" s="21">
        <f t="shared" si="52"/>
        <v>198100</v>
      </c>
      <c r="H168" s="36"/>
      <c r="I168" s="13"/>
      <c r="J168" s="21">
        <f t="shared" ref="J168:L168" si="55">SUM(J166)-(J166*10%)</f>
        <v>106439.13</v>
      </c>
      <c r="K168" s="21">
        <f t="shared" si="55"/>
        <v>177398.55</v>
      </c>
      <c r="L168" s="23">
        <f t="shared" si="55"/>
        <v>248357.97</v>
      </c>
      <c r="M168" s="60">
        <v>45646.0</v>
      </c>
      <c r="N168" s="32"/>
      <c r="O168" s="25"/>
      <c r="P168" s="33"/>
      <c r="Q168" s="20">
        <v>250000.0</v>
      </c>
      <c r="R168" s="20"/>
      <c r="S168" s="21">
        <f t="shared" si="53"/>
        <v>247625</v>
      </c>
      <c r="T168" s="36"/>
      <c r="U168" s="13"/>
      <c r="V168" s="21">
        <f t="shared" ref="V168:X168" si="56">SUM(V166)-(V166*10%)</f>
        <v>126094.9275</v>
      </c>
      <c r="W168" s="21">
        <f t="shared" si="56"/>
        <v>210158.2125</v>
      </c>
      <c r="X168" s="23">
        <f t="shared" si="56"/>
        <v>294221.4975</v>
      </c>
      <c r="Y168" s="60"/>
      <c r="Z168" s="32"/>
      <c r="AA168" s="25"/>
      <c r="AB168" s="33"/>
      <c r="AC168" s="20"/>
      <c r="AD168" s="20"/>
      <c r="AE168" s="21">
        <f t="shared" si="54"/>
        <v>0</v>
      </c>
      <c r="AF168" s="36"/>
      <c r="AG168" s="13"/>
      <c r="AH168" s="21">
        <f t="shared" ref="AH168:AJ168" si="57">SUM(AH166)-(AH166*10%)</f>
        <v>0</v>
      </c>
      <c r="AI168" s="21">
        <f t="shared" si="57"/>
        <v>0</v>
      </c>
      <c r="AJ168" s="23">
        <f t="shared" si="57"/>
        <v>0</v>
      </c>
      <c r="AK168" s="124"/>
      <c r="AL168" s="129"/>
      <c r="AM168" s="126"/>
      <c r="AN168" s="127"/>
      <c r="AO168" s="127"/>
      <c r="AP168" s="127"/>
      <c r="AQ168" s="128"/>
      <c r="AR168" s="22"/>
      <c r="AS168" s="13"/>
      <c r="AT168" s="128"/>
      <c r="AU168" s="128"/>
      <c r="AV168" s="128"/>
      <c r="AW168" s="124"/>
      <c r="AX168" s="127"/>
      <c r="AY168" s="129"/>
      <c r="AZ168" s="126"/>
      <c r="BA168" s="126"/>
      <c r="BB168" s="127"/>
      <c r="BC168" s="128"/>
      <c r="BD168" s="22"/>
      <c r="BE168" s="13"/>
      <c r="BF168" s="128"/>
      <c r="BG168" s="128"/>
      <c r="BH168" s="128"/>
      <c r="BI168" s="124"/>
      <c r="BJ168" s="127"/>
      <c r="BK168" s="129"/>
      <c r="BL168" s="126"/>
      <c r="BM168" s="126"/>
      <c r="BN168" s="127"/>
      <c r="BO168" s="128"/>
      <c r="BP168" s="22"/>
      <c r="BQ168" s="13"/>
      <c r="BR168" s="128"/>
      <c r="BS168" s="128"/>
      <c r="BT168" s="128"/>
      <c r="BU168" s="110"/>
      <c r="BV168" s="107"/>
      <c r="BW168" s="107"/>
      <c r="BX168" s="107"/>
      <c r="BY168" s="107"/>
      <c r="BZ168" s="107"/>
      <c r="CA168" s="111"/>
      <c r="CB168" s="107"/>
      <c r="CC168" s="107"/>
      <c r="CD168" s="111"/>
      <c r="CE168" s="111"/>
      <c r="CF168" s="111"/>
      <c r="CG168" s="107"/>
      <c r="CH168" s="107"/>
      <c r="CI168" s="107"/>
      <c r="CJ168" s="107"/>
    </row>
    <row r="169">
      <c r="A169" s="60">
        <v>45637.0</v>
      </c>
      <c r="B169" s="27"/>
      <c r="C169" s="17"/>
      <c r="D169" s="18"/>
      <c r="E169" s="20">
        <v>290000.0</v>
      </c>
      <c r="F169" s="20"/>
      <c r="G169" s="21">
        <f t="shared" si="52"/>
        <v>287245</v>
      </c>
      <c r="H169" s="13"/>
      <c r="I169" s="13"/>
      <c r="J169" s="13"/>
      <c r="K169" s="13"/>
      <c r="L169" s="14"/>
      <c r="M169" s="60">
        <v>45646.0</v>
      </c>
      <c r="N169" s="32"/>
      <c r="O169" s="93"/>
      <c r="P169" s="33"/>
      <c r="Q169" s="20"/>
      <c r="R169" s="20">
        <v>1800000.0</v>
      </c>
      <c r="S169" s="21">
        <f t="shared" si="53"/>
        <v>1521000</v>
      </c>
      <c r="T169" s="13"/>
      <c r="U169" s="13"/>
      <c r="V169" s="13"/>
      <c r="W169" s="13"/>
      <c r="X169" s="14"/>
      <c r="Y169" s="60"/>
      <c r="Z169" s="32"/>
      <c r="AA169" s="93"/>
      <c r="AB169" s="33"/>
      <c r="AC169" s="20"/>
      <c r="AD169" s="20"/>
      <c r="AE169" s="21">
        <f t="shared" si="54"/>
        <v>0</v>
      </c>
      <c r="AF169" s="13"/>
      <c r="AG169" s="13"/>
      <c r="AH169" s="13"/>
      <c r="AI169" s="13"/>
      <c r="AJ169" s="14"/>
      <c r="AK169" s="124"/>
      <c r="AL169" s="126"/>
      <c r="AM169" s="129"/>
      <c r="AN169" s="127"/>
      <c r="AO169" s="127"/>
      <c r="AP169" s="127"/>
      <c r="AQ169" s="128"/>
      <c r="AR169" s="13"/>
      <c r="AS169" s="13"/>
      <c r="AT169" s="13"/>
      <c r="AU169" s="13"/>
      <c r="AV169" s="13"/>
      <c r="AW169" s="124"/>
      <c r="AX169" s="129"/>
      <c r="AY169" s="126"/>
      <c r="AZ169" s="127"/>
      <c r="BA169" s="127"/>
      <c r="BB169" s="127"/>
      <c r="BC169" s="128"/>
      <c r="BD169" s="13"/>
      <c r="BE169" s="13"/>
      <c r="BF169" s="13"/>
      <c r="BG169" s="13"/>
      <c r="BH169" s="13"/>
      <c r="BI169" s="124"/>
      <c r="BJ169" s="129"/>
      <c r="BK169" s="126"/>
      <c r="BL169" s="127"/>
      <c r="BM169" s="127"/>
      <c r="BN169" s="127"/>
      <c r="BO169" s="128"/>
      <c r="BP169" s="13"/>
      <c r="BQ169" s="13"/>
      <c r="BR169" s="13"/>
      <c r="BS169" s="13"/>
      <c r="BT169" s="13"/>
      <c r="BU169" s="110"/>
      <c r="BV169" s="107"/>
      <c r="BW169" s="107"/>
      <c r="BX169" s="107"/>
      <c r="BY169" s="107"/>
      <c r="BZ169" s="107"/>
      <c r="CA169" s="111"/>
      <c r="CB169" s="107"/>
      <c r="CC169" s="107"/>
      <c r="CD169" s="107"/>
      <c r="CE169" s="107"/>
      <c r="CF169" s="107"/>
      <c r="CG169" s="107"/>
      <c r="CH169" s="107"/>
      <c r="CI169" s="107"/>
      <c r="CJ169" s="107"/>
    </row>
    <row r="170">
      <c r="A170" s="60">
        <v>46019.0</v>
      </c>
      <c r="B170" s="39"/>
      <c r="C170" s="17"/>
      <c r="D170" s="18"/>
      <c r="E170" s="20">
        <v>200000.0</v>
      </c>
      <c r="F170" s="20"/>
      <c r="G170" s="21">
        <f t="shared" si="52"/>
        <v>198100</v>
      </c>
      <c r="H170" s="13"/>
      <c r="I170" s="13"/>
      <c r="J170" s="13"/>
      <c r="K170" s="13"/>
      <c r="L170" s="14"/>
      <c r="M170" s="60"/>
      <c r="N170" s="32"/>
      <c r="O170" s="25"/>
      <c r="P170" s="33"/>
      <c r="Q170" s="20">
        <v>350000.0</v>
      </c>
      <c r="R170" s="20"/>
      <c r="S170" s="21">
        <f t="shared" si="53"/>
        <v>346675</v>
      </c>
      <c r="T170" s="13"/>
      <c r="U170" s="13"/>
      <c r="V170" s="13"/>
      <c r="W170" s="13"/>
      <c r="X170" s="14"/>
      <c r="Y170" s="60"/>
      <c r="Z170" s="32"/>
      <c r="AA170" s="25"/>
      <c r="AB170" s="33"/>
      <c r="AC170" s="20"/>
      <c r="AD170" s="20"/>
      <c r="AE170" s="21">
        <f t="shared" si="54"/>
        <v>0</v>
      </c>
      <c r="AF170" s="13"/>
      <c r="AG170" s="13"/>
      <c r="AH170" s="13"/>
      <c r="AI170" s="13"/>
      <c r="AJ170" s="14"/>
      <c r="AK170" s="124"/>
      <c r="AL170" s="127"/>
      <c r="AM170" s="126"/>
      <c r="AN170" s="127"/>
      <c r="AO170" s="127"/>
      <c r="AP170" s="127"/>
      <c r="AQ170" s="128"/>
      <c r="AR170" s="13"/>
      <c r="AS170" s="13"/>
      <c r="AT170" s="13"/>
      <c r="AU170" s="13"/>
      <c r="AV170" s="13"/>
      <c r="AW170" s="124"/>
      <c r="AX170" s="127"/>
      <c r="AY170" s="126"/>
      <c r="AZ170" s="127"/>
      <c r="BA170" s="127"/>
      <c r="BB170" s="127"/>
      <c r="BC170" s="128"/>
      <c r="BD170" s="13"/>
      <c r="BE170" s="13"/>
      <c r="BF170" s="13"/>
      <c r="BG170" s="13"/>
      <c r="BH170" s="13"/>
      <c r="BI170" s="124"/>
      <c r="BJ170" s="127"/>
      <c r="BK170" s="126"/>
      <c r="BL170" s="127"/>
      <c r="BM170" s="127"/>
      <c r="BN170" s="127"/>
      <c r="BO170" s="128"/>
      <c r="BP170" s="13"/>
      <c r="BQ170" s="13"/>
      <c r="BR170" s="13"/>
      <c r="BS170" s="13"/>
      <c r="BT170" s="13"/>
      <c r="BU170" s="110"/>
      <c r="BV170" s="107"/>
      <c r="BW170" s="107"/>
      <c r="BX170" s="107"/>
      <c r="BY170" s="107"/>
      <c r="BZ170" s="107"/>
      <c r="CA170" s="111"/>
      <c r="CB170" s="107"/>
      <c r="CC170" s="107"/>
      <c r="CD170" s="107"/>
      <c r="CE170" s="107"/>
      <c r="CF170" s="107"/>
      <c r="CG170" s="107"/>
      <c r="CH170" s="107"/>
      <c r="CI170" s="107"/>
      <c r="CJ170" s="107"/>
    </row>
    <row r="171">
      <c r="A171" s="60">
        <v>46021.0</v>
      </c>
      <c r="B171" s="39"/>
      <c r="C171" s="43"/>
      <c r="D171" s="18"/>
      <c r="E171" s="20">
        <v>540000.0</v>
      </c>
      <c r="F171" s="20"/>
      <c r="G171" s="21">
        <f t="shared" si="52"/>
        <v>534870</v>
      </c>
      <c r="H171" s="13"/>
      <c r="I171" s="13"/>
      <c r="J171" s="13"/>
      <c r="K171" s="13">
        <f>H173</f>
        <v>8612372.5</v>
      </c>
      <c r="L171" s="14"/>
      <c r="M171" s="60"/>
      <c r="N171" s="32"/>
      <c r="O171" s="25"/>
      <c r="P171" s="33"/>
      <c r="Q171" s="20">
        <v>500000.0</v>
      </c>
      <c r="R171" s="20"/>
      <c r="S171" s="21">
        <f t="shared" si="53"/>
        <v>495250</v>
      </c>
      <c r="T171" s="13"/>
      <c r="U171" s="13"/>
      <c r="V171" s="13"/>
      <c r="W171" s="13"/>
      <c r="X171" s="14"/>
      <c r="Y171" s="60"/>
      <c r="Z171" s="32"/>
      <c r="AA171" s="25"/>
      <c r="AB171" s="33"/>
      <c r="AC171" s="20"/>
      <c r="AD171" s="20"/>
      <c r="AE171" s="21">
        <f t="shared" si="54"/>
        <v>0</v>
      </c>
      <c r="AF171" s="13"/>
      <c r="AG171" s="13"/>
      <c r="AH171" s="13"/>
      <c r="AI171" s="13"/>
      <c r="AJ171" s="14"/>
      <c r="AK171" s="124"/>
      <c r="AL171" s="129"/>
      <c r="AM171" s="126"/>
      <c r="AN171" s="127"/>
      <c r="AO171" s="127"/>
      <c r="AP171" s="127"/>
      <c r="AQ171" s="128"/>
      <c r="AR171" s="13"/>
      <c r="AS171" s="13"/>
      <c r="AT171" s="13"/>
      <c r="AU171" s="13"/>
      <c r="AV171" s="13"/>
      <c r="AW171" s="124"/>
      <c r="AX171" s="129"/>
      <c r="AY171" s="126"/>
      <c r="AZ171" s="127"/>
      <c r="BA171" s="127"/>
      <c r="BB171" s="127"/>
      <c r="BC171" s="128"/>
      <c r="BD171" s="13"/>
      <c r="BE171" s="13"/>
      <c r="BF171" s="13"/>
      <c r="BG171" s="13"/>
      <c r="BH171" s="13"/>
      <c r="BI171" s="124"/>
      <c r="BJ171" s="129"/>
      <c r="BK171" s="126"/>
      <c r="BL171" s="127"/>
      <c r="BM171" s="127"/>
      <c r="BN171" s="127"/>
      <c r="BO171" s="128"/>
      <c r="BP171" s="13"/>
      <c r="BQ171" s="13"/>
      <c r="BR171" s="13"/>
      <c r="BS171" s="13"/>
      <c r="BT171" s="13"/>
      <c r="BU171" s="110"/>
      <c r="BV171" s="107"/>
      <c r="BW171" s="107"/>
      <c r="BX171" s="107"/>
      <c r="BY171" s="107"/>
      <c r="BZ171" s="107"/>
      <c r="CA171" s="111"/>
      <c r="CB171" s="107"/>
      <c r="CC171" s="107"/>
      <c r="CD171" s="107"/>
      <c r="CE171" s="107"/>
      <c r="CF171" s="107"/>
      <c r="CG171" s="107"/>
      <c r="CH171" s="107"/>
      <c r="CI171" s="107"/>
      <c r="CJ171" s="107"/>
    </row>
    <row r="172">
      <c r="A172" s="60">
        <v>46021.0</v>
      </c>
      <c r="B172" s="35"/>
      <c r="C172" s="17"/>
      <c r="D172" s="18"/>
      <c r="E172" s="20">
        <v>750000.0</v>
      </c>
      <c r="F172" s="20"/>
      <c r="G172" s="21">
        <f t="shared" si="52"/>
        <v>742875</v>
      </c>
      <c r="H172" s="94" t="s">
        <v>13</v>
      </c>
      <c r="I172" s="86" t="s">
        <v>57</v>
      </c>
      <c r="J172" s="86" t="s">
        <v>57</v>
      </c>
      <c r="K172" s="86" t="s">
        <v>65</v>
      </c>
      <c r="L172" s="95"/>
      <c r="M172" s="38"/>
      <c r="N172" s="32"/>
      <c r="O172" s="25"/>
      <c r="P172" s="33"/>
      <c r="Q172" s="20">
        <v>65000.0</v>
      </c>
      <c r="R172" s="20"/>
      <c r="S172" s="21">
        <f t="shared" si="53"/>
        <v>64382.5</v>
      </c>
      <c r="T172" s="13"/>
      <c r="U172" s="13"/>
      <c r="V172" s="13"/>
      <c r="W172" s="13"/>
      <c r="X172" s="14"/>
      <c r="Y172" s="38"/>
      <c r="Z172" s="32"/>
      <c r="AA172" s="25"/>
      <c r="AB172" s="33"/>
      <c r="AC172" s="20"/>
      <c r="AD172" s="20"/>
      <c r="AE172" s="21">
        <f t="shared" si="54"/>
        <v>0</v>
      </c>
      <c r="AF172" s="13"/>
      <c r="AG172" s="13"/>
      <c r="AH172" s="13"/>
      <c r="AI172" s="13"/>
      <c r="AJ172" s="14"/>
      <c r="AK172" s="131"/>
      <c r="AL172" s="132"/>
      <c r="AM172" s="107"/>
      <c r="AN172" s="132"/>
      <c r="AO172" s="133"/>
      <c r="AP172" s="132"/>
      <c r="AQ172" s="128"/>
      <c r="AR172" s="13"/>
      <c r="AS172" s="13"/>
      <c r="AT172" s="13"/>
      <c r="AU172" s="13"/>
      <c r="AV172" s="13"/>
      <c r="AW172" s="124"/>
      <c r="AX172" s="132"/>
      <c r="AY172" s="107"/>
      <c r="AZ172" s="132"/>
      <c r="BA172" s="134"/>
      <c r="BB172" s="132"/>
      <c r="BC172" s="128"/>
      <c r="BD172" s="13"/>
      <c r="BE172" s="13"/>
      <c r="BF172" s="13"/>
      <c r="BG172" s="13"/>
      <c r="BH172" s="13"/>
      <c r="BI172" s="131"/>
      <c r="BJ172" s="132"/>
      <c r="BK172" s="107"/>
      <c r="BL172" s="132"/>
      <c r="BM172" s="133"/>
      <c r="BN172" s="132"/>
      <c r="BO172" s="128"/>
      <c r="BP172" s="13"/>
      <c r="BQ172" s="13"/>
      <c r="BR172" s="13"/>
      <c r="BS172" s="13"/>
      <c r="BT172" s="13"/>
      <c r="BU172" s="110"/>
      <c r="BV172" s="107"/>
      <c r="BW172" s="107"/>
      <c r="BX172" s="107"/>
      <c r="BY172" s="107"/>
      <c r="BZ172" s="107"/>
      <c r="CA172" s="111"/>
      <c r="CB172" s="107"/>
      <c r="CC172" s="107"/>
      <c r="CD172" s="107"/>
      <c r="CE172" s="107"/>
      <c r="CF172" s="107"/>
      <c r="CG172" s="107"/>
      <c r="CH172" s="107"/>
      <c r="CI172" s="107"/>
      <c r="CJ172" s="107"/>
    </row>
    <row r="173">
      <c r="A173" s="60"/>
      <c r="B173" s="16"/>
      <c r="C173" s="17"/>
      <c r="D173" s="42"/>
      <c r="E173" s="30"/>
      <c r="F173" s="30"/>
      <c r="G173" s="21">
        <f t="shared" si="52"/>
        <v>0</v>
      </c>
      <c r="H173" s="95">
        <f>AG166+I166+U166+AS166+BE166+BQ166+CC166</f>
        <v>8612372.5</v>
      </c>
      <c r="I173" s="102" t="s">
        <v>52</v>
      </c>
      <c r="J173" s="102" t="s">
        <v>44</v>
      </c>
      <c r="K173" s="102" t="s">
        <v>52</v>
      </c>
      <c r="L173" s="102" t="s">
        <v>44</v>
      </c>
      <c r="M173" s="38"/>
      <c r="N173" s="37"/>
      <c r="O173" s="25"/>
      <c r="P173" s="41"/>
      <c r="Q173" s="20"/>
      <c r="R173" s="20"/>
      <c r="S173" s="21">
        <f t="shared" si="53"/>
        <v>0</v>
      </c>
      <c r="T173" s="13"/>
      <c r="U173" s="13"/>
      <c r="V173" s="13"/>
      <c r="W173" s="13"/>
      <c r="X173" s="14"/>
      <c r="Y173" s="38"/>
      <c r="Z173" s="37"/>
      <c r="AA173" s="25"/>
      <c r="AB173" s="41"/>
      <c r="AC173" s="20"/>
      <c r="AD173" s="20"/>
      <c r="AE173" s="21">
        <f t="shared" si="54"/>
        <v>0</v>
      </c>
      <c r="AF173" s="13"/>
      <c r="AG173" s="13"/>
      <c r="AH173" s="13"/>
      <c r="AI173" s="13"/>
      <c r="AJ173" s="14"/>
      <c r="AK173" s="135"/>
      <c r="AL173" s="127"/>
      <c r="AM173" s="129"/>
      <c r="AN173" s="129"/>
      <c r="AO173" s="127"/>
      <c r="AP173" s="127"/>
      <c r="AQ173" s="128"/>
      <c r="AR173" s="13"/>
      <c r="AS173" s="13"/>
      <c r="AT173" s="13"/>
      <c r="AU173" s="13"/>
      <c r="AV173" s="13"/>
      <c r="AW173" s="124"/>
      <c r="AX173" s="127"/>
      <c r="AY173" s="129"/>
      <c r="AZ173" s="129"/>
      <c r="BA173" s="127"/>
      <c r="BB173" s="127"/>
      <c r="BC173" s="128"/>
      <c r="BD173" s="13"/>
      <c r="BE173" s="13"/>
      <c r="BF173" s="13"/>
      <c r="BG173" s="13"/>
      <c r="BH173" s="13"/>
      <c r="BI173" s="135"/>
      <c r="BJ173" s="127"/>
      <c r="BK173" s="129"/>
      <c r="BL173" s="129"/>
      <c r="BM173" s="127"/>
      <c r="BN173" s="127"/>
      <c r="BO173" s="128"/>
      <c r="BP173" s="13"/>
      <c r="BQ173" s="13"/>
      <c r="BR173" s="13"/>
      <c r="BS173" s="13"/>
      <c r="BT173" s="13"/>
      <c r="BU173" s="107"/>
      <c r="BV173" s="107"/>
      <c r="BW173" s="107"/>
      <c r="BX173" s="107"/>
      <c r="BY173" s="107"/>
      <c r="BZ173" s="107"/>
      <c r="CA173" s="111"/>
      <c r="CB173" s="107"/>
      <c r="CC173" s="107"/>
      <c r="CD173" s="107"/>
      <c r="CE173" s="107"/>
      <c r="CF173" s="107"/>
      <c r="CG173" s="107"/>
      <c r="CH173" s="107"/>
      <c r="CI173" s="107"/>
      <c r="CJ173" s="107"/>
    </row>
    <row r="174">
      <c r="A174" s="60"/>
      <c r="B174" s="35"/>
      <c r="C174" s="17"/>
      <c r="D174" s="18"/>
      <c r="E174" s="20"/>
      <c r="F174" s="20"/>
      <c r="G174" s="21">
        <f t="shared" si="52"/>
        <v>0</v>
      </c>
      <c r="H174" s="95"/>
      <c r="I174" s="115">
        <f>SUM(H173)-(H173*99%)</f>
        <v>86123.725</v>
      </c>
      <c r="J174" s="87">
        <f>SUM(H173)-(H173*98.5%)</f>
        <v>129185.5875</v>
      </c>
      <c r="K174" s="87">
        <f>SUM(K171)-(K171*99%)</f>
        <v>86123.725</v>
      </c>
      <c r="L174" s="87">
        <f>SUM(K171)-(K171*98.5%)</f>
        <v>129185.5875</v>
      </c>
      <c r="M174" s="38"/>
      <c r="N174" s="24"/>
      <c r="O174" s="25"/>
      <c r="P174" s="41"/>
      <c r="Q174" s="30"/>
      <c r="R174" s="30"/>
      <c r="S174" s="21">
        <f t="shared" si="53"/>
        <v>0</v>
      </c>
      <c r="T174" s="13"/>
      <c r="U174" s="13"/>
      <c r="V174" s="13"/>
      <c r="W174" s="13"/>
      <c r="X174" s="14"/>
      <c r="Y174" s="38"/>
      <c r="Z174" s="24"/>
      <c r="AA174" s="25"/>
      <c r="AB174" s="41"/>
      <c r="AC174" s="30"/>
      <c r="AD174" s="30"/>
      <c r="AE174" s="21">
        <f t="shared" si="54"/>
        <v>0</v>
      </c>
      <c r="AF174" s="13"/>
      <c r="AG174" s="13"/>
      <c r="AH174" s="13"/>
      <c r="AI174" s="13"/>
      <c r="AJ174" s="14"/>
      <c r="AK174" s="135"/>
      <c r="AL174" s="136"/>
      <c r="AM174" s="127"/>
      <c r="AN174" s="129"/>
      <c r="AO174" s="126"/>
      <c r="AP174" s="126"/>
      <c r="AQ174" s="128"/>
      <c r="AR174" s="13"/>
      <c r="AS174" s="13"/>
      <c r="AT174" s="13"/>
      <c r="AU174" s="13"/>
      <c r="AV174" s="13"/>
      <c r="AW174" s="135"/>
      <c r="AX174" s="136"/>
      <c r="AY174" s="127"/>
      <c r="AZ174" s="129"/>
      <c r="BA174" s="126"/>
      <c r="BB174" s="126"/>
      <c r="BC174" s="128"/>
      <c r="BD174" s="13"/>
      <c r="BE174" s="13"/>
      <c r="BF174" s="13"/>
      <c r="BG174" s="13"/>
      <c r="BH174" s="13"/>
      <c r="BI174" s="135"/>
      <c r="BJ174" s="136"/>
      <c r="BK174" s="127"/>
      <c r="BL174" s="129"/>
      <c r="BM174" s="126"/>
      <c r="BN174" s="126"/>
      <c r="BO174" s="128"/>
      <c r="BP174" s="13"/>
      <c r="BQ174" s="13"/>
      <c r="BR174" s="13"/>
      <c r="BS174" s="13"/>
      <c r="BT174" s="13"/>
      <c r="BU174" s="107"/>
      <c r="BV174" s="107"/>
      <c r="BW174" s="107"/>
      <c r="BX174" s="107"/>
      <c r="BY174" s="107"/>
      <c r="BZ174" s="107"/>
      <c r="CA174" s="111"/>
      <c r="CB174" s="107"/>
      <c r="CC174" s="107"/>
      <c r="CD174" s="107"/>
      <c r="CE174" s="107"/>
      <c r="CF174" s="107"/>
      <c r="CG174" s="107"/>
      <c r="CH174" s="107"/>
      <c r="CI174" s="107"/>
      <c r="CJ174" s="107"/>
    </row>
    <row r="175">
      <c r="A175" s="60"/>
      <c r="B175" s="24"/>
      <c r="C175" s="25"/>
      <c r="D175" s="41"/>
      <c r="E175" s="46"/>
      <c r="F175" s="46"/>
      <c r="G175" s="21">
        <f t="shared" si="52"/>
        <v>0</v>
      </c>
      <c r="H175" s="95"/>
      <c r="I175" s="86" t="s">
        <v>53</v>
      </c>
      <c r="J175" s="86" t="s">
        <v>36</v>
      </c>
      <c r="K175" s="86" t="s">
        <v>53</v>
      </c>
      <c r="L175" s="86" t="s">
        <v>36</v>
      </c>
      <c r="M175" s="38"/>
      <c r="N175" s="37"/>
      <c r="O175" s="25"/>
      <c r="P175" s="41"/>
      <c r="Q175" s="20"/>
      <c r="R175" s="20"/>
      <c r="S175" s="21">
        <f t="shared" si="53"/>
        <v>0</v>
      </c>
      <c r="T175" s="13"/>
      <c r="U175" s="13"/>
      <c r="V175" s="13"/>
      <c r="W175" s="13"/>
      <c r="X175" s="14"/>
      <c r="Y175" s="38"/>
      <c r="Z175" s="37"/>
      <c r="AA175" s="25"/>
      <c r="AB175" s="41"/>
      <c r="AC175" s="20"/>
      <c r="AD175" s="20"/>
      <c r="AE175" s="21">
        <f t="shared" si="54"/>
        <v>0</v>
      </c>
      <c r="AF175" s="13"/>
      <c r="AG175" s="13"/>
      <c r="AH175" s="13"/>
      <c r="AI175" s="13"/>
      <c r="AJ175" s="14"/>
      <c r="AK175" s="135"/>
      <c r="AL175" s="137"/>
      <c r="AM175" s="129"/>
      <c r="AN175" s="127"/>
      <c r="AO175" s="127"/>
      <c r="AP175" s="127"/>
      <c r="AQ175" s="128"/>
      <c r="AR175" s="13"/>
      <c r="AS175" s="13"/>
      <c r="AT175" s="13"/>
      <c r="AU175" s="13"/>
      <c r="AV175" s="13"/>
      <c r="AW175" s="135"/>
      <c r="AX175" s="137"/>
      <c r="AY175" s="129"/>
      <c r="AZ175" s="127"/>
      <c r="BA175" s="127"/>
      <c r="BB175" s="127"/>
      <c r="BC175" s="128"/>
      <c r="BD175" s="13"/>
      <c r="BE175" s="13"/>
      <c r="BF175" s="13"/>
      <c r="BG175" s="13"/>
      <c r="BH175" s="13"/>
      <c r="BI175" s="135"/>
      <c r="BJ175" s="137"/>
      <c r="BK175" s="129"/>
      <c r="BL175" s="127"/>
      <c r="BM175" s="127"/>
      <c r="BN175" s="127"/>
      <c r="BO175" s="128"/>
      <c r="BP175" s="13"/>
      <c r="BQ175" s="13"/>
      <c r="BR175" s="13"/>
      <c r="BS175" s="13"/>
      <c r="BT175" s="13"/>
      <c r="BU175" s="107"/>
      <c r="BV175" s="107"/>
      <c r="BW175" s="107"/>
      <c r="BX175" s="107"/>
      <c r="BY175" s="107"/>
      <c r="BZ175" s="107"/>
      <c r="CA175" s="111"/>
      <c r="CB175" s="107"/>
      <c r="CC175" s="107"/>
      <c r="CD175" s="107"/>
      <c r="CE175" s="107"/>
      <c r="CF175" s="107"/>
      <c r="CG175" s="107"/>
      <c r="CH175" s="107"/>
      <c r="CI175" s="107"/>
      <c r="CJ175" s="107"/>
    </row>
    <row r="176">
      <c r="A176" s="60"/>
      <c r="B176" s="47"/>
      <c r="C176" s="25"/>
      <c r="D176" s="33"/>
      <c r="E176" s="46"/>
      <c r="F176" s="46"/>
      <c r="G176" s="21">
        <f t="shared" si="52"/>
        <v>0</v>
      </c>
      <c r="H176" s="94" t="s">
        <v>12</v>
      </c>
      <c r="I176" s="87">
        <f t="shared" ref="I176:L176" si="58">SUM(I174)-(I174*10%)</f>
        <v>77511.3525</v>
      </c>
      <c r="J176" s="87">
        <f t="shared" si="58"/>
        <v>116267.0288</v>
      </c>
      <c r="K176" s="87">
        <f t="shared" si="58"/>
        <v>77511.3525</v>
      </c>
      <c r="L176" s="87">
        <f t="shared" si="58"/>
        <v>116267.0288</v>
      </c>
      <c r="M176" s="38"/>
      <c r="N176" s="24"/>
      <c r="O176" s="25"/>
      <c r="P176" s="41"/>
      <c r="Q176" s="46"/>
      <c r="R176" s="46"/>
      <c r="S176" s="21">
        <f t="shared" si="53"/>
        <v>0</v>
      </c>
      <c r="T176" s="13"/>
      <c r="U176" s="13"/>
      <c r="V176" s="13"/>
      <c r="W176" s="13"/>
      <c r="X176" s="14"/>
      <c r="Y176" s="38"/>
      <c r="Z176" s="24"/>
      <c r="AA176" s="25"/>
      <c r="AB176" s="41"/>
      <c r="AC176" s="46"/>
      <c r="AD176" s="46"/>
      <c r="AE176" s="21">
        <f t="shared" si="54"/>
        <v>0</v>
      </c>
      <c r="AF176" s="13"/>
      <c r="AG176" s="13"/>
      <c r="AH176" s="13"/>
      <c r="AI176" s="13"/>
      <c r="AJ176" s="14"/>
      <c r="AK176" s="135"/>
      <c r="AL176" s="125"/>
      <c r="AM176" s="129"/>
      <c r="AN176" s="129"/>
      <c r="AO176" s="67"/>
      <c r="AP176" s="67"/>
      <c r="AQ176" s="128"/>
      <c r="AR176" s="13"/>
      <c r="AS176" s="13"/>
      <c r="AT176" s="13"/>
      <c r="AU176" s="13"/>
      <c r="AV176" s="13"/>
      <c r="AW176" s="135"/>
      <c r="AX176" s="125"/>
      <c r="AY176" s="129"/>
      <c r="AZ176" s="129"/>
      <c r="BA176" s="67"/>
      <c r="BB176" s="67"/>
      <c r="BC176" s="128"/>
      <c r="BD176" s="13"/>
      <c r="BE176" s="13"/>
      <c r="BF176" s="13"/>
      <c r="BG176" s="13"/>
      <c r="BH176" s="13"/>
      <c r="BI176" s="135"/>
      <c r="BJ176" s="125"/>
      <c r="BK176" s="129"/>
      <c r="BL176" s="129"/>
      <c r="BM176" s="67"/>
      <c r="BN176" s="67"/>
      <c r="BO176" s="128"/>
      <c r="BP176" s="13"/>
      <c r="BQ176" s="13"/>
      <c r="BR176" s="13"/>
      <c r="BS176" s="13"/>
      <c r="BT176" s="13"/>
      <c r="BU176" s="107"/>
      <c r="BV176" s="107"/>
      <c r="BW176" s="107"/>
      <c r="BX176" s="107"/>
      <c r="BY176" s="107"/>
      <c r="BZ176" s="107"/>
      <c r="CA176" s="111"/>
      <c r="CB176" s="107"/>
      <c r="CC176" s="107"/>
      <c r="CD176" s="107"/>
      <c r="CE176" s="107"/>
      <c r="CF176" s="107"/>
      <c r="CG176" s="107"/>
      <c r="CH176" s="107"/>
      <c r="CI176" s="107"/>
      <c r="CJ176" s="107"/>
    </row>
    <row r="177">
      <c r="A177" s="105"/>
      <c r="B177" s="47"/>
      <c r="C177" s="25"/>
      <c r="D177" s="33"/>
      <c r="E177" s="46"/>
      <c r="F177" s="46"/>
      <c r="G177" s="21">
        <f t="shared" si="52"/>
        <v>0</v>
      </c>
      <c r="H177" s="95">
        <f>H166+T166+AF166+AR166+BD166+BP166+CB166</f>
        <v>8945000</v>
      </c>
      <c r="I177" s="95"/>
      <c r="J177" s="95"/>
      <c r="K177" s="86" t="s">
        <v>66</v>
      </c>
      <c r="L177" s="95"/>
      <c r="M177" s="38"/>
      <c r="N177" s="47"/>
      <c r="O177" s="25"/>
      <c r="P177" s="41"/>
      <c r="Q177" s="46"/>
      <c r="R177" s="46"/>
      <c r="S177" s="21">
        <f t="shared" si="53"/>
        <v>0</v>
      </c>
      <c r="T177" s="13"/>
      <c r="U177" s="13"/>
      <c r="V177" s="13"/>
      <c r="W177" s="13"/>
      <c r="X177" s="14"/>
      <c r="Y177" s="38"/>
      <c r="Z177" s="47"/>
      <c r="AA177" s="25"/>
      <c r="AB177" s="41"/>
      <c r="AC177" s="46"/>
      <c r="AD177" s="46"/>
      <c r="AE177" s="21">
        <f t="shared" si="54"/>
        <v>0</v>
      </c>
      <c r="AF177" s="13"/>
      <c r="AG177" s="13"/>
      <c r="AH177" s="13"/>
      <c r="AI177" s="13"/>
      <c r="AJ177" s="14"/>
      <c r="AK177" s="135"/>
      <c r="AL177" s="138"/>
      <c r="AM177" s="129"/>
      <c r="AN177" s="127"/>
      <c r="AO177" s="67"/>
      <c r="AP177" s="67"/>
      <c r="AQ177" s="128"/>
      <c r="AR177" s="13"/>
      <c r="AS177" s="13"/>
      <c r="AT177" s="13"/>
      <c r="AU177" s="13"/>
      <c r="AV177" s="13"/>
      <c r="AW177" s="135"/>
      <c r="AX177" s="138"/>
      <c r="AY177" s="129"/>
      <c r="AZ177" s="127"/>
      <c r="BA177" s="67"/>
      <c r="BB177" s="67"/>
      <c r="BC177" s="128"/>
      <c r="BD177" s="13"/>
      <c r="BE177" s="13"/>
      <c r="BF177" s="13"/>
      <c r="BG177" s="13"/>
      <c r="BH177" s="13"/>
      <c r="BI177" s="135"/>
      <c r="BJ177" s="138"/>
      <c r="BK177" s="129"/>
      <c r="BL177" s="127"/>
      <c r="BM177" s="67"/>
      <c r="BN177" s="67"/>
      <c r="BO177" s="128"/>
      <c r="BP177" s="13"/>
      <c r="BQ177" s="13"/>
      <c r="BR177" s="13"/>
      <c r="BS177" s="13"/>
      <c r="BT177" s="13"/>
      <c r="BU177" s="107"/>
      <c r="BV177" s="107"/>
      <c r="BW177" s="107"/>
      <c r="BX177" s="107"/>
      <c r="BY177" s="107"/>
      <c r="BZ177" s="107"/>
      <c r="CA177" s="111"/>
      <c r="CB177" s="107"/>
      <c r="CC177" s="107"/>
      <c r="CD177" s="107"/>
      <c r="CE177" s="107"/>
      <c r="CF177" s="107"/>
      <c r="CG177" s="107"/>
      <c r="CH177" s="107"/>
      <c r="CI177" s="107"/>
      <c r="CJ177" s="107"/>
    </row>
    <row r="178">
      <c r="A178" s="105"/>
      <c r="B178" s="32"/>
      <c r="C178" s="25"/>
      <c r="D178" s="41"/>
      <c r="E178" s="46"/>
      <c r="F178" s="46"/>
      <c r="G178" s="21">
        <f t="shared" si="52"/>
        <v>0</v>
      </c>
      <c r="H178" s="95"/>
      <c r="I178" s="95"/>
      <c r="J178" s="95"/>
      <c r="K178" s="95">
        <f>J168+K176</f>
        <v>183950.4825</v>
      </c>
      <c r="L178" s="95"/>
      <c r="M178" s="38"/>
      <c r="N178" s="32"/>
      <c r="O178" s="25"/>
      <c r="P178" s="41"/>
      <c r="Q178" s="46"/>
      <c r="R178" s="46"/>
      <c r="S178" s="21">
        <f t="shared" si="53"/>
        <v>0</v>
      </c>
      <c r="T178" s="13"/>
      <c r="U178" s="13"/>
      <c r="V178" s="13"/>
      <c r="W178" s="13"/>
      <c r="X178" s="14"/>
      <c r="Y178" s="38"/>
      <c r="Z178" s="32"/>
      <c r="AA178" s="25"/>
      <c r="AB178" s="41"/>
      <c r="AC178" s="46"/>
      <c r="AD178" s="46"/>
      <c r="AE178" s="21">
        <f t="shared" si="54"/>
        <v>0</v>
      </c>
      <c r="AF178" s="13"/>
      <c r="AG178" s="13"/>
      <c r="AH178" s="13"/>
      <c r="AI178" s="13"/>
      <c r="AJ178" s="14"/>
      <c r="AK178" s="135"/>
      <c r="AL178" s="127"/>
      <c r="AM178" s="129"/>
      <c r="AN178" s="129"/>
      <c r="AO178" s="67"/>
      <c r="AP178" s="67"/>
      <c r="AQ178" s="128"/>
      <c r="AR178" s="13"/>
      <c r="AS178" s="13"/>
      <c r="AT178" s="13"/>
      <c r="AU178" s="13"/>
      <c r="AV178" s="13"/>
      <c r="AW178" s="135"/>
      <c r="AX178" s="127"/>
      <c r="AY178" s="129"/>
      <c r="AZ178" s="129"/>
      <c r="BA178" s="67"/>
      <c r="BB178" s="67"/>
      <c r="BC178" s="128"/>
      <c r="BD178" s="13"/>
      <c r="BE178" s="13"/>
      <c r="BF178" s="13"/>
      <c r="BG178" s="13"/>
      <c r="BH178" s="13"/>
      <c r="BI178" s="135"/>
      <c r="BJ178" s="127"/>
      <c r="BK178" s="129"/>
      <c r="BL178" s="129"/>
      <c r="BM178" s="67"/>
      <c r="BN178" s="67"/>
      <c r="BO178" s="128"/>
      <c r="BP178" s="13"/>
      <c r="BQ178" s="13"/>
      <c r="BR178" s="13"/>
      <c r="BS178" s="13"/>
      <c r="BT178" s="13"/>
      <c r="BU178" s="107"/>
      <c r="BV178" s="107"/>
      <c r="BW178" s="107"/>
      <c r="BX178" s="107"/>
      <c r="BY178" s="107"/>
      <c r="BZ178" s="107"/>
      <c r="CA178" s="111"/>
      <c r="CB178" s="107"/>
      <c r="CC178" s="107"/>
      <c r="CD178" s="107"/>
      <c r="CE178" s="107"/>
      <c r="CF178" s="107"/>
      <c r="CG178" s="107"/>
      <c r="CH178" s="107"/>
      <c r="CI178" s="107"/>
      <c r="CJ178" s="107"/>
    </row>
    <row r="179">
      <c r="A179" s="105"/>
      <c r="B179" s="47"/>
      <c r="C179" s="25"/>
      <c r="D179" s="41"/>
      <c r="E179" s="46"/>
      <c r="F179" s="46"/>
      <c r="G179" s="21">
        <f t="shared" si="52"/>
        <v>0</v>
      </c>
      <c r="H179" s="13"/>
      <c r="I179" s="13"/>
      <c r="J179" s="13"/>
      <c r="K179" s="13"/>
      <c r="L179" s="14"/>
      <c r="M179" s="38"/>
      <c r="N179" s="47"/>
      <c r="O179" s="25"/>
      <c r="P179" s="41"/>
      <c r="Q179" s="46"/>
      <c r="R179" s="46"/>
      <c r="S179" s="21">
        <f t="shared" si="53"/>
        <v>0</v>
      </c>
      <c r="T179" s="13"/>
      <c r="U179" s="116"/>
      <c r="V179" s="117" t="s">
        <v>59</v>
      </c>
      <c r="W179" s="116"/>
      <c r="X179" s="14"/>
      <c r="Y179" s="38"/>
      <c r="Z179" s="47"/>
      <c r="AA179" s="25"/>
      <c r="AB179" s="41"/>
      <c r="AC179" s="46"/>
      <c r="AD179" s="46"/>
      <c r="AE179" s="21">
        <f t="shared" si="54"/>
        <v>0</v>
      </c>
      <c r="AF179" s="13"/>
      <c r="AG179" s="116"/>
      <c r="AH179" s="117" t="s">
        <v>59</v>
      </c>
      <c r="AI179" s="116"/>
      <c r="AJ179" s="14"/>
      <c r="AK179" s="135"/>
      <c r="AL179" s="135"/>
      <c r="AM179" s="13"/>
      <c r="AN179" s="13"/>
      <c r="AO179" s="67"/>
      <c r="AP179" s="67"/>
      <c r="AQ179" s="128"/>
      <c r="AR179" s="13"/>
      <c r="AS179" s="13"/>
      <c r="AT179" s="67"/>
      <c r="AU179" s="13"/>
      <c r="AV179" s="13"/>
      <c r="AW179" s="135"/>
      <c r="AX179" s="135"/>
      <c r="AY179" s="13"/>
      <c r="AZ179" s="13"/>
      <c r="BA179" s="67"/>
      <c r="BB179" s="67"/>
      <c r="BC179" s="128"/>
      <c r="BD179" s="13"/>
      <c r="BE179" s="13"/>
      <c r="BF179" s="67"/>
      <c r="BG179" s="13"/>
      <c r="BH179" s="13"/>
      <c r="BI179" s="135"/>
      <c r="BJ179" s="135"/>
      <c r="BK179" s="13"/>
      <c r="BL179" s="13"/>
      <c r="BM179" s="67"/>
      <c r="BN179" s="67"/>
      <c r="BO179" s="128"/>
      <c r="BP179" s="13"/>
      <c r="BQ179" s="13"/>
      <c r="BR179" s="67"/>
      <c r="BS179" s="13"/>
      <c r="BT179" s="13"/>
      <c r="BU179" s="107"/>
      <c r="BV179" s="107"/>
      <c r="BW179" s="107"/>
      <c r="BX179" s="107"/>
      <c r="BY179" s="107"/>
      <c r="BZ179" s="107"/>
      <c r="CA179" s="111"/>
      <c r="CB179" s="107"/>
      <c r="CC179" s="107"/>
      <c r="CD179" s="107"/>
      <c r="CE179" s="107"/>
      <c r="CF179" s="107"/>
      <c r="CG179" s="107"/>
      <c r="CH179" s="107"/>
      <c r="CI179" s="107"/>
      <c r="CJ179" s="107"/>
    </row>
    <row r="180">
      <c r="A180" s="38"/>
      <c r="B180" s="47"/>
      <c r="C180" s="25"/>
      <c r="D180" s="41"/>
      <c r="E180" s="46"/>
      <c r="F180" s="46"/>
      <c r="G180" s="21">
        <f t="shared" si="52"/>
        <v>0</v>
      </c>
      <c r="H180" s="116"/>
      <c r="I180" s="117" t="s">
        <v>61</v>
      </c>
      <c r="J180" s="116"/>
      <c r="K180" s="13"/>
      <c r="L180" s="14"/>
      <c r="M180" s="38"/>
      <c r="N180" s="47"/>
      <c r="O180" s="25"/>
      <c r="P180" s="41"/>
      <c r="Q180" s="46"/>
      <c r="R180" s="46"/>
      <c r="S180" s="21">
        <f t="shared" si="53"/>
        <v>0</v>
      </c>
      <c r="T180" s="13"/>
      <c r="U180" s="118">
        <v>0.03</v>
      </c>
      <c r="V180" s="118">
        <v>0.05</v>
      </c>
      <c r="W180" s="118">
        <v>0.07</v>
      </c>
      <c r="X180" s="14"/>
      <c r="Y180" s="38"/>
      <c r="Z180" s="47"/>
      <c r="AA180" s="25"/>
      <c r="AB180" s="41"/>
      <c r="AC180" s="46"/>
      <c r="AD180" s="46"/>
      <c r="AE180" s="21">
        <f t="shared" si="54"/>
        <v>0</v>
      </c>
      <c r="AF180" s="13"/>
      <c r="AG180" s="118">
        <v>0.03</v>
      </c>
      <c r="AH180" s="118">
        <v>0.05</v>
      </c>
      <c r="AI180" s="118">
        <v>0.07</v>
      </c>
      <c r="AJ180" s="14"/>
      <c r="AK180" s="135"/>
      <c r="AL180" s="135"/>
      <c r="AM180" s="13"/>
      <c r="AN180" s="13"/>
      <c r="AO180" s="67"/>
      <c r="AP180" s="67"/>
      <c r="AQ180" s="128"/>
      <c r="AR180" s="13"/>
      <c r="AS180" s="139"/>
      <c r="AT180" s="139"/>
      <c r="AU180" s="139"/>
      <c r="AV180" s="13"/>
      <c r="AW180" s="135"/>
      <c r="AX180" s="135"/>
      <c r="AY180" s="13"/>
      <c r="AZ180" s="13"/>
      <c r="BA180" s="67"/>
      <c r="BB180" s="67"/>
      <c r="BC180" s="128"/>
      <c r="BD180" s="13"/>
      <c r="BE180" s="139"/>
      <c r="BF180" s="139"/>
      <c r="BG180" s="139"/>
      <c r="BH180" s="13"/>
      <c r="BI180" s="135"/>
      <c r="BJ180" s="135"/>
      <c r="BK180" s="13"/>
      <c r="BL180" s="13"/>
      <c r="BM180" s="67"/>
      <c r="BN180" s="67"/>
      <c r="BO180" s="128"/>
      <c r="BP180" s="13"/>
      <c r="BQ180" s="139"/>
      <c r="BR180" s="139"/>
      <c r="BS180" s="139"/>
      <c r="BT180" s="13"/>
      <c r="BU180" s="107"/>
      <c r="BV180" s="107"/>
      <c r="BW180" s="107"/>
      <c r="BX180" s="107"/>
      <c r="BY180" s="107"/>
      <c r="BZ180" s="107"/>
      <c r="CA180" s="111"/>
      <c r="CB180" s="107"/>
      <c r="CC180" s="107"/>
      <c r="CD180" s="107"/>
      <c r="CE180" s="107"/>
      <c r="CF180" s="107"/>
      <c r="CG180" s="107"/>
      <c r="CH180" s="107"/>
      <c r="CI180" s="107"/>
      <c r="CJ180" s="107"/>
    </row>
    <row r="181">
      <c r="A181" s="38"/>
      <c r="B181" s="47"/>
      <c r="C181" s="25"/>
      <c r="D181" s="41"/>
      <c r="E181" s="46"/>
      <c r="F181" s="46"/>
      <c r="G181" s="21">
        <f t="shared" si="52"/>
        <v>0</v>
      </c>
      <c r="H181" s="118">
        <v>0.03</v>
      </c>
      <c r="I181" s="118">
        <v>0.05</v>
      </c>
      <c r="J181" s="118">
        <v>0.07</v>
      </c>
      <c r="K181" s="13"/>
      <c r="L181" s="14"/>
      <c r="M181" s="38"/>
      <c r="N181" s="47"/>
      <c r="O181" s="25"/>
      <c r="P181" s="41"/>
      <c r="Q181" s="46"/>
      <c r="R181" s="46"/>
      <c r="S181" s="21">
        <f t="shared" si="53"/>
        <v>0</v>
      </c>
      <c r="T181" s="13"/>
      <c r="U181" s="117">
        <v>7.0</v>
      </c>
      <c r="V181" s="117">
        <v>9.0</v>
      </c>
      <c r="W181" s="117">
        <v>12.0</v>
      </c>
      <c r="X181" s="14"/>
      <c r="Y181" s="38"/>
      <c r="Z181" s="47"/>
      <c r="AA181" s="25"/>
      <c r="AB181" s="41"/>
      <c r="AC181" s="46"/>
      <c r="AD181" s="46"/>
      <c r="AE181" s="21">
        <f t="shared" si="54"/>
        <v>0</v>
      </c>
      <c r="AF181" s="13"/>
      <c r="AG181" s="117">
        <v>7.0</v>
      </c>
      <c r="AH181" s="117">
        <v>9.0</v>
      </c>
      <c r="AI181" s="117">
        <v>12.0</v>
      </c>
      <c r="AJ181" s="14"/>
      <c r="AK181" s="135"/>
      <c r="AL181" s="135"/>
      <c r="AM181" s="13"/>
      <c r="AN181" s="13"/>
      <c r="AO181" s="67"/>
      <c r="AP181" s="67"/>
      <c r="AQ181" s="128"/>
      <c r="AR181" s="13"/>
      <c r="AS181" s="67"/>
      <c r="AT181" s="67"/>
      <c r="AU181" s="67"/>
      <c r="AV181" s="13"/>
      <c r="AW181" s="135"/>
      <c r="AX181" s="135"/>
      <c r="AY181" s="13"/>
      <c r="AZ181" s="13"/>
      <c r="BA181" s="67"/>
      <c r="BB181" s="67"/>
      <c r="BC181" s="128"/>
      <c r="BD181" s="13"/>
      <c r="BE181" s="67"/>
      <c r="BF181" s="67"/>
      <c r="BG181" s="67"/>
      <c r="BH181" s="13"/>
      <c r="BI181" s="135"/>
      <c r="BJ181" s="135"/>
      <c r="BK181" s="13"/>
      <c r="BL181" s="13"/>
      <c r="BM181" s="67"/>
      <c r="BN181" s="67"/>
      <c r="BO181" s="128"/>
      <c r="BP181" s="13"/>
      <c r="BQ181" s="67"/>
      <c r="BR181" s="67"/>
      <c r="BS181" s="67"/>
      <c r="BT181" s="13"/>
      <c r="BU181" s="107"/>
      <c r="BV181" s="107"/>
      <c r="BW181" s="107"/>
      <c r="BX181" s="107"/>
      <c r="BY181" s="107"/>
      <c r="BZ181" s="107"/>
      <c r="CA181" s="111"/>
      <c r="CB181" s="107"/>
      <c r="CC181" s="107"/>
      <c r="CD181" s="107"/>
      <c r="CE181" s="107"/>
      <c r="CF181" s="107"/>
      <c r="CG181" s="107"/>
      <c r="CH181" s="107"/>
      <c r="CI181" s="107"/>
      <c r="CJ181" s="107"/>
    </row>
    <row r="182">
      <c r="A182" s="38"/>
      <c r="B182" s="32"/>
      <c r="C182" s="25"/>
      <c r="D182" s="41"/>
      <c r="E182" s="49"/>
      <c r="F182" s="49"/>
      <c r="G182" s="21">
        <f t="shared" si="52"/>
        <v>0</v>
      </c>
      <c r="H182" s="117">
        <v>8.0</v>
      </c>
      <c r="I182" s="117">
        <v>14.0</v>
      </c>
      <c r="J182" s="117">
        <v>17.0</v>
      </c>
      <c r="K182" s="13"/>
      <c r="L182" s="14"/>
      <c r="M182" s="38"/>
      <c r="N182" s="32"/>
      <c r="O182" s="25"/>
      <c r="P182" s="41"/>
      <c r="Q182" s="49"/>
      <c r="R182" s="49"/>
      <c r="S182" s="21">
        <f t="shared" si="53"/>
        <v>0</v>
      </c>
      <c r="T182" s="13"/>
      <c r="U182" s="13"/>
      <c r="V182" s="13"/>
      <c r="W182" s="13"/>
      <c r="X182" s="14"/>
      <c r="Y182" s="38"/>
      <c r="Z182" s="32"/>
      <c r="AA182" s="25"/>
      <c r="AB182" s="41"/>
      <c r="AC182" s="49"/>
      <c r="AD182" s="49"/>
      <c r="AE182" s="21">
        <f t="shared" si="54"/>
        <v>0</v>
      </c>
      <c r="AF182" s="13"/>
      <c r="AG182" s="13"/>
      <c r="AH182" s="13"/>
      <c r="AI182" s="13"/>
      <c r="AJ182" s="14"/>
      <c r="AK182" s="135"/>
      <c r="AL182" s="13"/>
      <c r="AM182" s="13"/>
      <c r="AN182" s="13"/>
      <c r="AO182" s="13"/>
      <c r="AP182" s="13"/>
      <c r="AQ182" s="128"/>
      <c r="AR182" s="13"/>
      <c r="AS182" s="13"/>
      <c r="AT182" s="13"/>
      <c r="AU182" s="13"/>
      <c r="AV182" s="13"/>
      <c r="AW182" s="135"/>
      <c r="AX182" s="13"/>
      <c r="AY182" s="13"/>
      <c r="AZ182" s="13"/>
      <c r="BA182" s="13"/>
      <c r="BB182" s="13"/>
      <c r="BC182" s="128"/>
      <c r="BD182" s="13"/>
      <c r="BE182" s="13"/>
      <c r="BF182" s="13"/>
      <c r="BG182" s="13"/>
      <c r="BH182" s="13"/>
      <c r="BI182" s="135"/>
      <c r="BJ182" s="13"/>
      <c r="BK182" s="13"/>
      <c r="BL182" s="13"/>
      <c r="BM182" s="13"/>
      <c r="BN182" s="13"/>
      <c r="BO182" s="128"/>
      <c r="BP182" s="13"/>
      <c r="BQ182" s="13"/>
      <c r="BR182" s="13"/>
      <c r="BS182" s="13"/>
      <c r="BT182" s="13"/>
      <c r="BU182" s="107"/>
      <c r="BV182" s="107"/>
      <c r="BW182" s="107"/>
      <c r="BX182" s="107"/>
      <c r="BY182" s="107"/>
      <c r="BZ182" s="107"/>
      <c r="CA182" s="111"/>
      <c r="CB182" s="107"/>
      <c r="CC182" s="107"/>
      <c r="CD182" s="107"/>
      <c r="CE182" s="107"/>
      <c r="CF182" s="107"/>
      <c r="CG182" s="107"/>
      <c r="CH182" s="107"/>
      <c r="CI182" s="107"/>
      <c r="CJ182" s="107"/>
    </row>
    <row r="183">
      <c r="A183" s="38"/>
      <c r="B183" s="32"/>
      <c r="C183" s="25"/>
      <c r="D183" s="41"/>
      <c r="E183" s="49"/>
      <c r="F183" s="49"/>
      <c r="G183" s="21">
        <f t="shared" si="52"/>
        <v>0</v>
      </c>
      <c r="H183" s="13"/>
      <c r="I183" s="13"/>
      <c r="J183" s="13"/>
      <c r="K183" s="13"/>
      <c r="L183" s="14"/>
      <c r="M183" s="38"/>
      <c r="N183" s="32"/>
      <c r="O183" s="25"/>
      <c r="P183" s="41"/>
      <c r="Q183" s="49"/>
      <c r="R183" s="49"/>
      <c r="S183" s="21">
        <f t="shared" si="53"/>
        <v>0</v>
      </c>
      <c r="T183" s="13"/>
      <c r="U183" s="13"/>
      <c r="V183" s="13"/>
      <c r="W183" s="13"/>
      <c r="X183" s="14"/>
      <c r="Y183" s="38"/>
      <c r="Z183" s="32"/>
      <c r="AA183" s="25"/>
      <c r="AB183" s="41"/>
      <c r="AC183" s="49"/>
      <c r="AD183" s="49"/>
      <c r="AE183" s="21">
        <f t="shared" si="54"/>
        <v>0</v>
      </c>
      <c r="AF183" s="13"/>
      <c r="AG183" s="13"/>
      <c r="AH183" s="13"/>
      <c r="AI183" s="13"/>
      <c r="AJ183" s="14"/>
      <c r="AK183" s="135"/>
      <c r="AL183" s="13"/>
      <c r="AM183" s="13"/>
      <c r="AN183" s="13"/>
      <c r="AO183" s="13"/>
      <c r="AP183" s="13"/>
      <c r="AQ183" s="128"/>
      <c r="AR183" s="13"/>
      <c r="AS183" s="13"/>
      <c r="AT183" s="13"/>
      <c r="AU183" s="13"/>
      <c r="AV183" s="13"/>
      <c r="AW183" s="135"/>
      <c r="AX183" s="13"/>
      <c r="AY183" s="13"/>
      <c r="AZ183" s="13"/>
      <c r="BA183" s="13"/>
      <c r="BB183" s="13"/>
      <c r="BC183" s="128"/>
      <c r="BD183" s="13"/>
      <c r="BE183" s="13"/>
      <c r="BF183" s="13"/>
      <c r="BG183" s="13"/>
      <c r="BH183" s="13"/>
      <c r="BI183" s="135"/>
      <c r="BJ183" s="13"/>
      <c r="BK183" s="13"/>
      <c r="BL183" s="13"/>
      <c r="BM183" s="13"/>
      <c r="BN183" s="13"/>
      <c r="BO183" s="128"/>
      <c r="BP183" s="13"/>
      <c r="BQ183" s="13"/>
      <c r="BR183" s="13"/>
      <c r="BS183" s="13"/>
      <c r="BT183" s="13"/>
      <c r="BU183" s="107"/>
      <c r="BV183" s="107"/>
      <c r="BW183" s="107"/>
      <c r="BX183" s="107"/>
      <c r="BY183" s="107"/>
      <c r="BZ183" s="107"/>
      <c r="CA183" s="111"/>
      <c r="CB183" s="107"/>
      <c r="CC183" s="107"/>
      <c r="CD183" s="107"/>
      <c r="CE183" s="107"/>
      <c r="CF183" s="107"/>
      <c r="CG183" s="107"/>
      <c r="CH183" s="107"/>
      <c r="CI183" s="107"/>
      <c r="CJ183" s="107"/>
    </row>
    <row r="184">
      <c r="A184" s="38"/>
      <c r="B184" s="32"/>
      <c r="C184" s="25"/>
      <c r="D184" s="41"/>
      <c r="E184" s="49"/>
      <c r="F184" s="49"/>
      <c r="G184" s="21">
        <f t="shared" si="52"/>
        <v>0</v>
      </c>
      <c r="H184" s="13"/>
      <c r="I184" s="13"/>
      <c r="J184" s="67">
        <v>40.0</v>
      </c>
      <c r="K184" s="13"/>
      <c r="L184" s="14"/>
      <c r="M184" s="38"/>
      <c r="N184" s="32"/>
      <c r="O184" s="25"/>
      <c r="P184" s="41"/>
      <c r="Q184" s="49"/>
      <c r="R184" s="49"/>
      <c r="S184" s="21">
        <f t="shared" si="53"/>
        <v>0</v>
      </c>
      <c r="T184" s="13"/>
      <c r="U184" s="13"/>
      <c r="V184" s="13"/>
      <c r="W184" s="13"/>
      <c r="X184" s="14"/>
      <c r="Y184" s="38"/>
      <c r="Z184" s="32"/>
      <c r="AA184" s="25"/>
      <c r="AB184" s="41"/>
      <c r="AC184" s="49"/>
      <c r="AD184" s="49"/>
      <c r="AE184" s="21">
        <f t="shared" si="54"/>
        <v>0</v>
      </c>
      <c r="AF184" s="13"/>
      <c r="AG184" s="13"/>
      <c r="AH184" s="13"/>
      <c r="AI184" s="13"/>
      <c r="AJ184" s="14"/>
      <c r="AK184" s="135"/>
      <c r="AL184" s="13"/>
      <c r="AM184" s="13"/>
      <c r="AN184" s="13"/>
      <c r="AO184" s="13"/>
      <c r="AP184" s="13"/>
      <c r="AQ184" s="128"/>
      <c r="AR184" s="13"/>
      <c r="AS184" s="13"/>
      <c r="AT184" s="13"/>
      <c r="AU184" s="13"/>
      <c r="AV184" s="13"/>
      <c r="AW184" s="135"/>
      <c r="AX184" s="13"/>
      <c r="AY184" s="13"/>
      <c r="AZ184" s="13"/>
      <c r="BA184" s="13"/>
      <c r="BB184" s="13"/>
      <c r="BC184" s="128"/>
      <c r="BD184" s="13"/>
      <c r="BE184" s="13"/>
      <c r="BF184" s="13"/>
      <c r="BG184" s="13"/>
      <c r="BH184" s="13"/>
      <c r="BI184" s="135"/>
      <c r="BJ184" s="13"/>
      <c r="BK184" s="13"/>
      <c r="BL184" s="13"/>
      <c r="BM184" s="13"/>
      <c r="BN184" s="13"/>
      <c r="BO184" s="128"/>
      <c r="BP184" s="13"/>
      <c r="BQ184" s="13"/>
      <c r="BR184" s="13"/>
      <c r="BS184" s="13"/>
      <c r="BT184" s="13"/>
      <c r="BU184" s="107"/>
      <c r="BV184" s="107"/>
      <c r="BW184" s="107"/>
      <c r="BX184" s="107"/>
      <c r="BY184" s="107"/>
      <c r="BZ184" s="107"/>
      <c r="CA184" s="111"/>
      <c r="CB184" s="107"/>
      <c r="CC184" s="107"/>
      <c r="CD184" s="107"/>
      <c r="CE184" s="107"/>
      <c r="CF184" s="107"/>
      <c r="CG184" s="107"/>
      <c r="CH184" s="107"/>
      <c r="CI184" s="107"/>
      <c r="CJ184" s="107"/>
    </row>
    <row r="185">
      <c r="A185" s="38"/>
      <c r="B185" s="32"/>
      <c r="C185" s="25"/>
      <c r="D185" s="41"/>
      <c r="E185" s="46"/>
      <c r="F185" s="46"/>
      <c r="G185" s="21">
        <f t="shared" si="52"/>
        <v>0</v>
      </c>
      <c r="H185" s="13"/>
      <c r="I185" s="67"/>
      <c r="J185" s="13"/>
      <c r="K185" s="13"/>
      <c r="L185" s="14"/>
      <c r="M185" s="38"/>
      <c r="N185" s="32"/>
      <c r="O185" s="25"/>
      <c r="P185" s="41"/>
      <c r="Q185" s="46"/>
      <c r="R185" s="46"/>
      <c r="S185" s="21">
        <f t="shared" si="53"/>
        <v>0</v>
      </c>
      <c r="T185" s="13"/>
      <c r="U185" s="13"/>
      <c r="V185" s="13"/>
      <c r="W185" s="13"/>
      <c r="X185" s="14"/>
      <c r="Y185" s="38"/>
      <c r="Z185" s="32"/>
      <c r="AA185" s="25"/>
      <c r="AB185" s="41"/>
      <c r="AC185" s="46"/>
      <c r="AD185" s="46"/>
      <c r="AE185" s="21">
        <f t="shared" si="54"/>
        <v>0</v>
      </c>
      <c r="AF185" s="13"/>
      <c r="AG185" s="13"/>
      <c r="AH185" s="13"/>
      <c r="AI185" s="13"/>
      <c r="AJ185" s="14"/>
      <c r="AK185" s="135"/>
      <c r="AL185" s="13"/>
      <c r="AM185" s="13"/>
      <c r="AN185" s="13"/>
      <c r="AO185" s="67"/>
      <c r="AP185" s="67"/>
      <c r="AQ185" s="128"/>
      <c r="AR185" s="13"/>
      <c r="AS185" s="13"/>
      <c r="AT185" s="13"/>
      <c r="AU185" s="13"/>
      <c r="AV185" s="13"/>
      <c r="AW185" s="135"/>
      <c r="AX185" s="13"/>
      <c r="AY185" s="13"/>
      <c r="AZ185" s="13"/>
      <c r="BA185" s="67"/>
      <c r="BB185" s="67"/>
      <c r="BC185" s="128"/>
      <c r="BD185" s="13"/>
      <c r="BE185" s="13"/>
      <c r="BF185" s="13"/>
      <c r="BG185" s="13"/>
      <c r="BH185" s="13"/>
      <c r="BI185" s="135"/>
      <c r="BJ185" s="13"/>
      <c r="BK185" s="13"/>
      <c r="BL185" s="13"/>
      <c r="BM185" s="67"/>
      <c r="BN185" s="67"/>
      <c r="BO185" s="128"/>
      <c r="BP185" s="13"/>
      <c r="BQ185" s="13"/>
      <c r="BR185" s="13"/>
      <c r="BS185" s="13"/>
      <c r="BT185" s="13"/>
      <c r="BU185" s="107"/>
      <c r="BV185" s="107"/>
      <c r="BW185" s="107"/>
      <c r="BX185" s="107"/>
      <c r="BY185" s="107"/>
      <c r="BZ185" s="107"/>
      <c r="CA185" s="111"/>
      <c r="CB185" s="107"/>
      <c r="CC185" s="107"/>
      <c r="CD185" s="107"/>
      <c r="CE185" s="107"/>
      <c r="CF185" s="107"/>
      <c r="CG185" s="107"/>
      <c r="CH185" s="107"/>
      <c r="CI185" s="107"/>
      <c r="CJ185" s="107"/>
    </row>
    <row r="186">
      <c r="A186" s="38"/>
      <c r="B186" s="47"/>
      <c r="C186" s="25"/>
      <c r="D186" s="41"/>
      <c r="E186" s="49"/>
      <c r="F186" s="49"/>
      <c r="G186" s="21">
        <f t="shared" si="52"/>
        <v>0</v>
      </c>
      <c r="H186" s="13"/>
      <c r="I186" s="67"/>
      <c r="J186" s="13"/>
      <c r="K186" s="13"/>
      <c r="L186" s="14"/>
      <c r="M186" s="38"/>
      <c r="N186" s="47"/>
      <c r="O186" s="25"/>
      <c r="P186" s="41"/>
      <c r="Q186" s="49"/>
      <c r="R186" s="49"/>
      <c r="S186" s="21">
        <f t="shared" si="53"/>
        <v>0</v>
      </c>
      <c r="T186" s="13"/>
      <c r="U186" s="13"/>
      <c r="V186" s="13"/>
      <c r="W186" s="13"/>
      <c r="X186" s="14"/>
      <c r="Y186" s="38"/>
      <c r="Z186" s="47"/>
      <c r="AA186" s="25"/>
      <c r="AB186" s="41"/>
      <c r="AC186" s="49"/>
      <c r="AD186" s="49"/>
      <c r="AE186" s="21">
        <f t="shared" si="54"/>
        <v>0</v>
      </c>
      <c r="AF186" s="13"/>
      <c r="AG186" s="13"/>
      <c r="AH186" s="13"/>
      <c r="AI186" s="13"/>
      <c r="AJ186" s="14"/>
      <c r="AK186" s="135"/>
      <c r="AL186" s="135"/>
      <c r="AM186" s="13"/>
      <c r="AN186" s="13"/>
      <c r="AO186" s="13"/>
      <c r="AP186" s="13"/>
      <c r="AQ186" s="128"/>
      <c r="AR186" s="13"/>
      <c r="AS186" s="13"/>
      <c r="AT186" s="13"/>
      <c r="AU186" s="13"/>
      <c r="AV186" s="13"/>
      <c r="AW186" s="135"/>
      <c r="AX186" s="135"/>
      <c r="AY186" s="13"/>
      <c r="AZ186" s="13"/>
      <c r="BA186" s="13"/>
      <c r="BB186" s="13"/>
      <c r="BC186" s="128"/>
      <c r="BD186" s="13"/>
      <c r="BE186" s="13"/>
      <c r="BF186" s="13"/>
      <c r="BG186" s="13"/>
      <c r="BH186" s="13"/>
      <c r="BI186" s="135"/>
      <c r="BJ186" s="135"/>
      <c r="BK186" s="13"/>
      <c r="BL186" s="13"/>
      <c r="BM186" s="13"/>
      <c r="BN186" s="13"/>
      <c r="BO186" s="128"/>
      <c r="BP186" s="13"/>
      <c r="BQ186" s="13"/>
      <c r="BR186" s="13"/>
      <c r="BS186" s="13"/>
      <c r="BT186" s="13"/>
      <c r="BU186" s="107"/>
      <c r="BV186" s="107"/>
      <c r="BW186" s="107"/>
      <c r="BX186" s="107"/>
      <c r="BY186" s="107"/>
      <c r="BZ186" s="107"/>
      <c r="CA186" s="111"/>
      <c r="CB186" s="107"/>
      <c r="CC186" s="107"/>
      <c r="CD186" s="107"/>
      <c r="CE186" s="107"/>
      <c r="CF186" s="107"/>
      <c r="CG186" s="107"/>
      <c r="CH186" s="107"/>
      <c r="CI186" s="107"/>
      <c r="CJ186" s="107"/>
    </row>
    <row r="187">
      <c r="A187" s="38"/>
      <c r="B187" s="32"/>
      <c r="C187" s="25"/>
      <c r="D187" s="41"/>
      <c r="E187" s="49"/>
      <c r="F187" s="49"/>
      <c r="G187" s="21">
        <f t="shared" si="52"/>
        <v>0</v>
      </c>
      <c r="H187" s="13"/>
      <c r="I187" s="67"/>
      <c r="J187" s="13"/>
      <c r="K187" s="13"/>
      <c r="L187" s="14"/>
      <c r="M187" s="38"/>
      <c r="N187" s="32"/>
      <c r="O187" s="25"/>
      <c r="P187" s="41"/>
      <c r="Q187" s="49"/>
      <c r="R187" s="49"/>
      <c r="S187" s="21">
        <f t="shared" si="53"/>
        <v>0</v>
      </c>
      <c r="T187" s="13"/>
      <c r="U187" s="13"/>
      <c r="V187" s="13"/>
      <c r="W187" s="13"/>
      <c r="X187" s="14"/>
      <c r="Y187" s="38"/>
      <c r="Z187" s="32"/>
      <c r="AA187" s="25"/>
      <c r="AB187" s="41"/>
      <c r="AC187" s="49"/>
      <c r="AD187" s="49"/>
      <c r="AE187" s="21">
        <f t="shared" si="54"/>
        <v>0</v>
      </c>
      <c r="AF187" s="13"/>
      <c r="AG187" s="13"/>
      <c r="AH187" s="13"/>
      <c r="AI187" s="13"/>
      <c r="AJ187" s="14"/>
      <c r="AK187" s="135"/>
      <c r="AL187" s="13"/>
      <c r="AM187" s="13"/>
      <c r="AN187" s="13"/>
      <c r="AO187" s="13"/>
      <c r="AP187" s="13"/>
      <c r="AQ187" s="128"/>
      <c r="AR187" s="13"/>
      <c r="AS187" s="13"/>
      <c r="AT187" s="13"/>
      <c r="AU187" s="13"/>
      <c r="AV187" s="13"/>
      <c r="AW187" s="135"/>
      <c r="AX187" s="13"/>
      <c r="AY187" s="13"/>
      <c r="AZ187" s="13"/>
      <c r="BA187" s="13"/>
      <c r="BB187" s="13"/>
      <c r="BC187" s="128"/>
      <c r="BD187" s="13"/>
      <c r="BE187" s="13"/>
      <c r="BF187" s="13"/>
      <c r="BG187" s="13"/>
      <c r="BH187" s="13"/>
      <c r="BI187" s="135"/>
      <c r="BJ187" s="13"/>
      <c r="BK187" s="13"/>
      <c r="BL187" s="13"/>
      <c r="BM187" s="13"/>
      <c r="BN187" s="13"/>
      <c r="BO187" s="128"/>
      <c r="BP187" s="13"/>
      <c r="BQ187" s="13"/>
      <c r="BR187" s="13"/>
      <c r="BS187" s="13"/>
      <c r="BT187" s="13"/>
      <c r="BU187" s="107"/>
      <c r="BV187" s="107"/>
      <c r="BW187" s="107"/>
      <c r="BX187" s="107"/>
      <c r="BY187" s="107"/>
      <c r="BZ187" s="107"/>
      <c r="CA187" s="111"/>
      <c r="CB187" s="107"/>
      <c r="CC187" s="107"/>
      <c r="CD187" s="107"/>
      <c r="CE187" s="107"/>
      <c r="CF187" s="107"/>
      <c r="CG187" s="107"/>
      <c r="CH187" s="107"/>
      <c r="CI187" s="107"/>
      <c r="CJ187" s="107"/>
    </row>
    <row r="188">
      <c r="A188" s="38"/>
      <c r="B188" s="32"/>
      <c r="C188" s="25"/>
      <c r="D188" s="41"/>
      <c r="E188" s="49"/>
      <c r="F188" s="49"/>
      <c r="G188" s="21">
        <f t="shared" si="52"/>
        <v>0</v>
      </c>
      <c r="H188" s="13"/>
      <c r="I188" s="67"/>
      <c r="J188" s="13"/>
      <c r="K188" s="13"/>
      <c r="L188" s="14"/>
      <c r="M188" s="38"/>
      <c r="N188" s="32"/>
      <c r="O188" s="25"/>
      <c r="P188" s="41"/>
      <c r="Q188" s="49"/>
      <c r="R188" s="49"/>
      <c r="S188" s="21">
        <f t="shared" si="53"/>
        <v>0</v>
      </c>
      <c r="T188" s="13"/>
      <c r="U188" s="13"/>
      <c r="V188" s="13"/>
      <c r="W188" s="13"/>
      <c r="X188" s="14"/>
      <c r="Y188" s="38"/>
      <c r="Z188" s="32"/>
      <c r="AA188" s="25"/>
      <c r="AB188" s="41"/>
      <c r="AC188" s="49"/>
      <c r="AD188" s="49"/>
      <c r="AE188" s="21">
        <f t="shared" si="54"/>
        <v>0</v>
      </c>
      <c r="AF188" s="13"/>
      <c r="AG188" s="13"/>
      <c r="AH188" s="13"/>
      <c r="AI188" s="13"/>
      <c r="AJ188" s="14"/>
      <c r="AK188" s="135"/>
      <c r="AL188" s="13"/>
      <c r="AM188" s="13"/>
      <c r="AN188" s="13"/>
      <c r="AO188" s="13"/>
      <c r="AP188" s="13"/>
      <c r="AQ188" s="128"/>
      <c r="AR188" s="13"/>
      <c r="AS188" s="13"/>
      <c r="AT188" s="13"/>
      <c r="AU188" s="13"/>
      <c r="AV188" s="13"/>
      <c r="AW188" s="135"/>
      <c r="AX188" s="13"/>
      <c r="AY188" s="13"/>
      <c r="AZ188" s="13"/>
      <c r="BA188" s="13"/>
      <c r="BB188" s="13"/>
      <c r="BC188" s="128"/>
      <c r="BD188" s="13"/>
      <c r="BE188" s="13"/>
      <c r="BF188" s="13"/>
      <c r="BG188" s="13"/>
      <c r="BH188" s="13"/>
      <c r="BI188" s="135"/>
      <c r="BJ188" s="13"/>
      <c r="BK188" s="13"/>
      <c r="BL188" s="13"/>
      <c r="BM188" s="13"/>
      <c r="BN188" s="13"/>
      <c r="BO188" s="128"/>
      <c r="BP188" s="13"/>
      <c r="BQ188" s="13"/>
      <c r="BR188" s="13"/>
      <c r="BS188" s="13"/>
      <c r="BT188" s="13"/>
      <c r="BU188" s="107"/>
      <c r="BV188" s="107"/>
      <c r="BW188" s="107"/>
      <c r="BX188" s="107"/>
      <c r="BY188" s="107"/>
      <c r="BZ188" s="107"/>
      <c r="CA188" s="111"/>
      <c r="CB188" s="107"/>
      <c r="CC188" s="107"/>
      <c r="CD188" s="107"/>
      <c r="CE188" s="107"/>
      <c r="CF188" s="107"/>
      <c r="CG188" s="107"/>
      <c r="CH188" s="107"/>
      <c r="CI188" s="107"/>
      <c r="CJ188" s="107"/>
    </row>
    <row r="189">
      <c r="A189" s="50"/>
      <c r="B189" s="32"/>
      <c r="C189" s="25"/>
      <c r="D189" s="41"/>
      <c r="E189" s="49"/>
      <c r="F189" s="49"/>
      <c r="G189" s="88">
        <f t="shared" si="52"/>
        <v>0</v>
      </c>
      <c r="H189" s="89"/>
      <c r="I189" s="104"/>
      <c r="J189" s="89"/>
      <c r="K189" s="89"/>
      <c r="L189" s="90"/>
      <c r="M189" s="50"/>
      <c r="N189" s="32"/>
      <c r="O189" s="25"/>
      <c r="P189" s="41"/>
      <c r="Q189" s="49"/>
      <c r="R189" s="49"/>
      <c r="S189" s="21">
        <f t="shared" si="53"/>
        <v>0</v>
      </c>
      <c r="T189" s="89"/>
      <c r="U189" s="89"/>
      <c r="V189" s="89"/>
      <c r="W189" s="89"/>
      <c r="X189" s="90"/>
      <c r="Y189" s="50"/>
      <c r="Z189" s="32"/>
      <c r="AA189" s="25"/>
      <c r="AB189" s="41"/>
      <c r="AC189" s="49"/>
      <c r="AD189" s="49"/>
      <c r="AE189" s="21">
        <f t="shared" si="54"/>
        <v>0</v>
      </c>
      <c r="AF189" s="89"/>
      <c r="AG189" s="89"/>
      <c r="AH189" s="89"/>
      <c r="AI189" s="89"/>
      <c r="AJ189" s="90"/>
      <c r="AK189" s="13"/>
      <c r="AL189" s="13"/>
      <c r="AM189" s="13"/>
      <c r="AN189" s="13"/>
      <c r="AO189" s="13"/>
      <c r="AP189" s="13"/>
      <c r="AQ189" s="128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28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28"/>
      <c r="BP189" s="13"/>
      <c r="BQ189" s="13"/>
      <c r="BR189" s="13"/>
      <c r="BS189" s="13"/>
      <c r="BT189" s="13"/>
      <c r="BU189" s="107"/>
      <c r="BV189" s="107"/>
      <c r="BW189" s="107"/>
      <c r="BX189" s="107"/>
      <c r="BY189" s="107"/>
      <c r="BZ189" s="107"/>
      <c r="CA189" s="111"/>
      <c r="CB189" s="107"/>
      <c r="CC189" s="107"/>
      <c r="CD189" s="107"/>
      <c r="CE189" s="107"/>
      <c r="CF189" s="107"/>
      <c r="CG189" s="107"/>
      <c r="CH189" s="107"/>
      <c r="CI189" s="107"/>
      <c r="CJ189" s="107"/>
    </row>
    <row r="190">
      <c r="A190" s="1" t="s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1" t="s">
        <v>62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3"/>
      <c r="Y190" s="1" t="s">
        <v>1</v>
      </c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3"/>
      <c r="AK190" s="4"/>
      <c r="AW190" s="4"/>
      <c r="BI190" s="4"/>
      <c r="BU190" s="4"/>
      <c r="CG190" s="107"/>
      <c r="CH190" s="107"/>
      <c r="CI190" s="107"/>
      <c r="CJ190" s="107"/>
    </row>
    <row r="191">
      <c r="A191" s="5" t="s">
        <v>67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5" t="s">
        <v>67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5" t="s">
        <v>67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121"/>
      <c r="AW191" s="121"/>
      <c r="BI191" s="121"/>
      <c r="BU191" s="108"/>
      <c r="CG191" s="107"/>
      <c r="CH191" s="107"/>
      <c r="CI191" s="107"/>
      <c r="CJ191" s="107"/>
    </row>
    <row r="192">
      <c r="A192" s="7" t="s">
        <v>5</v>
      </c>
      <c r="B192" s="8" t="s">
        <v>6</v>
      </c>
      <c r="C192" s="9" t="s">
        <v>7</v>
      </c>
      <c r="D192" s="10" t="s">
        <v>8</v>
      </c>
      <c r="E192" s="11" t="s">
        <v>9</v>
      </c>
      <c r="F192" s="11" t="s">
        <v>10</v>
      </c>
      <c r="G192" s="12" t="s">
        <v>11</v>
      </c>
      <c r="H192" s="12" t="s">
        <v>12</v>
      </c>
      <c r="I192" s="12" t="s">
        <v>13</v>
      </c>
      <c r="J192" s="13" t="s">
        <v>14</v>
      </c>
      <c r="K192" s="67" t="s">
        <v>15</v>
      </c>
      <c r="L192" s="14" t="s">
        <v>16</v>
      </c>
      <c r="M192" s="7" t="s">
        <v>5</v>
      </c>
      <c r="N192" s="8" t="s">
        <v>6</v>
      </c>
      <c r="O192" s="9" t="s">
        <v>7</v>
      </c>
      <c r="P192" s="10" t="s">
        <v>8</v>
      </c>
      <c r="Q192" s="11" t="s">
        <v>9</v>
      </c>
      <c r="R192" s="11" t="s">
        <v>10</v>
      </c>
      <c r="S192" s="12" t="s">
        <v>11</v>
      </c>
      <c r="T192" s="12" t="s">
        <v>12</v>
      </c>
      <c r="U192" s="12" t="s">
        <v>13</v>
      </c>
      <c r="V192" s="13" t="s">
        <v>14</v>
      </c>
      <c r="W192" s="13" t="s">
        <v>15</v>
      </c>
      <c r="X192" s="14" t="s">
        <v>16</v>
      </c>
      <c r="Y192" s="7" t="s">
        <v>5</v>
      </c>
      <c r="Z192" s="8" t="s">
        <v>6</v>
      </c>
      <c r="AA192" s="9" t="s">
        <v>7</v>
      </c>
      <c r="AB192" s="10" t="s">
        <v>8</v>
      </c>
      <c r="AC192" s="11" t="s">
        <v>9</v>
      </c>
      <c r="AD192" s="11" t="s">
        <v>10</v>
      </c>
      <c r="AE192" s="12" t="s">
        <v>11</v>
      </c>
      <c r="AF192" s="12" t="s">
        <v>12</v>
      </c>
      <c r="AG192" s="12" t="s">
        <v>13</v>
      </c>
      <c r="AH192" s="13" t="s">
        <v>14</v>
      </c>
      <c r="AI192" s="13" t="s">
        <v>15</v>
      </c>
      <c r="AJ192" s="14" t="s">
        <v>16</v>
      </c>
      <c r="AK192" s="122"/>
      <c r="AL192" s="121"/>
      <c r="AM192" s="121"/>
      <c r="AN192" s="121"/>
      <c r="AO192" s="121"/>
      <c r="AP192" s="121"/>
      <c r="AQ192" s="122"/>
      <c r="AR192" s="122"/>
      <c r="AS192" s="123"/>
      <c r="AT192" s="13"/>
      <c r="AU192" s="13"/>
      <c r="AV192" s="13"/>
      <c r="AW192" s="122"/>
      <c r="AX192" s="121"/>
      <c r="AY192" s="121"/>
      <c r="AZ192" s="121"/>
      <c r="BA192" s="121"/>
      <c r="BB192" s="121"/>
      <c r="BC192" s="122"/>
      <c r="BD192" s="122"/>
      <c r="BE192" s="123"/>
      <c r="BF192" s="13"/>
      <c r="BG192" s="13"/>
      <c r="BH192" s="13"/>
      <c r="BI192" s="122"/>
      <c r="BJ192" s="121"/>
      <c r="BK192" s="121"/>
      <c r="BL192" s="121"/>
      <c r="BM192" s="121"/>
      <c r="BN192" s="121"/>
      <c r="BO192" s="122"/>
      <c r="BP192" s="122"/>
      <c r="BQ192" s="123"/>
      <c r="BR192" s="13"/>
      <c r="BS192" s="13"/>
      <c r="BT192" s="13"/>
      <c r="BU192" s="109"/>
      <c r="BV192" s="108"/>
      <c r="BW192" s="108"/>
      <c r="BX192" s="108"/>
      <c r="BY192" s="108"/>
      <c r="BZ192" s="108"/>
      <c r="CA192" s="109"/>
      <c r="CB192" s="109"/>
      <c r="CC192" s="109"/>
      <c r="CD192" s="107"/>
      <c r="CE192" s="107"/>
      <c r="CF192" s="107"/>
      <c r="CG192" s="107"/>
      <c r="CH192" s="107"/>
      <c r="CI192" s="107"/>
      <c r="CJ192" s="107"/>
    </row>
    <row r="193">
      <c r="A193" s="60"/>
      <c r="B193" s="16"/>
      <c r="C193" s="17"/>
      <c r="D193" s="18"/>
      <c r="E193" s="20">
        <v>290000.0</v>
      </c>
      <c r="F193" s="20"/>
      <c r="G193" s="21">
        <f t="shared" ref="G193:G216" si="59">SUM(B193)-(B193*15%)+(C193)-(C193*20.8%)+(D193)+(E193)-(E193*0.95%)+(F193)-(F193*15.5%)</f>
        <v>287245</v>
      </c>
      <c r="H193" s="22">
        <f>SUM(B193:F216)</f>
        <v>2070000</v>
      </c>
      <c r="I193" s="21">
        <f>SUM(G193:G216)</f>
        <v>2059835</v>
      </c>
      <c r="J193" s="21">
        <f>SUM(I193)-(I193*97%)</f>
        <v>61795.05</v>
      </c>
      <c r="K193" s="21">
        <f>SUM(I193)-(I193*95%)</f>
        <v>102991.75</v>
      </c>
      <c r="L193" s="23">
        <f>SUM(I193)-(I193*93%)</f>
        <v>144188.45</v>
      </c>
      <c r="M193" s="60"/>
      <c r="N193" s="24"/>
      <c r="O193" s="25"/>
      <c r="P193" s="18"/>
      <c r="Q193" s="20">
        <v>500000.0</v>
      </c>
      <c r="R193" s="20"/>
      <c r="S193" s="21">
        <f t="shared" ref="S193:S216" si="60">SUM(N193)-(N193*15%)+(O193)-(O193*20.8%)+(P193)+(Q193)-(Q193*0.95%)+(R193)-(R193*15.5%)</f>
        <v>495250</v>
      </c>
      <c r="T193" s="22">
        <f>SUM(N193:R216)</f>
        <v>5400000</v>
      </c>
      <c r="U193" s="21">
        <f>SUM(S193:S216)</f>
        <v>4984950</v>
      </c>
      <c r="V193" s="21">
        <f>SUM(U193)-(U193*97%)</f>
        <v>149548.5</v>
      </c>
      <c r="W193" s="21">
        <f>SUM(U193)-(U193*95%)</f>
        <v>249247.5</v>
      </c>
      <c r="X193" s="23">
        <f>SUM(U193)-(U193*93%)</f>
        <v>348946.5</v>
      </c>
      <c r="Y193" s="60"/>
      <c r="Z193" s="24"/>
      <c r="AA193" s="25"/>
      <c r="AB193" s="18"/>
      <c r="AC193" s="20"/>
      <c r="AD193" s="20"/>
      <c r="AE193" s="21">
        <f t="shared" ref="AE193:AE216" si="61">SUM(Z193)-(Z193*15%)+(AA193)-(AA193*20.8%)+(AB193)+(AC193)-(AC193*0.95%)+(AD193)-(AD193*15.5%)</f>
        <v>0</v>
      </c>
      <c r="AF193" s="22">
        <f>SUM(Z193:AD216)</f>
        <v>0</v>
      </c>
      <c r="AG193" s="21">
        <f>SUM(AE193:AE216)</f>
        <v>0</v>
      </c>
      <c r="AH193" s="21">
        <f>SUM(AG193)-(AG193*97%)</f>
        <v>0</v>
      </c>
      <c r="AI193" s="21">
        <f>SUM(AG193)-(AG193*95%)</f>
        <v>0</v>
      </c>
      <c r="AJ193" s="23">
        <f>SUM(AG193)-(AG193*93%)</f>
        <v>0</v>
      </c>
      <c r="AK193" s="124"/>
      <c r="AL193" s="125"/>
      <c r="AM193" s="126"/>
      <c r="AN193" s="127"/>
      <c r="AO193" s="127"/>
      <c r="AP193" s="127"/>
      <c r="AQ193" s="128"/>
      <c r="AR193" s="22"/>
      <c r="AS193" s="128"/>
      <c r="AT193" s="128"/>
      <c r="AU193" s="128"/>
      <c r="AV193" s="128"/>
      <c r="AW193" s="124"/>
      <c r="AX193" s="125"/>
      <c r="AY193" s="126"/>
      <c r="AZ193" s="127"/>
      <c r="BA193" s="127"/>
      <c r="BB193" s="127"/>
      <c r="BC193" s="128"/>
      <c r="BD193" s="22"/>
      <c r="BE193" s="128"/>
      <c r="BF193" s="128"/>
      <c r="BG193" s="128"/>
      <c r="BH193" s="128"/>
      <c r="BI193" s="124"/>
      <c r="BJ193" s="125"/>
      <c r="BK193" s="126"/>
      <c r="BL193" s="127"/>
      <c r="BM193" s="127"/>
      <c r="BN193" s="127"/>
      <c r="BO193" s="128"/>
      <c r="BP193" s="22"/>
      <c r="BQ193" s="128"/>
      <c r="BR193" s="128"/>
      <c r="BS193" s="128"/>
      <c r="BT193" s="128"/>
      <c r="BU193" s="110"/>
      <c r="BV193" s="107"/>
      <c r="BW193" s="107"/>
      <c r="BX193" s="107"/>
      <c r="BY193" s="107"/>
      <c r="BZ193" s="107"/>
      <c r="CA193" s="111"/>
      <c r="CB193" s="112"/>
      <c r="CC193" s="111"/>
      <c r="CD193" s="111"/>
      <c r="CE193" s="111"/>
      <c r="CF193" s="111"/>
      <c r="CG193" s="107"/>
      <c r="CH193" s="107"/>
      <c r="CI193" s="107"/>
      <c r="CJ193" s="107"/>
    </row>
    <row r="194">
      <c r="A194" s="15"/>
      <c r="B194" s="27"/>
      <c r="C194" s="17"/>
      <c r="D194" s="40"/>
      <c r="E194" s="20">
        <v>30000.0</v>
      </c>
      <c r="F194" s="30"/>
      <c r="G194" s="21">
        <f t="shared" si="59"/>
        <v>29715</v>
      </c>
      <c r="H194" s="31" t="s">
        <v>20</v>
      </c>
      <c r="I194" s="13"/>
      <c r="J194" s="13" t="s">
        <v>21</v>
      </c>
      <c r="K194" s="13" t="s">
        <v>22</v>
      </c>
      <c r="L194" s="14" t="s">
        <v>23</v>
      </c>
      <c r="M194" s="60"/>
      <c r="N194" s="32"/>
      <c r="O194" s="25"/>
      <c r="P194" s="33"/>
      <c r="Q194" s="30">
        <v>250000.0</v>
      </c>
      <c r="R194" s="30"/>
      <c r="S194" s="21">
        <f t="shared" si="60"/>
        <v>247625</v>
      </c>
      <c r="T194" s="31" t="s">
        <v>20</v>
      </c>
      <c r="U194" s="13"/>
      <c r="V194" s="13" t="s">
        <v>21</v>
      </c>
      <c r="W194" s="13" t="s">
        <v>22</v>
      </c>
      <c r="X194" s="14" t="s">
        <v>23</v>
      </c>
      <c r="Y194" s="60"/>
      <c r="Z194" s="32"/>
      <c r="AA194" s="25"/>
      <c r="AB194" s="33"/>
      <c r="AC194" s="30"/>
      <c r="AD194" s="30"/>
      <c r="AE194" s="21">
        <f t="shared" si="61"/>
        <v>0</v>
      </c>
      <c r="AF194" s="31" t="s">
        <v>20</v>
      </c>
      <c r="AG194" s="13"/>
      <c r="AH194" s="13" t="s">
        <v>21</v>
      </c>
      <c r="AI194" s="13" t="s">
        <v>22</v>
      </c>
      <c r="AJ194" s="14" t="s">
        <v>23</v>
      </c>
      <c r="AK194" s="124"/>
      <c r="AL194" s="127"/>
      <c r="AM194" s="129"/>
      <c r="AN194" s="126"/>
      <c r="AO194" s="126"/>
      <c r="AP194" s="126"/>
      <c r="AQ194" s="128"/>
      <c r="AR194" s="130"/>
      <c r="AS194" s="13"/>
      <c r="AT194" s="13"/>
      <c r="AU194" s="13"/>
      <c r="AV194" s="13"/>
      <c r="AW194" s="124"/>
      <c r="AX194" s="127"/>
      <c r="AY194" s="129"/>
      <c r="AZ194" s="126"/>
      <c r="BA194" s="126"/>
      <c r="BB194" s="126"/>
      <c r="BC194" s="128"/>
      <c r="BD194" s="130"/>
      <c r="BE194" s="13"/>
      <c r="BF194" s="13"/>
      <c r="BG194" s="13"/>
      <c r="BH194" s="13"/>
      <c r="BI194" s="124"/>
      <c r="BJ194" s="127"/>
      <c r="BK194" s="129"/>
      <c r="BL194" s="126"/>
      <c r="BM194" s="126"/>
      <c r="BN194" s="126"/>
      <c r="BO194" s="128"/>
      <c r="BP194" s="130"/>
      <c r="BQ194" s="13"/>
      <c r="BR194" s="13"/>
      <c r="BS194" s="13"/>
      <c r="BT194" s="13"/>
      <c r="BU194" s="110"/>
      <c r="BV194" s="107"/>
      <c r="BW194" s="107"/>
      <c r="BX194" s="107"/>
      <c r="BY194" s="107"/>
      <c r="BZ194" s="107"/>
      <c r="CA194" s="111"/>
      <c r="CB194" s="113"/>
      <c r="CC194" s="107"/>
      <c r="CD194" s="107"/>
      <c r="CE194" s="107"/>
      <c r="CF194" s="107"/>
      <c r="CG194" s="107"/>
      <c r="CH194" s="107"/>
      <c r="CI194" s="107"/>
      <c r="CJ194" s="107"/>
    </row>
    <row r="195">
      <c r="A195" s="60">
        <v>45677.0</v>
      </c>
      <c r="B195" s="39"/>
      <c r="C195" s="17"/>
      <c r="D195" s="18"/>
      <c r="E195" s="20">
        <v>750000.0</v>
      </c>
      <c r="F195" s="20"/>
      <c r="G195" s="21">
        <f t="shared" si="59"/>
        <v>742875</v>
      </c>
      <c r="H195" s="36"/>
      <c r="I195" s="13"/>
      <c r="J195" s="21">
        <f t="shared" ref="J195:L195" si="62">SUM(J193)-(J193*10%)</f>
        <v>55615.545</v>
      </c>
      <c r="K195" s="21">
        <f t="shared" si="62"/>
        <v>92692.575</v>
      </c>
      <c r="L195" s="23">
        <f t="shared" si="62"/>
        <v>129769.605</v>
      </c>
      <c r="M195" s="60">
        <v>45677.0</v>
      </c>
      <c r="N195" s="32"/>
      <c r="O195" s="25"/>
      <c r="P195" s="33"/>
      <c r="Q195" s="20">
        <v>500000.0</v>
      </c>
      <c r="R195" s="20"/>
      <c r="S195" s="21">
        <f t="shared" si="60"/>
        <v>495250</v>
      </c>
      <c r="T195" s="36"/>
      <c r="U195" s="13"/>
      <c r="V195" s="21">
        <f t="shared" ref="V195:X195" si="63">SUM(V193)-(V193*10%)</f>
        <v>134593.65</v>
      </c>
      <c r="W195" s="21">
        <f t="shared" si="63"/>
        <v>224322.75</v>
      </c>
      <c r="X195" s="23">
        <f t="shared" si="63"/>
        <v>314051.85</v>
      </c>
      <c r="Y195" s="60"/>
      <c r="Z195" s="32"/>
      <c r="AA195" s="25"/>
      <c r="AB195" s="33"/>
      <c r="AC195" s="20"/>
      <c r="AD195" s="20"/>
      <c r="AE195" s="21">
        <f t="shared" si="61"/>
        <v>0</v>
      </c>
      <c r="AF195" s="36"/>
      <c r="AG195" s="13"/>
      <c r="AH195" s="21">
        <f t="shared" ref="AH195:AJ195" si="64">SUM(AH193)-(AH193*10%)</f>
        <v>0</v>
      </c>
      <c r="AI195" s="21">
        <f t="shared" si="64"/>
        <v>0</v>
      </c>
      <c r="AJ195" s="23">
        <f t="shared" si="64"/>
        <v>0</v>
      </c>
      <c r="AK195" s="124"/>
      <c r="AL195" s="129"/>
      <c r="AM195" s="126"/>
      <c r="AN195" s="127"/>
      <c r="AO195" s="127"/>
      <c r="AP195" s="127"/>
      <c r="AQ195" s="128"/>
      <c r="AR195" s="22"/>
      <c r="AS195" s="13"/>
      <c r="AT195" s="128"/>
      <c r="AU195" s="128"/>
      <c r="AV195" s="128"/>
      <c r="AW195" s="124"/>
      <c r="AX195" s="127"/>
      <c r="AY195" s="129"/>
      <c r="AZ195" s="126"/>
      <c r="BA195" s="126"/>
      <c r="BB195" s="127"/>
      <c r="BC195" s="128"/>
      <c r="BD195" s="22"/>
      <c r="BE195" s="13"/>
      <c r="BF195" s="128"/>
      <c r="BG195" s="128"/>
      <c r="BH195" s="128"/>
      <c r="BI195" s="124"/>
      <c r="BJ195" s="127"/>
      <c r="BK195" s="129"/>
      <c r="BL195" s="126"/>
      <c r="BM195" s="126"/>
      <c r="BN195" s="127"/>
      <c r="BO195" s="128"/>
      <c r="BP195" s="22"/>
      <c r="BQ195" s="13"/>
      <c r="BR195" s="128"/>
      <c r="BS195" s="128"/>
      <c r="BT195" s="128"/>
      <c r="BU195" s="110"/>
      <c r="BV195" s="107"/>
      <c r="BW195" s="107"/>
      <c r="BX195" s="107"/>
      <c r="BY195" s="107"/>
      <c r="BZ195" s="107"/>
      <c r="CA195" s="111"/>
      <c r="CB195" s="107"/>
      <c r="CC195" s="107"/>
      <c r="CD195" s="111"/>
      <c r="CE195" s="111"/>
      <c r="CF195" s="111"/>
      <c r="CG195" s="107"/>
      <c r="CH195" s="107"/>
      <c r="CI195" s="107"/>
      <c r="CJ195" s="107"/>
    </row>
    <row r="196">
      <c r="A196" s="60">
        <v>45677.0</v>
      </c>
      <c r="B196" s="27"/>
      <c r="C196" s="17"/>
      <c r="D196" s="18">
        <v>1000000.0</v>
      </c>
      <c r="E196" s="20"/>
      <c r="F196" s="20"/>
      <c r="G196" s="21">
        <f t="shared" si="59"/>
        <v>1000000</v>
      </c>
      <c r="H196" s="13"/>
      <c r="I196" s="13"/>
      <c r="J196" s="13"/>
      <c r="K196" s="13"/>
      <c r="L196" s="14"/>
      <c r="M196" s="60">
        <v>45677.0</v>
      </c>
      <c r="N196" s="32"/>
      <c r="O196" s="93"/>
      <c r="P196" s="33"/>
      <c r="Q196" s="20"/>
      <c r="R196" s="20">
        <v>1250000.0</v>
      </c>
      <c r="S196" s="21">
        <f t="shared" si="60"/>
        <v>1056250</v>
      </c>
      <c r="T196" s="13"/>
      <c r="U196" s="13"/>
      <c r="V196" s="13"/>
      <c r="W196" s="13"/>
      <c r="X196" s="14"/>
      <c r="Y196" s="60"/>
      <c r="Z196" s="32"/>
      <c r="AA196" s="93"/>
      <c r="AB196" s="33"/>
      <c r="AC196" s="20"/>
      <c r="AD196" s="20"/>
      <c r="AE196" s="21">
        <f t="shared" si="61"/>
        <v>0</v>
      </c>
      <c r="AF196" s="13"/>
      <c r="AG196" s="13"/>
      <c r="AH196" s="13"/>
      <c r="AI196" s="13"/>
      <c r="AJ196" s="14"/>
      <c r="AK196" s="124"/>
      <c r="AL196" s="126"/>
      <c r="AM196" s="129"/>
      <c r="AN196" s="127"/>
      <c r="AO196" s="127"/>
      <c r="AP196" s="127"/>
      <c r="AQ196" s="128"/>
      <c r="AR196" s="13"/>
      <c r="AS196" s="13"/>
      <c r="AT196" s="13"/>
      <c r="AU196" s="13"/>
      <c r="AV196" s="13"/>
      <c r="AW196" s="124"/>
      <c r="AX196" s="129"/>
      <c r="AY196" s="126"/>
      <c r="AZ196" s="127"/>
      <c r="BA196" s="127"/>
      <c r="BB196" s="127"/>
      <c r="BC196" s="128"/>
      <c r="BD196" s="13"/>
      <c r="BE196" s="13"/>
      <c r="BF196" s="13"/>
      <c r="BG196" s="13"/>
      <c r="BH196" s="13"/>
      <c r="BI196" s="124"/>
      <c r="BJ196" s="129"/>
      <c r="BK196" s="126"/>
      <c r="BL196" s="127"/>
      <c r="BM196" s="127"/>
      <c r="BN196" s="127"/>
      <c r="BO196" s="128"/>
      <c r="BP196" s="13"/>
      <c r="BQ196" s="13"/>
      <c r="BR196" s="13"/>
      <c r="BS196" s="13"/>
      <c r="BT196" s="13"/>
      <c r="BU196" s="110"/>
      <c r="BV196" s="107"/>
      <c r="BW196" s="107"/>
      <c r="BX196" s="107"/>
      <c r="BY196" s="107"/>
      <c r="BZ196" s="107"/>
      <c r="CA196" s="111"/>
      <c r="CB196" s="107"/>
      <c r="CC196" s="107"/>
      <c r="CD196" s="107"/>
      <c r="CE196" s="107"/>
      <c r="CF196" s="107"/>
      <c r="CG196" s="107"/>
      <c r="CH196" s="107"/>
      <c r="CI196" s="107"/>
      <c r="CJ196" s="107"/>
    </row>
    <row r="197">
      <c r="A197" s="60"/>
      <c r="B197" s="39"/>
      <c r="C197" s="17"/>
      <c r="D197" s="18"/>
      <c r="E197" s="20"/>
      <c r="F197" s="20"/>
      <c r="G197" s="21">
        <f t="shared" si="59"/>
        <v>0</v>
      </c>
      <c r="H197" s="13"/>
      <c r="I197" s="13"/>
      <c r="J197" s="13"/>
      <c r="K197" s="13"/>
      <c r="L197" s="14"/>
      <c r="M197" s="60">
        <v>45678.0</v>
      </c>
      <c r="N197" s="32"/>
      <c r="O197" s="25"/>
      <c r="P197" s="33"/>
      <c r="Q197" s="20"/>
      <c r="R197" s="20">
        <v>250000.0</v>
      </c>
      <c r="S197" s="21">
        <f t="shared" si="60"/>
        <v>211250</v>
      </c>
      <c r="T197" s="13"/>
      <c r="U197" s="13"/>
      <c r="V197" s="13"/>
      <c r="W197" s="13"/>
      <c r="X197" s="14"/>
      <c r="Y197" s="60"/>
      <c r="Z197" s="32"/>
      <c r="AA197" s="25"/>
      <c r="AB197" s="33"/>
      <c r="AC197" s="20"/>
      <c r="AD197" s="20"/>
      <c r="AE197" s="21">
        <f t="shared" si="61"/>
        <v>0</v>
      </c>
      <c r="AF197" s="13"/>
      <c r="AG197" s="13"/>
      <c r="AH197" s="13"/>
      <c r="AI197" s="13"/>
      <c r="AJ197" s="14"/>
      <c r="AK197" s="124"/>
      <c r="AL197" s="127"/>
      <c r="AM197" s="126"/>
      <c r="AN197" s="127"/>
      <c r="AO197" s="127"/>
      <c r="AP197" s="127"/>
      <c r="AQ197" s="128"/>
      <c r="AR197" s="13"/>
      <c r="AS197" s="13"/>
      <c r="AT197" s="13"/>
      <c r="AU197" s="13"/>
      <c r="AV197" s="13"/>
      <c r="AW197" s="124"/>
      <c r="AX197" s="127"/>
      <c r="AY197" s="126"/>
      <c r="AZ197" s="127"/>
      <c r="BA197" s="127"/>
      <c r="BB197" s="127"/>
      <c r="BC197" s="128"/>
      <c r="BD197" s="13"/>
      <c r="BE197" s="13"/>
      <c r="BF197" s="13"/>
      <c r="BG197" s="13"/>
      <c r="BH197" s="13"/>
      <c r="BI197" s="124"/>
      <c r="BJ197" s="127"/>
      <c r="BK197" s="126"/>
      <c r="BL197" s="127"/>
      <c r="BM197" s="127"/>
      <c r="BN197" s="127"/>
      <c r="BO197" s="128"/>
      <c r="BP197" s="13"/>
      <c r="BQ197" s="13"/>
      <c r="BR197" s="13"/>
      <c r="BS197" s="13"/>
      <c r="BT197" s="13"/>
      <c r="BU197" s="110"/>
      <c r="BV197" s="107"/>
      <c r="BW197" s="107"/>
      <c r="BX197" s="107"/>
      <c r="BY197" s="107"/>
      <c r="BZ197" s="107"/>
      <c r="CA197" s="111"/>
      <c r="CB197" s="107"/>
      <c r="CC197" s="107"/>
      <c r="CD197" s="107"/>
      <c r="CE197" s="107"/>
      <c r="CF197" s="107"/>
      <c r="CG197" s="107"/>
      <c r="CH197" s="107"/>
      <c r="CI197" s="107"/>
      <c r="CJ197" s="107"/>
    </row>
    <row r="198">
      <c r="A198" s="60"/>
      <c r="B198" s="39"/>
      <c r="C198" s="43"/>
      <c r="D198" s="18"/>
      <c r="E198" s="20"/>
      <c r="F198" s="20"/>
      <c r="G198" s="21">
        <f t="shared" si="59"/>
        <v>0</v>
      </c>
      <c r="H198" s="13"/>
      <c r="I198" s="13"/>
      <c r="J198" s="13"/>
      <c r="K198" s="13">
        <f>H200</f>
        <v>7044785</v>
      </c>
      <c r="L198" s="14"/>
      <c r="M198" s="60">
        <v>45679.0</v>
      </c>
      <c r="N198" s="32"/>
      <c r="O198" s="25"/>
      <c r="P198" s="33"/>
      <c r="Q198" s="20"/>
      <c r="R198" s="20">
        <v>1000000.0</v>
      </c>
      <c r="S198" s="21">
        <f t="shared" si="60"/>
        <v>845000</v>
      </c>
      <c r="T198" s="13"/>
      <c r="U198" s="13"/>
      <c r="V198" s="13"/>
      <c r="W198" s="13"/>
      <c r="X198" s="14"/>
      <c r="Y198" s="60"/>
      <c r="Z198" s="32"/>
      <c r="AA198" s="25"/>
      <c r="AB198" s="33"/>
      <c r="AC198" s="20"/>
      <c r="AD198" s="20"/>
      <c r="AE198" s="21">
        <f t="shared" si="61"/>
        <v>0</v>
      </c>
      <c r="AF198" s="13"/>
      <c r="AG198" s="13"/>
      <c r="AH198" s="13"/>
      <c r="AI198" s="13"/>
      <c r="AJ198" s="14"/>
      <c r="AK198" s="124"/>
      <c r="AL198" s="129"/>
      <c r="AM198" s="126"/>
      <c r="AN198" s="127"/>
      <c r="AO198" s="127"/>
      <c r="AP198" s="127"/>
      <c r="AQ198" s="128"/>
      <c r="AR198" s="13"/>
      <c r="AS198" s="13"/>
      <c r="AT198" s="13"/>
      <c r="AU198" s="13"/>
      <c r="AV198" s="13"/>
      <c r="AW198" s="124"/>
      <c r="AX198" s="129"/>
      <c r="AY198" s="126"/>
      <c r="AZ198" s="127"/>
      <c r="BA198" s="127"/>
      <c r="BB198" s="127"/>
      <c r="BC198" s="128"/>
      <c r="BD198" s="13"/>
      <c r="BE198" s="13"/>
      <c r="BF198" s="13"/>
      <c r="BG198" s="13"/>
      <c r="BH198" s="13"/>
      <c r="BI198" s="124"/>
      <c r="BJ198" s="129"/>
      <c r="BK198" s="126"/>
      <c r="BL198" s="127"/>
      <c r="BM198" s="127"/>
      <c r="BN198" s="127"/>
      <c r="BO198" s="128"/>
      <c r="BP198" s="13"/>
      <c r="BQ198" s="13"/>
      <c r="BR198" s="13"/>
      <c r="BS198" s="13"/>
      <c r="BT198" s="13"/>
      <c r="BU198" s="110"/>
      <c r="BV198" s="107"/>
      <c r="BW198" s="107"/>
      <c r="BX198" s="107"/>
      <c r="BY198" s="107"/>
      <c r="BZ198" s="107"/>
      <c r="CA198" s="111"/>
      <c r="CB198" s="107"/>
      <c r="CC198" s="107"/>
      <c r="CD198" s="107"/>
      <c r="CE198" s="107"/>
      <c r="CF198" s="107"/>
      <c r="CG198" s="107"/>
      <c r="CH198" s="107"/>
      <c r="CI198" s="107"/>
      <c r="CJ198" s="107"/>
    </row>
    <row r="199">
      <c r="A199" s="60"/>
      <c r="B199" s="35"/>
      <c r="C199" s="17"/>
      <c r="D199" s="18"/>
      <c r="E199" s="20"/>
      <c r="F199" s="20"/>
      <c r="G199" s="21">
        <f t="shared" si="59"/>
        <v>0</v>
      </c>
      <c r="H199" s="94" t="s">
        <v>13</v>
      </c>
      <c r="I199" s="86" t="s">
        <v>57</v>
      </c>
      <c r="J199" s="86" t="s">
        <v>57</v>
      </c>
      <c r="K199" s="86" t="s">
        <v>65</v>
      </c>
      <c r="L199" s="95"/>
      <c r="M199" s="60">
        <v>45679.0</v>
      </c>
      <c r="N199" s="32"/>
      <c r="O199" s="25"/>
      <c r="P199" s="33"/>
      <c r="Q199" s="20">
        <v>500000.0</v>
      </c>
      <c r="R199" s="20"/>
      <c r="S199" s="21">
        <f t="shared" si="60"/>
        <v>495250</v>
      </c>
      <c r="T199" s="13"/>
      <c r="U199" s="13"/>
      <c r="V199" s="13"/>
      <c r="W199" s="13"/>
      <c r="X199" s="14"/>
      <c r="Y199" s="38"/>
      <c r="Z199" s="32"/>
      <c r="AA199" s="25"/>
      <c r="AB199" s="33"/>
      <c r="AC199" s="20"/>
      <c r="AD199" s="20"/>
      <c r="AE199" s="21">
        <f t="shared" si="61"/>
        <v>0</v>
      </c>
      <c r="AF199" s="13"/>
      <c r="AG199" s="13"/>
      <c r="AH199" s="13"/>
      <c r="AI199" s="13"/>
      <c r="AJ199" s="14"/>
      <c r="AK199" s="131"/>
      <c r="AL199" s="132"/>
      <c r="AM199" s="107"/>
      <c r="AN199" s="132"/>
      <c r="AO199" s="133"/>
      <c r="AP199" s="132"/>
      <c r="AQ199" s="128"/>
      <c r="AR199" s="13"/>
      <c r="AS199" s="13"/>
      <c r="AT199" s="13"/>
      <c r="AU199" s="13"/>
      <c r="AV199" s="13"/>
      <c r="AW199" s="124"/>
      <c r="AX199" s="132"/>
      <c r="AY199" s="107"/>
      <c r="AZ199" s="132"/>
      <c r="BA199" s="134"/>
      <c r="BB199" s="132"/>
      <c r="BC199" s="128"/>
      <c r="BD199" s="13"/>
      <c r="BE199" s="13"/>
      <c r="BF199" s="13"/>
      <c r="BG199" s="13"/>
      <c r="BH199" s="13"/>
      <c r="BI199" s="131"/>
      <c r="BJ199" s="132"/>
      <c r="BK199" s="107"/>
      <c r="BL199" s="132"/>
      <c r="BM199" s="133"/>
      <c r="BN199" s="132"/>
      <c r="BO199" s="128"/>
      <c r="BP199" s="13"/>
      <c r="BQ199" s="13"/>
      <c r="BR199" s="13"/>
      <c r="BS199" s="13"/>
      <c r="BT199" s="13"/>
      <c r="BU199" s="110"/>
      <c r="BV199" s="107"/>
      <c r="BW199" s="107"/>
      <c r="BX199" s="107"/>
      <c r="BY199" s="107"/>
      <c r="BZ199" s="107"/>
      <c r="CA199" s="111"/>
      <c r="CB199" s="107"/>
      <c r="CC199" s="107"/>
      <c r="CD199" s="107"/>
      <c r="CE199" s="107"/>
      <c r="CF199" s="107"/>
      <c r="CG199" s="107"/>
      <c r="CH199" s="107"/>
      <c r="CI199" s="107"/>
      <c r="CJ199" s="107"/>
    </row>
    <row r="200">
      <c r="A200" s="60"/>
      <c r="B200" s="16"/>
      <c r="C200" s="17"/>
      <c r="D200" s="42"/>
      <c r="E200" s="30"/>
      <c r="F200" s="30"/>
      <c r="G200" s="21">
        <f t="shared" si="59"/>
        <v>0</v>
      </c>
      <c r="H200" s="95">
        <f>AG193+I193+U193+AS193+BE193+BQ193+CC193</f>
        <v>7044785</v>
      </c>
      <c r="I200" s="102" t="s">
        <v>52</v>
      </c>
      <c r="J200" s="102" t="s">
        <v>44</v>
      </c>
      <c r="K200" s="102" t="s">
        <v>52</v>
      </c>
      <c r="L200" s="102" t="s">
        <v>44</v>
      </c>
      <c r="M200" s="60">
        <v>45686.0</v>
      </c>
      <c r="N200" s="37"/>
      <c r="O200" s="25"/>
      <c r="P200" s="41"/>
      <c r="Q200" s="20">
        <v>400000.0</v>
      </c>
      <c r="R200" s="20"/>
      <c r="S200" s="21">
        <f t="shared" si="60"/>
        <v>396200</v>
      </c>
      <c r="T200" s="13"/>
      <c r="U200" s="13"/>
      <c r="V200" s="13"/>
      <c r="W200" s="13"/>
      <c r="X200" s="14"/>
      <c r="Y200" s="38"/>
      <c r="Z200" s="37"/>
      <c r="AA200" s="25"/>
      <c r="AB200" s="41"/>
      <c r="AC200" s="20"/>
      <c r="AD200" s="20"/>
      <c r="AE200" s="21">
        <f t="shared" si="61"/>
        <v>0</v>
      </c>
      <c r="AF200" s="13"/>
      <c r="AG200" s="13"/>
      <c r="AH200" s="13"/>
      <c r="AI200" s="13"/>
      <c r="AJ200" s="14"/>
      <c r="AK200" s="135"/>
      <c r="AL200" s="127"/>
      <c r="AM200" s="129"/>
      <c r="AN200" s="129"/>
      <c r="AO200" s="127"/>
      <c r="AP200" s="127"/>
      <c r="AQ200" s="128"/>
      <c r="AR200" s="13"/>
      <c r="AS200" s="13"/>
      <c r="AT200" s="13"/>
      <c r="AU200" s="13"/>
      <c r="AV200" s="13"/>
      <c r="AW200" s="124"/>
      <c r="AX200" s="127"/>
      <c r="AY200" s="129"/>
      <c r="AZ200" s="129"/>
      <c r="BA200" s="127"/>
      <c r="BB200" s="127"/>
      <c r="BC200" s="128"/>
      <c r="BD200" s="13"/>
      <c r="BE200" s="13"/>
      <c r="BF200" s="13"/>
      <c r="BG200" s="13"/>
      <c r="BH200" s="13"/>
      <c r="BI200" s="135"/>
      <c r="BJ200" s="127"/>
      <c r="BK200" s="129"/>
      <c r="BL200" s="129"/>
      <c r="BM200" s="127"/>
      <c r="BN200" s="127"/>
      <c r="BO200" s="128"/>
      <c r="BP200" s="13"/>
      <c r="BQ200" s="13"/>
      <c r="BR200" s="13"/>
      <c r="BS200" s="13"/>
      <c r="BT200" s="13"/>
      <c r="BU200" s="107"/>
      <c r="BV200" s="107"/>
      <c r="BW200" s="107"/>
      <c r="BX200" s="107"/>
      <c r="BY200" s="107"/>
      <c r="BZ200" s="107"/>
      <c r="CA200" s="111"/>
      <c r="CB200" s="107"/>
      <c r="CC200" s="107"/>
      <c r="CD200" s="107"/>
      <c r="CE200" s="107"/>
      <c r="CF200" s="107"/>
      <c r="CG200" s="107"/>
      <c r="CH200" s="107"/>
      <c r="CI200" s="107"/>
      <c r="CJ200" s="107"/>
    </row>
    <row r="201">
      <c r="A201" s="60"/>
      <c r="B201" s="35"/>
      <c r="C201" s="17"/>
      <c r="D201" s="18"/>
      <c r="E201" s="20"/>
      <c r="F201" s="20"/>
      <c r="G201" s="21">
        <f t="shared" si="59"/>
        <v>0</v>
      </c>
      <c r="H201" s="95"/>
      <c r="I201" s="115">
        <f>SUM(H200)-(H200*99%)</f>
        <v>70447.85</v>
      </c>
      <c r="J201" s="87">
        <f>SUM(H200)-(H200*98.5%)</f>
        <v>105671.775</v>
      </c>
      <c r="K201" s="87">
        <f>SUM(K198)-(K198*99%)</f>
        <v>70447.85</v>
      </c>
      <c r="L201" s="87">
        <f>SUM(K198)-(K198*98.5%)</f>
        <v>105671.775</v>
      </c>
      <c r="M201" s="60">
        <v>45687.0</v>
      </c>
      <c r="N201" s="24"/>
      <c r="O201" s="25"/>
      <c r="P201" s="41"/>
      <c r="Q201" s="30">
        <v>750000.0</v>
      </c>
      <c r="R201" s="30"/>
      <c r="S201" s="21">
        <f t="shared" si="60"/>
        <v>742875</v>
      </c>
      <c r="T201" s="13"/>
      <c r="U201" s="13"/>
      <c r="V201" s="13"/>
      <c r="W201" s="13"/>
      <c r="X201" s="14"/>
      <c r="Y201" s="38"/>
      <c r="Z201" s="24"/>
      <c r="AA201" s="25"/>
      <c r="AB201" s="41"/>
      <c r="AC201" s="30"/>
      <c r="AD201" s="30"/>
      <c r="AE201" s="21">
        <f t="shared" si="61"/>
        <v>0</v>
      </c>
      <c r="AF201" s="13"/>
      <c r="AG201" s="13"/>
      <c r="AH201" s="13"/>
      <c r="AI201" s="13"/>
      <c r="AJ201" s="14"/>
      <c r="AK201" s="135"/>
      <c r="AL201" s="136"/>
      <c r="AM201" s="127"/>
      <c r="AN201" s="129"/>
      <c r="AO201" s="126"/>
      <c r="AP201" s="126"/>
      <c r="AQ201" s="128"/>
      <c r="AR201" s="13"/>
      <c r="AS201" s="13"/>
      <c r="AT201" s="13"/>
      <c r="AU201" s="13"/>
      <c r="AV201" s="13"/>
      <c r="AW201" s="135"/>
      <c r="AX201" s="136"/>
      <c r="AY201" s="127"/>
      <c r="AZ201" s="129"/>
      <c r="BA201" s="126"/>
      <c r="BB201" s="126"/>
      <c r="BC201" s="128"/>
      <c r="BD201" s="13"/>
      <c r="BE201" s="13"/>
      <c r="BF201" s="13"/>
      <c r="BG201" s="13"/>
      <c r="BH201" s="13"/>
      <c r="BI201" s="135"/>
      <c r="BJ201" s="136"/>
      <c r="BK201" s="127"/>
      <c r="BL201" s="129"/>
      <c r="BM201" s="126"/>
      <c r="BN201" s="126"/>
      <c r="BO201" s="128"/>
      <c r="BP201" s="13"/>
      <c r="BQ201" s="13"/>
      <c r="BR201" s="13"/>
      <c r="BS201" s="13"/>
      <c r="BT201" s="13"/>
      <c r="BU201" s="107"/>
      <c r="BV201" s="107"/>
      <c r="BW201" s="107"/>
      <c r="BX201" s="107"/>
      <c r="BY201" s="107"/>
      <c r="BZ201" s="107"/>
      <c r="CA201" s="111"/>
      <c r="CB201" s="107"/>
      <c r="CC201" s="107"/>
      <c r="CD201" s="107"/>
      <c r="CE201" s="107"/>
      <c r="CF201" s="107"/>
      <c r="CG201" s="107"/>
      <c r="CH201" s="107"/>
      <c r="CI201" s="107"/>
      <c r="CJ201" s="107"/>
    </row>
    <row r="202">
      <c r="A202" s="60"/>
      <c r="B202" s="24"/>
      <c r="C202" s="25"/>
      <c r="D202" s="41"/>
      <c r="E202" s="46"/>
      <c r="F202" s="46"/>
      <c r="G202" s="21">
        <f t="shared" si="59"/>
        <v>0</v>
      </c>
      <c r="H202" s="95"/>
      <c r="I202" s="86" t="s">
        <v>53</v>
      </c>
      <c r="J202" s="86" t="s">
        <v>36</v>
      </c>
      <c r="K202" s="86" t="s">
        <v>53</v>
      </c>
      <c r="L202" s="86" t="s">
        <v>36</v>
      </c>
      <c r="M202" s="38"/>
      <c r="N202" s="37"/>
      <c r="O202" s="25"/>
      <c r="P202" s="41"/>
      <c r="Q202" s="20"/>
      <c r="R202" s="20"/>
      <c r="S202" s="21">
        <f t="shared" si="60"/>
        <v>0</v>
      </c>
      <c r="T202" s="13"/>
      <c r="U202" s="13"/>
      <c r="V202" s="13"/>
      <c r="W202" s="13"/>
      <c r="X202" s="14"/>
      <c r="Y202" s="38"/>
      <c r="Z202" s="37"/>
      <c r="AA202" s="25"/>
      <c r="AB202" s="41"/>
      <c r="AC202" s="20"/>
      <c r="AD202" s="20"/>
      <c r="AE202" s="21">
        <f t="shared" si="61"/>
        <v>0</v>
      </c>
      <c r="AF202" s="13"/>
      <c r="AG202" s="13"/>
      <c r="AH202" s="13"/>
      <c r="AI202" s="13"/>
      <c r="AJ202" s="14"/>
      <c r="AK202" s="135"/>
      <c r="AL202" s="137"/>
      <c r="AM202" s="129"/>
      <c r="AN202" s="127"/>
      <c r="AO202" s="127"/>
      <c r="AP202" s="127"/>
      <c r="AQ202" s="128"/>
      <c r="AR202" s="13"/>
      <c r="AS202" s="13"/>
      <c r="AT202" s="13"/>
      <c r="AU202" s="13"/>
      <c r="AV202" s="13"/>
      <c r="AW202" s="135"/>
      <c r="AX202" s="137"/>
      <c r="AY202" s="129"/>
      <c r="AZ202" s="127"/>
      <c r="BA202" s="127"/>
      <c r="BB202" s="127"/>
      <c r="BC202" s="128"/>
      <c r="BD202" s="13"/>
      <c r="BE202" s="13"/>
      <c r="BF202" s="13"/>
      <c r="BG202" s="13"/>
      <c r="BH202" s="13"/>
      <c r="BI202" s="135"/>
      <c r="BJ202" s="137"/>
      <c r="BK202" s="129"/>
      <c r="BL202" s="127"/>
      <c r="BM202" s="127"/>
      <c r="BN202" s="127"/>
      <c r="BO202" s="128"/>
      <c r="BP202" s="13"/>
      <c r="BQ202" s="13"/>
      <c r="BR202" s="13"/>
      <c r="BS202" s="13"/>
      <c r="BT202" s="13"/>
      <c r="BU202" s="107"/>
      <c r="BV202" s="107"/>
      <c r="BW202" s="107"/>
      <c r="BX202" s="107"/>
      <c r="BY202" s="107"/>
      <c r="BZ202" s="107"/>
      <c r="CA202" s="111"/>
      <c r="CB202" s="107"/>
      <c r="CC202" s="107"/>
      <c r="CD202" s="107"/>
      <c r="CE202" s="107"/>
      <c r="CF202" s="107"/>
      <c r="CG202" s="107"/>
      <c r="CH202" s="107"/>
      <c r="CI202" s="107"/>
      <c r="CJ202" s="107"/>
    </row>
    <row r="203">
      <c r="A203" s="60"/>
      <c r="B203" s="47"/>
      <c r="C203" s="25"/>
      <c r="D203" s="33"/>
      <c r="E203" s="46"/>
      <c r="F203" s="46"/>
      <c r="G203" s="21">
        <f t="shared" si="59"/>
        <v>0</v>
      </c>
      <c r="H203" s="94" t="s">
        <v>12</v>
      </c>
      <c r="I203" s="87">
        <f t="shared" ref="I203:L203" si="65">SUM(I201)-(I201*10%)</f>
        <v>63403.065</v>
      </c>
      <c r="J203" s="87">
        <f t="shared" si="65"/>
        <v>95104.5975</v>
      </c>
      <c r="K203" s="87">
        <f t="shared" si="65"/>
        <v>63403.065</v>
      </c>
      <c r="L203" s="87">
        <f t="shared" si="65"/>
        <v>95104.5975</v>
      </c>
      <c r="M203" s="38"/>
      <c r="N203" s="24"/>
      <c r="O203" s="25"/>
      <c r="P203" s="41"/>
      <c r="Q203" s="46"/>
      <c r="R203" s="46"/>
      <c r="S203" s="21">
        <f t="shared" si="60"/>
        <v>0</v>
      </c>
      <c r="T203" s="13"/>
      <c r="U203" s="13"/>
      <c r="V203" s="13"/>
      <c r="W203" s="13"/>
      <c r="X203" s="14"/>
      <c r="Y203" s="38"/>
      <c r="Z203" s="24"/>
      <c r="AA203" s="25"/>
      <c r="AB203" s="41"/>
      <c r="AC203" s="46"/>
      <c r="AD203" s="46"/>
      <c r="AE203" s="21">
        <f t="shared" si="61"/>
        <v>0</v>
      </c>
      <c r="AF203" s="13"/>
      <c r="AG203" s="13"/>
      <c r="AH203" s="13"/>
      <c r="AI203" s="13"/>
      <c r="AJ203" s="14"/>
      <c r="AK203" s="135"/>
      <c r="AL203" s="125"/>
      <c r="AM203" s="129"/>
      <c r="AN203" s="129"/>
      <c r="AO203" s="67"/>
      <c r="AP203" s="67"/>
      <c r="AQ203" s="128"/>
      <c r="AR203" s="13"/>
      <c r="AS203" s="13"/>
      <c r="AT203" s="13"/>
      <c r="AU203" s="13"/>
      <c r="AV203" s="13"/>
      <c r="AW203" s="135"/>
      <c r="AX203" s="125"/>
      <c r="AY203" s="129"/>
      <c r="AZ203" s="129"/>
      <c r="BA203" s="67"/>
      <c r="BB203" s="67"/>
      <c r="BC203" s="128"/>
      <c r="BD203" s="13"/>
      <c r="BE203" s="13"/>
      <c r="BF203" s="13"/>
      <c r="BG203" s="13"/>
      <c r="BH203" s="13"/>
      <c r="BI203" s="135"/>
      <c r="BJ203" s="125"/>
      <c r="BK203" s="129"/>
      <c r="BL203" s="129"/>
      <c r="BM203" s="67"/>
      <c r="BN203" s="67"/>
      <c r="BO203" s="128"/>
      <c r="BP203" s="13"/>
      <c r="BQ203" s="13"/>
      <c r="BR203" s="13"/>
      <c r="BS203" s="13"/>
      <c r="BT203" s="13"/>
      <c r="BU203" s="107"/>
      <c r="BV203" s="107"/>
      <c r="BW203" s="107"/>
      <c r="BX203" s="107"/>
      <c r="BY203" s="107"/>
      <c r="BZ203" s="107"/>
      <c r="CA203" s="111"/>
      <c r="CB203" s="107"/>
      <c r="CC203" s="107"/>
      <c r="CD203" s="107"/>
      <c r="CE203" s="107"/>
      <c r="CF203" s="107"/>
      <c r="CG203" s="107"/>
      <c r="CH203" s="107"/>
      <c r="CI203" s="107"/>
      <c r="CJ203" s="107"/>
    </row>
    <row r="204">
      <c r="A204" s="105"/>
      <c r="B204" s="47"/>
      <c r="C204" s="25"/>
      <c r="D204" s="33"/>
      <c r="E204" s="46"/>
      <c r="F204" s="46"/>
      <c r="G204" s="21">
        <f t="shared" si="59"/>
        <v>0</v>
      </c>
      <c r="H204" s="95">
        <f>H193+T193+AF193+AR193+BD193+BP193+CB193</f>
        <v>7470000</v>
      </c>
      <c r="I204" s="95"/>
      <c r="J204" s="95"/>
      <c r="K204" s="86" t="s">
        <v>66</v>
      </c>
      <c r="L204" s="95"/>
      <c r="M204" s="38"/>
      <c r="N204" s="47"/>
      <c r="O204" s="25"/>
      <c r="P204" s="41"/>
      <c r="Q204" s="46"/>
      <c r="R204" s="46"/>
      <c r="S204" s="21">
        <f t="shared" si="60"/>
        <v>0</v>
      </c>
      <c r="T204" s="13"/>
      <c r="U204" s="13"/>
      <c r="V204" s="13"/>
      <c r="W204" s="13"/>
      <c r="X204" s="14"/>
      <c r="Y204" s="38"/>
      <c r="Z204" s="47"/>
      <c r="AA204" s="25"/>
      <c r="AB204" s="41"/>
      <c r="AC204" s="46"/>
      <c r="AD204" s="46"/>
      <c r="AE204" s="21">
        <f t="shared" si="61"/>
        <v>0</v>
      </c>
      <c r="AF204" s="13"/>
      <c r="AG204" s="13"/>
      <c r="AH204" s="13"/>
      <c r="AI204" s="13"/>
      <c r="AJ204" s="14"/>
      <c r="AK204" s="135"/>
      <c r="AL204" s="138"/>
      <c r="AM204" s="129"/>
      <c r="AN204" s="127"/>
      <c r="AO204" s="67"/>
      <c r="AP204" s="67"/>
      <c r="AQ204" s="128"/>
      <c r="AR204" s="13"/>
      <c r="AS204" s="13"/>
      <c r="AT204" s="13"/>
      <c r="AU204" s="13"/>
      <c r="AV204" s="13"/>
      <c r="AW204" s="135"/>
      <c r="AX204" s="138"/>
      <c r="AY204" s="129"/>
      <c r="AZ204" s="127"/>
      <c r="BA204" s="67"/>
      <c r="BB204" s="67"/>
      <c r="BC204" s="128"/>
      <c r="BD204" s="13"/>
      <c r="BE204" s="13"/>
      <c r="BF204" s="13"/>
      <c r="BG204" s="13"/>
      <c r="BH204" s="13"/>
      <c r="BI204" s="135"/>
      <c r="BJ204" s="138"/>
      <c r="BK204" s="129"/>
      <c r="BL204" s="127"/>
      <c r="BM204" s="67"/>
      <c r="BN204" s="67"/>
      <c r="BO204" s="128"/>
      <c r="BP204" s="13"/>
      <c r="BQ204" s="13"/>
      <c r="BR204" s="13"/>
      <c r="BS204" s="13"/>
      <c r="BT204" s="13"/>
      <c r="BU204" s="107"/>
      <c r="BV204" s="107"/>
      <c r="BW204" s="107"/>
      <c r="BX204" s="107"/>
      <c r="BY204" s="107"/>
      <c r="BZ204" s="107"/>
      <c r="CA204" s="111"/>
      <c r="CB204" s="107"/>
      <c r="CC204" s="107"/>
      <c r="CD204" s="107"/>
      <c r="CE204" s="107"/>
      <c r="CF204" s="107"/>
      <c r="CG204" s="107"/>
      <c r="CH204" s="107"/>
      <c r="CI204" s="107"/>
      <c r="CJ204" s="107"/>
    </row>
    <row r="205">
      <c r="A205" s="105"/>
      <c r="B205" s="32"/>
      <c r="C205" s="25"/>
      <c r="D205" s="41"/>
      <c r="E205" s="46"/>
      <c r="F205" s="46"/>
      <c r="G205" s="21">
        <f t="shared" si="59"/>
        <v>0</v>
      </c>
      <c r="H205" s="95"/>
      <c r="I205" s="95"/>
      <c r="J205" s="95"/>
      <c r="K205" s="95">
        <f>J195+K203</f>
        <v>119018.61</v>
      </c>
      <c r="L205" s="95"/>
      <c r="M205" s="38"/>
      <c r="N205" s="32"/>
      <c r="O205" s="25"/>
      <c r="P205" s="41"/>
      <c r="Q205" s="46"/>
      <c r="R205" s="46"/>
      <c r="S205" s="21">
        <f t="shared" si="60"/>
        <v>0</v>
      </c>
      <c r="T205" s="13"/>
      <c r="U205" s="13"/>
      <c r="V205" s="13"/>
      <c r="W205" s="13"/>
      <c r="X205" s="14"/>
      <c r="Y205" s="38"/>
      <c r="Z205" s="32"/>
      <c r="AA205" s="25"/>
      <c r="AB205" s="41"/>
      <c r="AC205" s="46"/>
      <c r="AD205" s="46"/>
      <c r="AE205" s="21">
        <f t="shared" si="61"/>
        <v>0</v>
      </c>
      <c r="AF205" s="13"/>
      <c r="AG205" s="13"/>
      <c r="AH205" s="13"/>
      <c r="AI205" s="13"/>
      <c r="AJ205" s="14"/>
      <c r="AK205" s="135"/>
      <c r="AL205" s="127"/>
      <c r="AM205" s="129"/>
      <c r="AN205" s="129"/>
      <c r="AO205" s="67"/>
      <c r="AP205" s="67"/>
      <c r="AQ205" s="128"/>
      <c r="AR205" s="13"/>
      <c r="AS205" s="13"/>
      <c r="AT205" s="13"/>
      <c r="AU205" s="13"/>
      <c r="AV205" s="13"/>
      <c r="AW205" s="135"/>
      <c r="AX205" s="127"/>
      <c r="AY205" s="129"/>
      <c r="AZ205" s="129"/>
      <c r="BA205" s="67"/>
      <c r="BB205" s="67"/>
      <c r="BC205" s="128"/>
      <c r="BD205" s="13"/>
      <c r="BE205" s="13"/>
      <c r="BF205" s="13"/>
      <c r="BG205" s="13"/>
      <c r="BH205" s="13"/>
      <c r="BI205" s="135"/>
      <c r="BJ205" s="127"/>
      <c r="BK205" s="129"/>
      <c r="BL205" s="129"/>
      <c r="BM205" s="67"/>
      <c r="BN205" s="67"/>
      <c r="BO205" s="128"/>
      <c r="BP205" s="13"/>
      <c r="BQ205" s="13"/>
      <c r="BR205" s="13"/>
      <c r="BS205" s="13"/>
      <c r="BT205" s="13"/>
      <c r="BU205" s="107"/>
      <c r="BV205" s="107"/>
      <c r="BW205" s="107"/>
      <c r="BX205" s="107"/>
      <c r="BY205" s="107"/>
      <c r="BZ205" s="107"/>
      <c r="CA205" s="111"/>
      <c r="CB205" s="107"/>
      <c r="CC205" s="107"/>
      <c r="CD205" s="107"/>
      <c r="CE205" s="107"/>
      <c r="CF205" s="107"/>
      <c r="CG205" s="107"/>
      <c r="CH205" s="107"/>
      <c r="CI205" s="107"/>
      <c r="CJ205" s="107"/>
    </row>
    <row r="206">
      <c r="A206" s="105"/>
      <c r="B206" s="47"/>
      <c r="C206" s="25"/>
      <c r="D206" s="41"/>
      <c r="E206" s="46"/>
      <c r="F206" s="46"/>
      <c r="G206" s="21">
        <f t="shared" si="59"/>
        <v>0</v>
      </c>
      <c r="H206" s="13"/>
      <c r="I206" s="13"/>
      <c r="J206" s="13"/>
      <c r="K206" s="13"/>
      <c r="L206" s="14"/>
      <c r="M206" s="38"/>
      <c r="N206" s="47"/>
      <c r="O206" s="25"/>
      <c r="P206" s="41"/>
      <c r="Q206" s="46"/>
      <c r="R206" s="46"/>
      <c r="S206" s="21">
        <f t="shared" si="60"/>
        <v>0</v>
      </c>
      <c r="T206" s="13"/>
      <c r="U206" s="116"/>
      <c r="V206" s="117" t="s">
        <v>59</v>
      </c>
      <c r="W206" s="116"/>
      <c r="X206" s="14"/>
      <c r="Y206" s="38"/>
      <c r="Z206" s="47"/>
      <c r="AA206" s="25"/>
      <c r="AB206" s="41"/>
      <c r="AC206" s="46"/>
      <c r="AD206" s="46"/>
      <c r="AE206" s="21">
        <f t="shared" si="61"/>
        <v>0</v>
      </c>
      <c r="AF206" s="13"/>
      <c r="AG206" s="116"/>
      <c r="AH206" s="117" t="s">
        <v>59</v>
      </c>
      <c r="AI206" s="116"/>
      <c r="AJ206" s="14"/>
      <c r="AK206" s="135"/>
      <c r="AL206" s="135"/>
      <c r="AM206" s="13"/>
      <c r="AN206" s="13"/>
      <c r="AO206" s="67"/>
      <c r="AP206" s="67"/>
      <c r="AQ206" s="128"/>
      <c r="AR206" s="13"/>
      <c r="AS206" s="13"/>
      <c r="AT206" s="67"/>
      <c r="AU206" s="13"/>
      <c r="AV206" s="13"/>
      <c r="AW206" s="135"/>
      <c r="AX206" s="135"/>
      <c r="AY206" s="13"/>
      <c r="AZ206" s="13"/>
      <c r="BA206" s="67"/>
      <c r="BB206" s="67"/>
      <c r="BC206" s="128"/>
      <c r="BD206" s="13"/>
      <c r="BE206" s="13"/>
      <c r="BF206" s="67"/>
      <c r="BG206" s="13"/>
      <c r="BH206" s="13"/>
      <c r="BI206" s="135"/>
      <c r="BJ206" s="135"/>
      <c r="BK206" s="13"/>
      <c r="BL206" s="13"/>
      <c r="BM206" s="67"/>
      <c r="BN206" s="67"/>
      <c r="BO206" s="128"/>
      <c r="BP206" s="13"/>
      <c r="BQ206" s="13"/>
      <c r="BR206" s="67"/>
      <c r="BS206" s="13"/>
      <c r="BT206" s="13"/>
      <c r="BU206" s="107"/>
      <c r="BV206" s="107"/>
      <c r="BW206" s="107"/>
      <c r="BX206" s="107"/>
      <c r="BY206" s="107"/>
      <c r="BZ206" s="107"/>
      <c r="CA206" s="111"/>
      <c r="CB206" s="107"/>
      <c r="CC206" s="107"/>
      <c r="CD206" s="107"/>
      <c r="CE206" s="107"/>
      <c r="CF206" s="107"/>
      <c r="CG206" s="107"/>
      <c r="CH206" s="107"/>
      <c r="CI206" s="107"/>
      <c r="CJ206" s="107"/>
    </row>
    <row r="207">
      <c r="A207" s="38"/>
      <c r="B207" s="47"/>
      <c r="C207" s="25"/>
      <c r="D207" s="41"/>
      <c r="E207" s="46"/>
      <c r="F207" s="46"/>
      <c r="G207" s="21">
        <f t="shared" si="59"/>
        <v>0</v>
      </c>
      <c r="H207" s="116"/>
      <c r="I207" s="117" t="s">
        <v>61</v>
      </c>
      <c r="J207" s="116"/>
      <c r="K207" s="13"/>
      <c r="L207" s="14"/>
      <c r="M207" s="38"/>
      <c r="N207" s="47"/>
      <c r="O207" s="25"/>
      <c r="P207" s="41"/>
      <c r="Q207" s="46"/>
      <c r="R207" s="46"/>
      <c r="S207" s="21">
        <f t="shared" si="60"/>
        <v>0</v>
      </c>
      <c r="T207" s="13"/>
      <c r="U207" s="118">
        <v>0.03</v>
      </c>
      <c r="V207" s="118">
        <v>0.05</v>
      </c>
      <c r="W207" s="118">
        <v>0.07</v>
      </c>
      <c r="X207" s="14"/>
      <c r="Y207" s="38"/>
      <c r="Z207" s="47"/>
      <c r="AA207" s="25"/>
      <c r="AB207" s="41"/>
      <c r="AC207" s="46"/>
      <c r="AD207" s="46"/>
      <c r="AE207" s="21">
        <f t="shared" si="61"/>
        <v>0</v>
      </c>
      <c r="AF207" s="13"/>
      <c r="AG207" s="118">
        <v>0.03</v>
      </c>
      <c r="AH207" s="118">
        <v>0.05</v>
      </c>
      <c r="AI207" s="118">
        <v>0.07</v>
      </c>
      <c r="AJ207" s="14"/>
      <c r="AK207" s="135"/>
      <c r="AL207" s="135"/>
      <c r="AM207" s="13"/>
      <c r="AN207" s="13"/>
      <c r="AO207" s="67"/>
      <c r="AP207" s="67"/>
      <c r="AQ207" s="128"/>
      <c r="AR207" s="13"/>
      <c r="AS207" s="139"/>
      <c r="AT207" s="139"/>
      <c r="AU207" s="139"/>
      <c r="AV207" s="13"/>
      <c r="AW207" s="135"/>
      <c r="AX207" s="135"/>
      <c r="AY207" s="13"/>
      <c r="AZ207" s="13"/>
      <c r="BA207" s="67"/>
      <c r="BB207" s="67"/>
      <c r="BC207" s="128"/>
      <c r="BD207" s="13"/>
      <c r="BE207" s="139"/>
      <c r="BF207" s="139"/>
      <c r="BG207" s="139"/>
      <c r="BH207" s="13"/>
      <c r="BI207" s="135"/>
      <c r="BJ207" s="135"/>
      <c r="BK207" s="13"/>
      <c r="BL207" s="13"/>
      <c r="BM207" s="67"/>
      <c r="BN207" s="67"/>
      <c r="BO207" s="128"/>
      <c r="BP207" s="13"/>
      <c r="BQ207" s="139"/>
      <c r="BR207" s="139"/>
      <c r="BS207" s="139"/>
      <c r="BT207" s="13"/>
      <c r="BU207" s="107"/>
      <c r="BV207" s="107"/>
      <c r="BW207" s="107"/>
      <c r="BX207" s="107"/>
      <c r="BY207" s="107"/>
      <c r="BZ207" s="107"/>
      <c r="CA207" s="111"/>
      <c r="CB207" s="107"/>
      <c r="CC207" s="107"/>
      <c r="CD207" s="107"/>
      <c r="CE207" s="107"/>
      <c r="CF207" s="107"/>
      <c r="CG207" s="107"/>
      <c r="CH207" s="107"/>
      <c r="CI207" s="107"/>
      <c r="CJ207" s="107"/>
    </row>
    <row r="208">
      <c r="A208" s="38"/>
      <c r="B208" s="47"/>
      <c r="C208" s="25"/>
      <c r="D208" s="41"/>
      <c r="E208" s="46"/>
      <c r="F208" s="46"/>
      <c r="G208" s="21">
        <f t="shared" si="59"/>
        <v>0</v>
      </c>
      <c r="H208" s="118">
        <v>0.03</v>
      </c>
      <c r="I208" s="118">
        <v>0.05</v>
      </c>
      <c r="J208" s="118">
        <v>0.07</v>
      </c>
      <c r="K208" s="13"/>
      <c r="L208" s="14"/>
      <c r="M208" s="38"/>
      <c r="N208" s="47"/>
      <c r="O208" s="25"/>
      <c r="P208" s="41"/>
      <c r="Q208" s="46"/>
      <c r="R208" s="46"/>
      <c r="S208" s="21">
        <f t="shared" si="60"/>
        <v>0</v>
      </c>
      <c r="T208" s="13"/>
      <c r="U208" s="117">
        <v>7.0</v>
      </c>
      <c r="V208" s="117">
        <v>12.0</v>
      </c>
      <c r="W208" s="117">
        <v>15.0</v>
      </c>
      <c r="X208" s="14"/>
      <c r="Y208" s="38"/>
      <c r="Z208" s="47"/>
      <c r="AA208" s="25"/>
      <c r="AB208" s="41"/>
      <c r="AC208" s="46"/>
      <c r="AD208" s="46"/>
      <c r="AE208" s="21">
        <f t="shared" si="61"/>
        <v>0</v>
      </c>
      <c r="AF208" s="13"/>
      <c r="AG208" s="117">
        <v>7.0</v>
      </c>
      <c r="AH208" s="117">
        <v>12.0</v>
      </c>
      <c r="AI208" s="117">
        <v>15.0</v>
      </c>
      <c r="AJ208" s="14"/>
      <c r="AK208" s="135"/>
      <c r="AL208" s="135"/>
      <c r="AM208" s="13"/>
      <c r="AN208" s="13"/>
      <c r="AO208" s="67"/>
      <c r="AP208" s="67"/>
      <c r="AQ208" s="128"/>
      <c r="AR208" s="13"/>
      <c r="AS208" s="67"/>
      <c r="AT208" s="67"/>
      <c r="AU208" s="67"/>
      <c r="AV208" s="13"/>
      <c r="AW208" s="135"/>
      <c r="AX208" s="135"/>
      <c r="AY208" s="13"/>
      <c r="AZ208" s="13"/>
      <c r="BA208" s="67"/>
      <c r="BB208" s="67"/>
      <c r="BC208" s="128"/>
      <c r="BD208" s="13"/>
      <c r="BE208" s="67"/>
      <c r="BF208" s="67"/>
      <c r="BG208" s="67"/>
      <c r="BH208" s="13"/>
      <c r="BI208" s="135"/>
      <c r="BJ208" s="135"/>
      <c r="BK208" s="13"/>
      <c r="BL208" s="13"/>
      <c r="BM208" s="67"/>
      <c r="BN208" s="67"/>
      <c r="BO208" s="128"/>
      <c r="BP208" s="13"/>
      <c r="BQ208" s="67"/>
      <c r="BR208" s="67"/>
      <c r="BS208" s="67"/>
      <c r="BT208" s="13"/>
      <c r="BU208" s="107"/>
      <c r="BV208" s="107"/>
      <c r="BW208" s="107"/>
      <c r="BX208" s="107"/>
      <c r="BY208" s="107"/>
      <c r="BZ208" s="107"/>
      <c r="CA208" s="111"/>
      <c r="CB208" s="107"/>
      <c r="CC208" s="107"/>
      <c r="CD208" s="107"/>
      <c r="CE208" s="107"/>
      <c r="CF208" s="107"/>
      <c r="CG208" s="107"/>
      <c r="CH208" s="107"/>
      <c r="CI208" s="107"/>
      <c r="CJ208" s="107"/>
    </row>
    <row r="209">
      <c r="A209" s="38"/>
      <c r="B209" s="32"/>
      <c r="C209" s="25"/>
      <c r="D209" s="41"/>
      <c r="E209" s="49"/>
      <c r="F209" s="49"/>
      <c r="G209" s="21">
        <f t="shared" si="59"/>
        <v>0</v>
      </c>
      <c r="H209" s="117">
        <v>7.0</v>
      </c>
      <c r="I209" s="117">
        <v>12.0</v>
      </c>
      <c r="J209" s="117">
        <v>15.0</v>
      </c>
      <c r="K209" s="13"/>
      <c r="L209" s="14"/>
      <c r="M209" s="38"/>
      <c r="N209" s="32"/>
      <c r="O209" s="25"/>
      <c r="P209" s="41"/>
      <c r="Q209" s="49"/>
      <c r="R209" s="49"/>
      <c r="S209" s="21">
        <f t="shared" si="60"/>
        <v>0</v>
      </c>
      <c r="T209" s="13"/>
      <c r="U209" s="13"/>
      <c r="V209" s="13"/>
      <c r="W209" s="13"/>
      <c r="X209" s="14"/>
      <c r="Y209" s="38"/>
      <c r="Z209" s="32"/>
      <c r="AA209" s="25"/>
      <c r="AB209" s="41"/>
      <c r="AC209" s="49"/>
      <c r="AD209" s="49"/>
      <c r="AE209" s="21">
        <f t="shared" si="61"/>
        <v>0</v>
      </c>
      <c r="AF209" s="13"/>
      <c r="AG209" s="13"/>
      <c r="AH209" s="13"/>
      <c r="AI209" s="13"/>
      <c r="AJ209" s="14"/>
      <c r="AK209" s="135"/>
      <c r="AL209" s="13"/>
      <c r="AM209" s="13"/>
      <c r="AN209" s="13"/>
      <c r="AO209" s="13"/>
      <c r="AP209" s="13"/>
      <c r="AQ209" s="128"/>
      <c r="AR209" s="13"/>
      <c r="AS209" s="13"/>
      <c r="AT209" s="13"/>
      <c r="AU209" s="13"/>
      <c r="AV209" s="13"/>
      <c r="AW209" s="135"/>
      <c r="AX209" s="13"/>
      <c r="AY209" s="13"/>
      <c r="AZ209" s="13"/>
      <c r="BA209" s="13"/>
      <c r="BB209" s="13"/>
      <c r="BC209" s="128"/>
      <c r="BD209" s="13"/>
      <c r="BE209" s="13"/>
      <c r="BF209" s="13"/>
      <c r="BG209" s="13"/>
      <c r="BH209" s="13"/>
      <c r="BI209" s="135"/>
      <c r="BJ209" s="13"/>
      <c r="BK209" s="13"/>
      <c r="BL209" s="13"/>
      <c r="BM209" s="13"/>
      <c r="BN209" s="13"/>
      <c r="BO209" s="128"/>
      <c r="BP209" s="13"/>
      <c r="BQ209" s="13"/>
      <c r="BR209" s="13"/>
      <c r="BS209" s="13"/>
      <c r="BT209" s="13"/>
      <c r="BU209" s="107"/>
      <c r="BV209" s="107"/>
      <c r="BW209" s="107"/>
      <c r="BX209" s="107"/>
      <c r="BY209" s="107"/>
      <c r="BZ209" s="107"/>
      <c r="CA209" s="111"/>
      <c r="CB209" s="107"/>
      <c r="CC209" s="107"/>
      <c r="CD209" s="107"/>
      <c r="CE209" s="107"/>
      <c r="CF209" s="107"/>
      <c r="CG209" s="107"/>
      <c r="CH209" s="107"/>
      <c r="CI209" s="107"/>
      <c r="CJ209" s="107"/>
    </row>
    <row r="210">
      <c r="A210" s="38"/>
      <c r="B210" s="32"/>
      <c r="C210" s="25"/>
      <c r="D210" s="41"/>
      <c r="E210" s="49"/>
      <c r="F210" s="49"/>
      <c r="G210" s="21">
        <f t="shared" si="59"/>
        <v>0</v>
      </c>
      <c r="H210" s="13"/>
      <c r="I210" s="13"/>
      <c r="J210" s="13"/>
      <c r="K210" s="13"/>
      <c r="L210" s="14"/>
      <c r="M210" s="38"/>
      <c r="N210" s="32"/>
      <c r="O210" s="25"/>
      <c r="P210" s="41"/>
      <c r="Q210" s="49"/>
      <c r="R210" s="49"/>
      <c r="S210" s="21">
        <f t="shared" si="60"/>
        <v>0</v>
      </c>
      <c r="T210" s="13"/>
      <c r="U210" s="13"/>
      <c r="V210" s="13"/>
      <c r="W210" s="13"/>
      <c r="X210" s="14"/>
      <c r="Y210" s="38"/>
      <c r="Z210" s="32"/>
      <c r="AA210" s="25"/>
      <c r="AB210" s="41"/>
      <c r="AC210" s="49"/>
      <c r="AD210" s="49"/>
      <c r="AE210" s="21">
        <f t="shared" si="61"/>
        <v>0</v>
      </c>
      <c r="AF210" s="13"/>
      <c r="AG210" s="13"/>
      <c r="AH210" s="13"/>
      <c r="AI210" s="13"/>
      <c r="AJ210" s="14"/>
      <c r="AK210" s="135"/>
      <c r="AL210" s="13"/>
      <c r="AM210" s="13"/>
      <c r="AN210" s="13"/>
      <c r="AO210" s="13"/>
      <c r="AP210" s="13"/>
      <c r="AQ210" s="128"/>
      <c r="AR210" s="13"/>
      <c r="AS210" s="13"/>
      <c r="AT210" s="13"/>
      <c r="AU210" s="13"/>
      <c r="AV210" s="13"/>
      <c r="AW210" s="135"/>
      <c r="AX210" s="13"/>
      <c r="AY210" s="13"/>
      <c r="AZ210" s="13"/>
      <c r="BA210" s="13"/>
      <c r="BB210" s="13"/>
      <c r="BC210" s="128"/>
      <c r="BD210" s="13"/>
      <c r="BE210" s="13"/>
      <c r="BF210" s="13"/>
      <c r="BG210" s="13"/>
      <c r="BH210" s="13"/>
      <c r="BI210" s="135"/>
      <c r="BJ210" s="13"/>
      <c r="BK210" s="13"/>
      <c r="BL210" s="13"/>
      <c r="BM210" s="13"/>
      <c r="BN210" s="13"/>
      <c r="BO210" s="128"/>
      <c r="BP210" s="13"/>
      <c r="BQ210" s="13"/>
      <c r="BR210" s="13"/>
      <c r="BS210" s="13"/>
      <c r="BT210" s="13"/>
      <c r="BU210" s="107"/>
      <c r="BV210" s="107"/>
      <c r="BW210" s="107"/>
      <c r="BX210" s="107"/>
      <c r="BY210" s="107"/>
      <c r="BZ210" s="107"/>
      <c r="CA210" s="111"/>
      <c r="CB210" s="107"/>
      <c r="CC210" s="107"/>
      <c r="CD210" s="107"/>
      <c r="CE210" s="107"/>
      <c r="CF210" s="107"/>
      <c r="CG210" s="107"/>
      <c r="CH210" s="107"/>
      <c r="CI210" s="107"/>
      <c r="CJ210" s="107"/>
    </row>
    <row r="211">
      <c r="A211" s="38"/>
      <c r="B211" s="32"/>
      <c r="C211" s="25"/>
      <c r="D211" s="41"/>
      <c r="E211" s="49"/>
      <c r="F211" s="49"/>
      <c r="G211" s="21">
        <f t="shared" si="59"/>
        <v>0</v>
      </c>
      <c r="H211" s="13"/>
      <c r="I211" s="13"/>
      <c r="J211" s="67">
        <v>30.0</v>
      </c>
      <c r="K211" s="13"/>
      <c r="L211" s="14"/>
      <c r="M211" s="38"/>
      <c r="N211" s="32"/>
      <c r="O211" s="25"/>
      <c r="P211" s="41"/>
      <c r="Q211" s="49"/>
      <c r="R211" s="49"/>
      <c r="S211" s="21">
        <f t="shared" si="60"/>
        <v>0</v>
      </c>
      <c r="T211" s="13"/>
      <c r="U211" s="13"/>
      <c r="V211" s="13"/>
      <c r="W211" s="13"/>
      <c r="X211" s="14"/>
      <c r="Y211" s="38"/>
      <c r="Z211" s="32"/>
      <c r="AA211" s="25"/>
      <c r="AB211" s="41"/>
      <c r="AC211" s="49"/>
      <c r="AD211" s="49"/>
      <c r="AE211" s="21">
        <f t="shared" si="61"/>
        <v>0</v>
      </c>
      <c r="AF211" s="13"/>
      <c r="AG211" s="13"/>
      <c r="AH211" s="13"/>
      <c r="AI211" s="13"/>
      <c r="AJ211" s="14"/>
      <c r="AK211" s="135"/>
      <c r="AL211" s="13"/>
      <c r="AM211" s="13"/>
      <c r="AN211" s="13"/>
      <c r="AO211" s="13"/>
      <c r="AP211" s="13"/>
      <c r="AQ211" s="128"/>
      <c r="AR211" s="13"/>
      <c r="AS211" s="13"/>
      <c r="AT211" s="13"/>
      <c r="AU211" s="13"/>
      <c r="AV211" s="13"/>
      <c r="AW211" s="135"/>
      <c r="AX211" s="13"/>
      <c r="AY211" s="13"/>
      <c r="AZ211" s="13"/>
      <c r="BA211" s="13"/>
      <c r="BB211" s="13"/>
      <c r="BC211" s="128"/>
      <c r="BD211" s="13"/>
      <c r="BE211" s="13"/>
      <c r="BF211" s="13"/>
      <c r="BG211" s="13"/>
      <c r="BH211" s="13"/>
      <c r="BI211" s="135"/>
      <c r="BJ211" s="13"/>
      <c r="BK211" s="13"/>
      <c r="BL211" s="13"/>
      <c r="BM211" s="13"/>
      <c r="BN211" s="13"/>
      <c r="BO211" s="128"/>
      <c r="BP211" s="13"/>
      <c r="BQ211" s="13"/>
      <c r="BR211" s="13"/>
      <c r="BS211" s="13"/>
      <c r="BT211" s="13"/>
      <c r="BU211" s="107"/>
      <c r="BV211" s="107"/>
      <c r="BW211" s="107"/>
      <c r="BX211" s="107"/>
      <c r="BY211" s="107"/>
      <c r="BZ211" s="107"/>
      <c r="CA211" s="111"/>
      <c r="CB211" s="107"/>
      <c r="CC211" s="107"/>
      <c r="CD211" s="107"/>
      <c r="CE211" s="107"/>
      <c r="CF211" s="107"/>
      <c r="CG211" s="107"/>
      <c r="CH211" s="107"/>
      <c r="CI211" s="107"/>
      <c r="CJ211" s="107"/>
    </row>
    <row r="212">
      <c r="A212" s="38"/>
      <c r="B212" s="32"/>
      <c r="C212" s="25"/>
      <c r="D212" s="41"/>
      <c r="E212" s="46"/>
      <c r="F212" s="46"/>
      <c r="G212" s="21">
        <f t="shared" si="59"/>
        <v>0</v>
      </c>
      <c r="H212" s="13"/>
      <c r="I212" s="67"/>
      <c r="J212" s="13"/>
      <c r="K212" s="13"/>
      <c r="L212" s="14"/>
      <c r="M212" s="38"/>
      <c r="N212" s="32"/>
      <c r="O212" s="25"/>
      <c r="P212" s="41"/>
      <c r="Q212" s="46"/>
      <c r="R212" s="46"/>
      <c r="S212" s="21">
        <f t="shared" si="60"/>
        <v>0</v>
      </c>
      <c r="T212" s="13"/>
      <c r="U212" s="13"/>
      <c r="V212" s="13"/>
      <c r="W212" s="13"/>
      <c r="X212" s="14"/>
      <c r="Y212" s="38"/>
      <c r="Z212" s="32"/>
      <c r="AA212" s="25"/>
      <c r="AB212" s="41"/>
      <c r="AC212" s="46"/>
      <c r="AD212" s="46"/>
      <c r="AE212" s="21">
        <f t="shared" si="61"/>
        <v>0</v>
      </c>
      <c r="AF212" s="13"/>
      <c r="AG212" s="13"/>
      <c r="AH212" s="13"/>
      <c r="AI212" s="13"/>
      <c r="AJ212" s="14"/>
      <c r="AK212" s="135"/>
      <c r="AL212" s="13"/>
      <c r="AM212" s="13"/>
      <c r="AN212" s="13"/>
      <c r="AO212" s="67"/>
      <c r="AP212" s="67"/>
      <c r="AQ212" s="128"/>
      <c r="AR212" s="13"/>
      <c r="AS212" s="13"/>
      <c r="AT212" s="13"/>
      <c r="AU212" s="13"/>
      <c r="AV212" s="13"/>
      <c r="AW212" s="135"/>
      <c r="AX212" s="13"/>
      <c r="AY212" s="13"/>
      <c r="AZ212" s="13"/>
      <c r="BA212" s="67"/>
      <c r="BB212" s="67"/>
      <c r="BC212" s="128"/>
      <c r="BD212" s="13"/>
      <c r="BE212" s="13"/>
      <c r="BF212" s="13"/>
      <c r="BG212" s="13"/>
      <c r="BH212" s="13"/>
      <c r="BI212" s="135"/>
      <c r="BJ212" s="13"/>
      <c r="BK212" s="13"/>
      <c r="BL212" s="13"/>
      <c r="BM212" s="67"/>
      <c r="BN212" s="67"/>
      <c r="BO212" s="128"/>
      <c r="BP212" s="13"/>
      <c r="BQ212" s="13"/>
      <c r="BR212" s="13"/>
      <c r="BS212" s="13"/>
      <c r="BT212" s="13"/>
      <c r="BU212" s="107"/>
      <c r="BV212" s="107"/>
      <c r="BW212" s="107"/>
      <c r="BX212" s="107"/>
      <c r="BY212" s="107"/>
      <c r="BZ212" s="107"/>
      <c r="CA212" s="111"/>
      <c r="CB212" s="107"/>
      <c r="CC212" s="107"/>
      <c r="CD212" s="107"/>
      <c r="CE212" s="107"/>
      <c r="CF212" s="107"/>
      <c r="CG212" s="107"/>
      <c r="CH212" s="107"/>
      <c r="CI212" s="107"/>
      <c r="CJ212" s="107"/>
    </row>
    <row r="213">
      <c r="A213" s="38"/>
      <c r="B213" s="47"/>
      <c r="C213" s="25"/>
      <c r="D213" s="41"/>
      <c r="E213" s="49"/>
      <c r="F213" s="49"/>
      <c r="G213" s="21">
        <f t="shared" si="59"/>
        <v>0</v>
      </c>
      <c r="H213" s="13"/>
      <c r="I213" s="67"/>
      <c r="J213" s="13"/>
      <c r="K213" s="13"/>
      <c r="L213" s="14"/>
      <c r="M213" s="38"/>
      <c r="N213" s="47"/>
      <c r="O213" s="25"/>
      <c r="P213" s="41"/>
      <c r="Q213" s="49"/>
      <c r="R213" s="49"/>
      <c r="S213" s="21">
        <f t="shared" si="60"/>
        <v>0</v>
      </c>
      <c r="T213" s="13"/>
      <c r="U213" s="13"/>
      <c r="V213" s="13"/>
      <c r="W213" s="13"/>
      <c r="X213" s="14"/>
      <c r="Y213" s="38"/>
      <c r="Z213" s="47"/>
      <c r="AA213" s="25"/>
      <c r="AB213" s="41"/>
      <c r="AC213" s="49"/>
      <c r="AD213" s="49"/>
      <c r="AE213" s="21">
        <f t="shared" si="61"/>
        <v>0</v>
      </c>
      <c r="AF213" s="13"/>
      <c r="AG213" s="13"/>
      <c r="AH213" s="13"/>
      <c r="AI213" s="13"/>
      <c r="AJ213" s="14"/>
      <c r="AK213" s="135"/>
      <c r="AL213" s="135"/>
      <c r="AM213" s="13"/>
      <c r="AN213" s="13"/>
      <c r="AO213" s="13"/>
      <c r="AP213" s="13"/>
      <c r="AQ213" s="128"/>
      <c r="AR213" s="13"/>
      <c r="AS213" s="13"/>
      <c r="AT213" s="13"/>
      <c r="AU213" s="13"/>
      <c r="AV213" s="13"/>
      <c r="AW213" s="135"/>
      <c r="AX213" s="135"/>
      <c r="AY213" s="13"/>
      <c r="AZ213" s="13"/>
      <c r="BA213" s="13"/>
      <c r="BB213" s="13"/>
      <c r="BC213" s="128"/>
      <c r="BD213" s="13"/>
      <c r="BE213" s="13"/>
      <c r="BF213" s="13"/>
      <c r="BG213" s="13"/>
      <c r="BH213" s="13"/>
      <c r="BI213" s="135"/>
      <c r="BJ213" s="135"/>
      <c r="BK213" s="13"/>
      <c r="BL213" s="13"/>
      <c r="BM213" s="13"/>
      <c r="BN213" s="13"/>
      <c r="BO213" s="128"/>
      <c r="BP213" s="13"/>
      <c r="BQ213" s="13"/>
      <c r="BR213" s="13"/>
      <c r="BS213" s="13"/>
      <c r="BT213" s="13"/>
      <c r="BU213" s="107"/>
      <c r="BV213" s="107"/>
      <c r="BW213" s="107"/>
      <c r="BX213" s="107"/>
      <c r="BY213" s="107"/>
      <c r="BZ213" s="107"/>
      <c r="CA213" s="111"/>
      <c r="CB213" s="107"/>
      <c r="CC213" s="107"/>
      <c r="CD213" s="107"/>
      <c r="CE213" s="107"/>
      <c r="CF213" s="107"/>
      <c r="CG213" s="107"/>
      <c r="CH213" s="107"/>
      <c r="CI213" s="107"/>
      <c r="CJ213" s="107"/>
    </row>
    <row r="214">
      <c r="A214" s="38"/>
      <c r="B214" s="32"/>
      <c r="C214" s="25"/>
      <c r="D214" s="41"/>
      <c r="E214" s="49"/>
      <c r="F214" s="49"/>
      <c r="G214" s="21">
        <f t="shared" si="59"/>
        <v>0</v>
      </c>
      <c r="H214" s="13"/>
      <c r="I214" s="67"/>
      <c r="J214" s="13"/>
      <c r="K214" s="13"/>
      <c r="L214" s="14"/>
      <c r="M214" s="38"/>
      <c r="N214" s="32"/>
      <c r="O214" s="25"/>
      <c r="P214" s="41"/>
      <c r="Q214" s="49"/>
      <c r="R214" s="49"/>
      <c r="S214" s="21">
        <f t="shared" si="60"/>
        <v>0</v>
      </c>
      <c r="T214" s="13"/>
      <c r="U214" s="13"/>
      <c r="V214" s="13"/>
      <c r="W214" s="13"/>
      <c r="X214" s="14"/>
      <c r="Y214" s="38"/>
      <c r="Z214" s="32"/>
      <c r="AA214" s="25"/>
      <c r="AB214" s="41"/>
      <c r="AC214" s="49"/>
      <c r="AD214" s="49"/>
      <c r="AE214" s="21">
        <f t="shared" si="61"/>
        <v>0</v>
      </c>
      <c r="AF214" s="13"/>
      <c r="AG214" s="13"/>
      <c r="AH214" s="13"/>
      <c r="AI214" s="13"/>
      <c r="AJ214" s="14"/>
      <c r="AK214" s="135"/>
      <c r="AL214" s="13"/>
      <c r="AM214" s="13"/>
      <c r="AN214" s="13"/>
      <c r="AO214" s="13"/>
      <c r="AP214" s="13"/>
      <c r="AQ214" s="128"/>
      <c r="AR214" s="13"/>
      <c r="AS214" s="13"/>
      <c r="AT214" s="13"/>
      <c r="AU214" s="13"/>
      <c r="AV214" s="13"/>
      <c r="AW214" s="135"/>
      <c r="AX214" s="13"/>
      <c r="AY214" s="13"/>
      <c r="AZ214" s="13"/>
      <c r="BA214" s="13"/>
      <c r="BB214" s="13"/>
      <c r="BC214" s="128"/>
      <c r="BD214" s="13"/>
      <c r="BE214" s="13"/>
      <c r="BF214" s="13"/>
      <c r="BG214" s="13"/>
      <c r="BH214" s="13"/>
      <c r="BI214" s="135"/>
      <c r="BJ214" s="13"/>
      <c r="BK214" s="13"/>
      <c r="BL214" s="13"/>
      <c r="BM214" s="13"/>
      <c r="BN214" s="13"/>
      <c r="BO214" s="128"/>
      <c r="BP214" s="13"/>
      <c r="BQ214" s="13"/>
      <c r="BR214" s="13"/>
      <c r="BS214" s="13"/>
      <c r="BT214" s="13"/>
      <c r="BU214" s="107"/>
      <c r="BV214" s="107"/>
      <c r="BW214" s="107"/>
      <c r="BX214" s="107"/>
      <c r="BY214" s="107"/>
      <c r="BZ214" s="107"/>
      <c r="CA214" s="111"/>
      <c r="CB214" s="107"/>
      <c r="CC214" s="107"/>
      <c r="CD214" s="107"/>
      <c r="CE214" s="107"/>
      <c r="CF214" s="107"/>
      <c r="CG214" s="107"/>
      <c r="CH214" s="107"/>
      <c r="CI214" s="107"/>
      <c r="CJ214" s="107"/>
    </row>
    <row r="215">
      <c r="A215" s="38"/>
      <c r="B215" s="32"/>
      <c r="C215" s="25"/>
      <c r="D215" s="41"/>
      <c r="E215" s="49"/>
      <c r="F215" s="49"/>
      <c r="G215" s="21">
        <f t="shared" si="59"/>
        <v>0</v>
      </c>
      <c r="H215" s="13"/>
      <c r="I215" s="67"/>
      <c r="J215" s="13"/>
      <c r="K215" s="13"/>
      <c r="L215" s="14"/>
      <c r="M215" s="38"/>
      <c r="N215" s="32"/>
      <c r="O215" s="25"/>
      <c r="P215" s="41"/>
      <c r="Q215" s="49"/>
      <c r="R215" s="49"/>
      <c r="S215" s="21">
        <f t="shared" si="60"/>
        <v>0</v>
      </c>
      <c r="T215" s="13"/>
      <c r="U215" s="13"/>
      <c r="V215" s="13"/>
      <c r="W215" s="13"/>
      <c r="X215" s="14"/>
      <c r="Y215" s="38"/>
      <c r="Z215" s="32"/>
      <c r="AA215" s="25"/>
      <c r="AB215" s="41"/>
      <c r="AC215" s="49"/>
      <c r="AD215" s="49"/>
      <c r="AE215" s="21">
        <f t="shared" si="61"/>
        <v>0</v>
      </c>
      <c r="AF215" s="13"/>
      <c r="AG215" s="13"/>
      <c r="AH215" s="13"/>
      <c r="AI215" s="13"/>
      <c r="AJ215" s="14"/>
      <c r="AK215" s="135"/>
      <c r="AL215" s="13"/>
      <c r="AM215" s="13"/>
      <c r="AN215" s="13"/>
      <c r="AO215" s="13"/>
      <c r="AP215" s="13"/>
      <c r="AQ215" s="128"/>
      <c r="AR215" s="13"/>
      <c r="AS215" s="13"/>
      <c r="AT215" s="13"/>
      <c r="AU215" s="13"/>
      <c r="AV215" s="13"/>
      <c r="AW215" s="135"/>
      <c r="AX215" s="13"/>
      <c r="AY215" s="13"/>
      <c r="AZ215" s="13"/>
      <c r="BA215" s="13"/>
      <c r="BB215" s="13"/>
      <c r="BC215" s="128"/>
      <c r="BD215" s="13"/>
      <c r="BE215" s="13"/>
      <c r="BF215" s="13"/>
      <c r="BG215" s="13"/>
      <c r="BH215" s="13"/>
      <c r="BI215" s="135"/>
      <c r="BJ215" s="13"/>
      <c r="BK215" s="13"/>
      <c r="BL215" s="13"/>
      <c r="BM215" s="13"/>
      <c r="BN215" s="13"/>
      <c r="BO215" s="128"/>
      <c r="BP215" s="13"/>
      <c r="BQ215" s="13"/>
      <c r="BR215" s="13"/>
      <c r="BS215" s="13"/>
      <c r="BT215" s="13"/>
      <c r="BU215" s="107"/>
      <c r="BV215" s="107"/>
      <c r="BW215" s="107"/>
      <c r="BX215" s="107"/>
      <c r="BY215" s="107"/>
      <c r="BZ215" s="107"/>
      <c r="CA215" s="111"/>
      <c r="CB215" s="107"/>
      <c r="CC215" s="107"/>
      <c r="CD215" s="107"/>
      <c r="CE215" s="107"/>
      <c r="CF215" s="107"/>
      <c r="CG215" s="107"/>
      <c r="CH215" s="107"/>
      <c r="CI215" s="107"/>
      <c r="CJ215" s="107"/>
    </row>
    <row r="216">
      <c r="A216" s="50"/>
      <c r="B216" s="32"/>
      <c r="C216" s="25"/>
      <c r="D216" s="41"/>
      <c r="E216" s="49"/>
      <c r="F216" s="49"/>
      <c r="G216" s="88">
        <f t="shared" si="59"/>
        <v>0</v>
      </c>
      <c r="H216" s="89"/>
      <c r="I216" s="104"/>
      <c r="J216" s="89"/>
      <c r="K216" s="89"/>
      <c r="L216" s="90"/>
      <c r="M216" s="50"/>
      <c r="N216" s="32"/>
      <c r="O216" s="25"/>
      <c r="P216" s="41"/>
      <c r="Q216" s="49"/>
      <c r="R216" s="49"/>
      <c r="S216" s="21">
        <f t="shared" si="60"/>
        <v>0</v>
      </c>
      <c r="T216" s="89"/>
      <c r="U216" s="89"/>
      <c r="V216" s="89"/>
      <c r="W216" s="89"/>
      <c r="X216" s="90"/>
      <c r="Y216" s="50"/>
      <c r="Z216" s="32"/>
      <c r="AA216" s="25"/>
      <c r="AB216" s="41"/>
      <c r="AC216" s="49"/>
      <c r="AD216" s="49"/>
      <c r="AE216" s="21">
        <f t="shared" si="61"/>
        <v>0</v>
      </c>
      <c r="AF216" s="89"/>
      <c r="AG216" s="89"/>
      <c r="AH216" s="89"/>
      <c r="AI216" s="89"/>
      <c r="AJ216" s="90"/>
      <c r="AK216" s="13"/>
      <c r="AL216" s="13"/>
      <c r="AM216" s="13"/>
      <c r="AN216" s="13"/>
      <c r="AO216" s="13"/>
      <c r="AP216" s="13"/>
      <c r="AQ216" s="128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28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28"/>
      <c r="BP216" s="13"/>
      <c r="BQ216" s="13"/>
      <c r="BR216" s="13"/>
      <c r="BS216" s="13"/>
      <c r="BT216" s="13"/>
      <c r="BU216" s="107"/>
      <c r="BV216" s="107"/>
      <c r="BW216" s="107"/>
      <c r="BX216" s="107"/>
      <c r="BY216" s="107"/>
      <c r="BZ216" s="107"/>
      <c r="CA216" s="111"/>
      <c r="CB216" s="107"/>
      <c r="CC216" s="107"/>
      <c r="CD216" s="107"/>
      <c r="CE216" s="107"/>
      <c r="CF216" s="107"/>
      <c r="CG216" s="107"/>
      <c r="CH216" s="107"/>
      <c r="CI216" s="107"/>
      <c r="CJ216" s="107"/>
    </row>
    <row r="217">
      <c r="A217" s="1" t="s">
        <v>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1" t="s">
        <v>62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3"/>
      <c r="Y217" s="1" t="s">
        <v>1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3"/>
      <c r="AK217" s="1" t="s">
        <v>2</v>
      </c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3"/>
      <c r="AW217" s="4"/>
      <c r="BI217" s="4"/>
      <c r="BU217" s="4"/>
      <c r="CG217" s="107"/>
      <c r="CH217" s="107"/>
      <c r="CI217" s="107"/>
      <c r="CJ217" s="107"/>
    </row>
    <row r="218">
      <c r="A218" s="5" t="s">
        <v>68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5" t="s">
        <v>68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5" t="s">
        <v>68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5" t="s">
        <v>68</v>
      </c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121"/>
      <c r="BI218" s="121"/>
      <c r="BU218" s="108"/>
      <c r="CG218" s="107"/>
      <c r="CH218" s="107"/>
      <c r="CI218" s="107"/>
      <c r="CJ218" s="107"/>
    </row>
    <row r="219">
      <c r="A219" s="7" t="s">
        <v>5</v>
      </c>
      <c r="B219" s="8" t="s">
        <v>6</v>
      </c>
      <c r="C219" s="9" t="s">
        <v>7</v>
      </c>
      <c r="D219" s="10" t="s">
        <v>8</v>
      </c>
      <c r="E219" s="11" t="s">
        <v>9</v>
      </c>
      <c r="F219" s="11" t="s">
        <v>10</v>
      </c>
      <c r="G219" s="12" t="s">
        <v>11</v>
      </c>
      <c r="H219" s="12" t="s">
        <v>12</v>
      </c>
      <c r="I219" s="12" t="s">
        <v>13</v>
      </c>
      <c r="J219" s="13" t="s">
        <v>14</v>
      </c>
      <c r="K219" s="67" t="s">
        <v>15</v>
      </c>
      <c r="L219" s="14" t="s">
        <v>16</v>
      </c>
      <c r="M219" s="7" t="s">
        <v>5</v>
      </c>
      <c r="N219" s="8" t="s">
        <v>6</v>
      </c>
      <c r="O219" s="9" t="s">
        <v>7</v>
      </c>
      <c r="P219" s="10" t="s">
        <v>8</v>
      </c>
      <c r="Q219" s="11" t="s">
        <v>9</v>
      </c>
      <c r="R219" s="11" t="s">
        <v>10</v>
      </c>
      <c r="S219" s="12" t="s">
        <v>11</v>
      </c>
      <c r="T219" s="12" t="s">
        <v>12</v>
      </c>
      <c r="U219" s="12" t="s">
        <v>13</v>
      </c>
      <c r="V219" s="13" t="s">
        <v>14</v>
      </c>
      <c r="W219" s="13" t="s">
        <v>15</v>
      </c>
      <c r="X219" s="14" t="s">
        <v>16</v>
      </c>
      <c r="Y219" s="7" t="s">
        <v>5</v>
      </c>
      <c r="Z219" s="8" t="s">
        <v>6</v>
      </c>
      <c r="AA219" s="9" t="s">
        <v>7</v>
      </c>
      <c r="AB219" s="10" t="s">
        <v>8</v>
      </c>
      <c r="AC219" s="11" t="s">
        <v>9</v>
      </c>
      <c r="AD219" s="11" t="s">
        <v>10</v>
      </c>
      <c r="AE219" s="12" t="s">
        <v>11</v>
      </c>
      <c r="AF219" s="12" t="s">
        <v>12</v>
      </c>
      <c r="AG219" s="12" t="s">
        <v>13</v>
      </c>
      <c r="AH219" s="13" t="s">
        <v>14</v>
      </c>
      <c r="AI219" s="13" t="s">
        <v>15</v>
      </c>
      <c r="AJ219" s="14" t="s">
        <v>16</v>
      </c>
      <c r="AK219" s="7" t="s">
        <v>5</v>
      </c>
      <c r="AL219" s="8" t="s">
        <v>6</v>
      </c>
      <c r="AM219" s="9" t="s">
        <v>7</v>
      </c>
      <c r="AN219" s="10" t="s">
        <v>8</v>
      </c>
      <c r="AO219" s="11" t="s">
        <v>9</v>
      </c>
      <c r="AP219" s="11" t="s">
        <v>10</v>
      </c>
      <c r="AQ219" s="12" t="s">
        <v>11</v>
      </c>
      <c r="AR219" s="12" t="s">
        <v>12</v>
      </c>
      <c r="AS219" s="12" t="s">
        <v>13</v>
      </c>
      <c r="AT219" s="13" t="s">
        <v>14</v>
      </c>
      <c r="AU219" s="13" t="s">
        <v>15</v>
      </c>
      <c r="AV219" s="14" t="s">
        <v>16</v>
      </c>
      <c r="AW219" s="122"/>
      <c r="AX219" s="121"/>
      <c r="AY219" s="121"/>
      <c r="AZ219" s="121"/>
      <c r="BA219" s="121"/>
      <c r="BB219" s="121"/>
      <c r="BC219" s="122"/>
      <c r="BD219" s="122"/>
      <c r="BE219" s="123"/>
      <c r="BF219" s="13"/>
      <c r="BG219" s="13"/>
      <c r="BH219" s="13"/>
      <c r="BI219" s="122"/>
      <c r="BJ219" s="121"/>
      <c r="BK219" s="121"/>
      <c r="BL219" s="121"/>
      <c r="BM219" s="121"/>
      <c r="BN219" s="121"/>
      <c r="BO219" s="122"/>
      <c r="BP219" s="122"/>
      <c r="BQ219" s="123"/>
      <c r="BR219" s="13"/>
      <c r="BS219" s="13"/>
      <c r="BT219" s="13"/>
      <c r="BU219" s="109"/>
      <c r="BV219" s="108"/>
      <c r="BW219" s="108"/>
      <c r="BX219" s="108"/>
      <c r="BY219" s="108"/>
      <c r="BZ219" s="108"/>
      <c r="CA219" s="109"/>
      <c r="CB219" s="109"/>
      <c r="CC219" s="109"/>
      <c r="CD219" s="107"/>
      <c r="CE219" s="107"/>
      <c r="CF219" s="107"/>
      <c r="CG219" s="107"/>
      <c r="CH219" s="107"/>
      <c r="CI219" s="107"/>
      <c r="CJ219" s="107"/>
    </row>
    <row r="220">
      <c r="A220" s="60">
        <v>45698.0</v>
      </c>
      <c r="B220" s="16"/>
      <c r="C220" s="17"/>
      <c r="D220" s="18"/>
      <c r="E220" s="20">
        <v>290000.0</v>
      </c>
      <c r="F220" s="20"/>
      <c r="G220" s="21">
        <f t="shared" ref="G220:G243" si="66">SUM(B220)-(B220*15%)+(C220)-(C220*20.8%)+(D220)+(E220)-(E220*0.95%)+(F220)-(F220*15.5%)</f>
        <v>287245</v>
      </c>
      <c r="H220" s="22">
        <f>SUM(B220:F243)</f>
        <v>3116000</v>
      </c>
      <c r="I220" s="21">
        <f>SUM(G220:G243)</f>
        <v>2735148</v>
      </c>
      <c r="J220" s="21">
        <f>SUM(I220)-(I220*97%)</f>
        <v>82054.44</v>
      </c>
      <c r="K220" s="21">
        <f>SUM(I220)-(I220*95%)</f>
        <v>136757.4</v>
      </c>
      <c r="L220" s="23">
        <f>SUM(I220)-(I220*93%)</f>
        <v>191460.36</v>
      </c>
      <c r="M220" s="15" t="s">
        <v>69</v>
      </c>
      <c r="N220" s="24"/>
      <c r="O220" s="25"/>
      <c r="P220" s="18"/>
      <c r="Q220" s="20">
        <v>250000.0</v>
      </c>
      <c r="R220" s="20"/>
      <c r="S220" s="21">
        <f t="shared" ref="S220:S243" si="67">SUM(N220)-(N220*15%)+(O220)-(O220*20.8%)+(P220)+(Q220)-(Q220*0.95%)+(R220)-(R220*15.5%)</f>
        <v>247625</v>
      </c>
      <c r="T220" s="22">
        <f>SUM(N220:R243)</f>
        <v>8315000</v>
      </c>
      <c r="U220" s="21">
        <f>SUM(S220:S243)</f>
        <v>7603757.5</v>
      </c>
      <c r="V220" s="21">
        <f>SUM(U220)-(U220*97%)</f>
        <v>228112.725</v>
      </c>
      <c r="W220" s="21">
        <f>SUM(U220)-(U220*95%)</f>
        <v>380187.875</v>
      </c>
      <c r="X220" s="23">
        <f>SUM(U220)-(U220*93%)</f>
        <v>532263.025</v>
      </c>
      <c r="Y220" s="60">
        <v>45703.0</v>
      </c>
      <c r="Z220" s="24"/>
      <c r="AA220" s="25"/>
      <c r="AB220" s="18"/>
      <c r="AC220" s="20"/>
      <c r="AD220" s="20">
        <v>2300000.0</v>
      </c>
      <c r="AE220" s="21">
        <f t="shared" ref="AE220:AE243" si="68">SUM(Z220)-(Z220*15%)+(AA220)-(AA220*20.8%)+(AB220)+(AC220)-(AC220*0.95%)+(AD220)-(AD220*15.5%)</f>
        <v>1943500</v>
      </c>
      <c r="AF220" s="22">
        <f>SUM(Z220:AD243)</f>
        <v>5810000</v>
      </c>
      <c r="AG220" s="21">
        <f>SUM(AE220:AE243)</f>
        <v>5129155</v>
      </c>
      <c r="AH220" s="21">
        <f>SUM(AG220)-(AG220*97%)</f>
        <v>153874.65</v>
      </c>
      <c r="AI220" s="21">
        <f>SUM(AG220)-(AG220*95%)</f>
        <v>256457.75</v>
      </c>
      <c r="AJ220" s="23">
        <f>SUM(AG220)-(AG220*93%)</f>
        <v>359040.85</v>
      </c>
      <c r="AK220" s="15">
        <v>24.0</v>
      </c>
      <c r="AL220" s="24"/>
      <c r="AM220" s="25"/>
      <c r="AN220" s="18">
        <v>20000.0</v>
      </c>
      <c r="AO220" s="20"/>
      <c r="AP220" s="20"/>
      <c r="AQ220" s="21">
        <f t="shared" ref="AQ220:AQ243" si="69">SUM(AL220)-(AL220*15%)+(AM220)-(AM220*20.8%)+(AN220)+(AO220)-(AO220*0.95%)+(AP220)-(AP220*15.5%)</f>
        <v>20000</v>
      </c>
      <c r="AR220" s="22">
        <f>SUM(AL220:AP243)</f>
        <v>30000</v>
      </c>
      <c r="AS220" s="21">
        <f>SUM(AQ220:AQ243)</f>
        <v>29905</v>
      </c>
      <c r="AT220" s="21">
        <f>SUM(AS220)-(AS220*97%)</f>
        <v>897.15</v>
      </c>
      <c r="AU220" s="21">
        <f>SUM(AS220)-(AS220*95%)</f>
        <v>1495.25</v>
      </c>
      <c r="AV220" s="23">
        <f>SUM(AS220)-(AS220*93%)</f>
        <v>2093.35</v>
      </c>
      <c r="AW220" s="124"/>
      <c r="AX220" s="125"/>
      <c r="AY220" s="126"/>
      <c r="AZ220" s="127"/>
      <c r="BA220" s="127"/>
      <c r="BB220" s="127"/>
      <c r="BC220" s="128"/>
      <c r="BD220" s="22"/>
      <c r="BE220" s="128"/>
      <c r="BF220" s="128"/>
      <c r="BG220" s="128"/>
      <c r="BH220" s="128"/>
      <c r="BI220" s="124"/>
      <c r="BJ220" s="125"/>
      <c r="BK220" s="126"/>
      <c r="BL220" s="127"/>
      <c r="BM220" s="127"/>
      <c r="BN220" s="127"/>
      <c r="BO220" s="128"/>
      <c r="BP220" s="22"/>
      <c r="BQ220" s="128"/>
      <c r="BR220" s="128"/>
      <c r="BS220" s="128"/>
      <c r="BT220" s="128"/>
      <c r="BU220" s="110"/>
      <c r="BV220" s="107"/>
      <c r="BW220" s="107"/>
      <c r="BX220" s="107"/>
      <c r="BY220" s="107"/>
      <c r="BZ220" s="107"/>
      <c r="CA220" s="111"/>
      <c r="CB220" s="112"/>
      <c r="CC220" s="111"/>
      <c r="CD220" s="111"/>
      <c r="CE220" s="111"/>
      <c r="CF220" s="111"/>
      <c r="CG220" s="107"/>
      <c r="CH220" s="107"/>
      <c r="CI220" s="107"/>
      <c r="CJ220" s="107"/>
    </row>
    <row r="221">
      <c r="A221" s="60">
        <v>45705.0</v>
      </c>
      <c r="B221" s="27"/>
      <c r="C221" s="17"/>
      <c r="D221" s="40"/>
      <c r="E221" s="20">
        <v>65000.0</v>
      </c>
      <c r="F221" s="30"/>
      <c r="G221" s="21">
        <f t="shared" si="66"/>
        <v>64382.5</v>
      </c>
      <c r="H221" s="31" t="s">
        <v>20</v>
      </c>
      <c r="I221" s="13"/>
      <c r="J221" s="13" t="s">
        <v>21</v>
      </c>
      <c r="K221" s="13" t="s">
        <v>22</v>
      </c>
      <c r="L221" s="14" t="s">
        <v>23</v>
      </c>
      <c r="M221" s="60">
        <v>45693.0</v>
      </c>
      <c r="N221" s="32"/>
      <c r="O221" s="25"/>
      <c r="P221" s="33"/>
      <c r="Q221" s="30">
        <v>1700000.0</v>
      </c>
      <c r="R221" s="30"/>
      <c r="S221" s="21">
        <f t="shared" si="67"/>
        <v>1683850</v>
      </c>
      <c r="T221" s="31" t="s">
        <v>20</v>
      </c>
      <c r="U221" s="13"/>
      <c r="V221" s="13" t="s">
        <v>21</v>
      </c>
      <c r="W221" s="13" t="s">
        <v>22</v>
      </c>
      <c r="X221" s="14" t="s">
        <v>23</v>
      </c>
      <c r="Y221" s="60">
        <v>45705.0</v>
      </c>
      <c r="Z221" s="32"/>
      <c r="AA221" s="25"/>
      <c r="AB221" s="33"/>
      <c r="AC221" s="30">
        <v>10000.0</v>
      </c>
      <c r="AD221" s="30"/>
      <c r="AE221" s="21">
        <f t="shared" si="68"/>
        <v>9905</v>
      </c>
      <c r="AF221" s="31" t="s">
        <v>20</v>
      </c>
      <c r="AG221" s="13"/>
      <c r="AH221" s="13" t="s">
        <v>21</v>
      </c>
      <c r="AI221" s="13" t="s">
        <v>22</v>
      </c>
      <c r="AJ221" s="14" t="s">
        <v>23</v>
      </c>
      <c r="AK221" s="60">
        <v>45711.0</v>
      </c>
      <c r="AL221" s="32"/>
      <c r="AM221" s="25"/>
      <c r="AN221" s="33"/>
      <c r="AO221" s="30">
        <v>10000.0</v>
      </c>
      <c r="AP221" s="30"/>
      <c r="AQ221" s="21">
        <f t="shared" si="69"/>
        <v>9905</v>
      </c>
      <c r="AR221" s="31" t="s">
        <v>20</v>
      </c>
      <c r="AS221" s="13"/>
      <c r="AT221" s="13" t="s">
        <v>21</v>
      </c>
      <c r="AU221" s="13" t="s">
        <v>22</v>
      </c>
      <c r="AV221" s="14" t="s">
        <v>23</v>
      </c>
      <c r="AW221" s="124"/>
      <c r="AX221" s="127"/>
      <c r="AY221" s="129"/>
      <c r="AZ221" s="126"/>
      <c r="BA221" s="126"/>
      <c r="BB221" s="126"/>
      <c r="BC221" s="128"/>
      <c r="BD221" s="130"/>
      <c r="BE221" s="13"/>
      <c r="BF221" s="13"/>
      <c r="BG221" s="13"/>
      <c r="BH221" s="13"/>
      <c r="BI221" s="124"/>
      <c r="BJ221" s="127"/>
      <c r="BK221" s="129"/>
      <c r="BL221" s="126"/>
      <c r="BM221" s="126"/>
      <c r="BN221" s="126"/>
      <c r="BO221" s="128"/>
      <c r="BP221" s="130"/>
      <c r="BQ221" s="13"/>
      <c r="BR221" s="13"/>
      <c r="BS221" s="13"/>
      <c r="BT221" s="13"/>
      <c r="BU221" s="110"/>
      <c r="BV221" s="107"/>
      <c r="BW221" s="107"/>
      <c r="BX221" s="107"/>
      <c r="BY221" s="107"/>
      <c r="BZ221" s="107"/>
      <c r="CA221" s="111"/>
      <c r="CB221" s="113"/>
      <c r="CC221" s="107"/>
      <c r="CD221" s="107"/>
      <c r="CE221" s="107"/>
      <c r="CF221" s="107"/>
      <c r="CG221" s="107"/>
      <c r="CH221" s="107"/>
      <c r="CI221" s="107"/>
      <c r="CJ221" s="107"/>
    </row>
    <row r="222">
      <c r="A222" s="96">
        <v>22.0</v>
      </c>
      <c r="B222" s="140"/>
      <c r="C222" s="98"/>
      <c r="D222" s="99"/>
      <c r="E222" s="100">
        <v>200000.0</v>
      </c>
      <c r="F222" s="20"/>
      <c r="G222" s="21">
        <f t="shared" si="66"/>
        <v>198100</v>
      </c>
      <c r="H222" s="36"/>
      <c r="I222" s="13"/>
      <c r="J222" s="21">
        <f t="shared" ref="J222:L222" si="70">SUM(J220)-(J220*10%)</f>
        <v>73848.996</v>
      </c>
      <c r="K222" s="21">
        <f t="shared" si="70"/>
        <v>123081.66</v>
      </c>
      <c r="L222" s="23">
        <f t="shared" si="70"/>
        <v>172314.324</v>
      </c>
      <c r="M222" s="60">
        <v>45693.0</v>
      </c>
      <c r="N222" s="37">
        <v>2000000.0</v>
      </c>
      <c r="O222" s="25"/>
      <c r="P222" s="33"/>
      <c r="Q222" s="20"/>
      <c r="R222" s="20"/>
      <c r="S222" s="21">
        <f t="shared" si="67"/>
        <v>1700000</v>
      </c>
      <c r="T222" s="36"/>
      <c r="U222" s="13"/>
      <c r="V222" s="21">
        <f t="shared" ref="V222:X222" si="71">SUM(V220)-(V220*10%)</f>
        <v>205301.4525</v>
      </c>
      <c r="W222" s="21">
        <f t="shared" si="71"/>
        <v>342169.0875</v>
      </c>
      <c r="X222" s="23">
        <f t="shared" si="71"/>
        <v>479036.7225</v>
      </c>
      <c r="Y222" s="96"/>
      <c r="Z222" s="140"/>
      <c r="AA222" s="98"/>
      <c r="AB222" s="99"/>
      <c r="AC222" s="20">
        <v>1500000.0</v>
      </c>
      <c r="AD222" s="20"/>
      <c r="AE222" s="21">
        <f t="shared" si="68"/>
        <v>1485750</v>
      </c>
      <c r="AF222" s="36"/>
      <c r="AG222" s="13"/>
      <c r="AH222" s="21">
        <f t="shared" ref="AH222:AJ222" si="72">SUM(AH220)-(AH220*10%)</f>
        <v>138487.185</v>
      </c>
      <c r="AI222" s="21">
        <f t="shared" si="72"/>
        <v>230811.975</v>
      </c>
      <c r="AJ222" s="23">
        <f t="shared" si="72"/>
        <v>323136.765</v>
      </c>
      <c r="AK222" s="60"/>
      <c r="AL222" s="32"/>
      <c r="AM222" s="25"/>
      <c r="AN222" s="33"/>
      <c r="AO222" s="20"/>
      <c r="AP222" s="20"/>
      <c r="AQ222" s="21">
        <f t="shared" si="69"/>
        <v>0</v>
      </c>
      <c r="AR222" s="36"/>
      <c r="AS222" s="13"/>
      <c r="AT222" s="21">
        <f t="shared" ref="AT222:AV222" si="73">SUM(AT220)-(AT220*10%)</f>
        <v>807.435</v>
      </c>
      <c r="AU222" s="21">
        <f t="shared" si="73"/>
        <v>1345.725</v>
      </c>
      <c r="AV222" s="23">
        <f t="shared" si="73"/>
        <v>1884.015</v>
      </c>
      <c r="AW222" s="124"/>
      <c r="AX222" s="127"/>
      <c r="AY222" s="129"/>
      <c r="AZ222" s="126"/>
      <c r="BA222" s="126"/>
      <c r="BB222" s="127"/>
      <c r="BC222" s="128"/>
      <c r="BD222" s="22"/>
      <c r="BE222" s="13"/>
      <c r="BF222" s="128"/>
      <c r="BG222" s="128"/>
      <c r="BH222" s="128"/>
      <c r="BI222" s="124"/>
      <c r="BJ222" s="127"/>
      <c r="BK222" s="129"/>
      <c r="BL222" s="126"/>
      <c r="BM222" s="126"/>
      <c r="BN222" s="127"/>
      <c r="BO222" s="128"/>
      <c r="BP222" s="22"/>
      <c r="BQ222" s="13"/>
      <c r="BR222" s="128"/>
      <c r="BS222" s="128"/>
      <c r="BT222" s="128"/>
      <c r="BU222" s="110"/>
      <c r="BV222" s="107"/>
      <c r="BW222" s="107"/>
      <c r="BX222" s="107"/>
      <c r="BY222" s="107"/>
      <c r="BZ222" s="107"/>
      <c r="CA222" s="111"/>
      <c r="CB222" s="107"/>
      <c r="CC222" s="107"/>
      <c r="CD222" s="111"/>
      <c r="CE222" s="111"/>
      <c r="CF222" s="111"/>
      <c r="CG222" s="107"/>
      <c r="CH222" s="107"/>
      <c r="CI222" s="107"/>
      <c r="CJ222" s="107"/>
    </row>
    <row r="223">
      <c r="A223" s="15">
        <v>18.0</v>
      </c>
      <c r="B223" s="27"/>
      <c r="C223" s="17"/>
      <c r="D223" s="18"/>
      <c r="E223" s="20">
        <v>61000.0</v>
      </c>
      <c r="F223" s="20"/>
      <c r="G223" s="21">
        <f t="shared" si="66"/>
        <v>60420.5</v>
      </c>
      <c r="H223" s="13"/>
      <c r="I223" s="13"/>
      <c r="J223" s="13"/>
      <c r="K223" s="13"/>
      <c r="L223" s="14"/>
      <c r="M223" s="60">
        <v>45693.0</v>
      </c>
      <c r="N223" s="37">
        <v>500000.0</v>
      </c>
      <c r="O223" s="93"/>
      <c r="P223" s="33"/>
      <c r="Q223" s="20"/>
      <c r="R223" s="20"/>
      <c r="S223" s="21">
        <f t="shared" si="67"/>
        <v>425000</v>
      </c>
      <c r="T223" s="13"/>
      <c r="U223" s="13"/>
      <c r="V223" s="13"/>
      <c r="W223" s="13"/>
      <c r="X223" s="14"/>
      <c r="Y223" s="60"/>
      <c r="Z223" s="32"/>
      <c r="AA223" s="93"/>
      <c r="AB223" s="33"/>
      <c r="AC223" s="100"/>
      <c r="AD223" s="20">
        <v>2000000.0</v>
      </c>
      <c r="AE223" s="21">
        <f t="shared" si="68"/>
        <v>1690000</v>
      </c>
      <c r="AF223" s="13"/>
      <c r="AG223" s="13"/>
      <c r="AH223" s="13"/>
      <c r="AI223" s="13"/>
      <c r="AJ223" s="14"/>
      <c r="AK223" s="60"/>
      <c r="AL223" s="32"/>
      <c r="AM223" s="93"/>
      <c r="AN223" s="33"/>
      <c r="AO223" s="20"/>
      <c r="AP223" s="20"/>
      <c r="AQ223" s="21">
        <f t="shared" si="69"/>
        <v>0</v>
      </c>
      <c r="AR223" s="13"/>
      <c r="AS223" s="13"/>
      <c r="AT223" s="13"/>
      <c r="AU223" s="13"/>
      <c r="AV223" s="14"/>
      <c r="AW223" s="124"/>
      <c r="AX223" s="129"/>
      <c r="AY223" s="126"/>
      <c r="AZ223" s="127"/>
      <c r="BA223" s="127"/>
      <c r="BB223" s="127"/>
      <c r="BC223" s="128"/>
      <c r="BD223" s="13"/>
      <c r="BE223" s="13"/>
      <c r="BF223" s="13"/>
      <c r="BG223" s="13"/>
      <c r="BH223" s="13"/>
      <c r="BI223" s="124"/>
      <c r="BJ223" s="129"/>
      <c r="BK223" s="126"/>
      <c r="BL223" s="127"/>
      <c r="BM223" s="127"/>
      <c r="BN223" s="127"/>
      <c r="BO223" s="128"/>
      <c r="BP223" s="13"/>
      <c r="BQ223" s="13"/>
      <c r="BR223" s="13"/>
      <c r="BS223" s="13"/>
      <c r="BT223" s="13"/>
      <c r="BU223" s="110"/>
      <c r="BV223" s="107"/>
      <c r="BW223" s="107"/>
      <c r="BX223" s="107"/>
      <c r="BY223" s="107"/>
      <c r="BZ223" s="107"/>
      <c r="CA223" s="111"/>
      <c r="CB223" s="107"/>
      <c r="CC223" s="107"/>
      <c r="CD223" s="107"/>
      <c r="CE223" s="107"/>
      <c r="CF223" s="107"/>
      <c r="CG223" s="107"/>
      <c r="CH223" s="107"/>
      <c r="CI223" s="107"/>
      <c r="CJ223" s="107"/>
    </row>
    <row r="224">
      <c r="A224" s="15">
        <v>25.0</v>
      </c>
      <c r="B224" s="35">
        <v>2500000.0</v>
      </c>
      <c r="C224" s="17"/>
      <c r="D224" s="18"/>
      <c r="E224" s="20"/>
      <c r="F224" s="20"/>
      <c r="G224" s="21">
        <f t="shared" si="66"/>
        <v>2125000</v>
      </c>
      <c r="H224" s="13"/>
      <c r="I224" s="13"/>
      <c r="J224" s="13"/>
      <c r="K224" s="13"/>
      <c r="L224" s="14"/>
      <c r="M224" s="60">
        <v>45697.0</v>
      </c>
      <c r="N224" s="37">
        <v>2000000.0</v>
      </c>
      <c r="O224" s="25"/>
      <c r="P224" s="33"/>
      <c r="Q224" s="20"/>
      <c r="R224" s="20"/>
      <c r="S224" s="21">
        <f t="shared" si="67"/>
        <v>1700000</v>
      </c>
      <c r="T224" s="13"/>
      <c r="U224" s="13"/>
      <c r="V224" s="13"/>
      <c r="W224" s="13"/>
      <c r="X224" s="14"/>
      <c r="Y224" s="96"/>
      <c r="Z224" s="140"/>
      <c r="AA224" s="98"/>
      <c r="AB224" s="99"/>
      <c r="AC224" s="100"/>
      <c r="AD224" s="20"/>
      <c r="AE224" s="21">
        <f t="shared" si="68"/>
        <v>0</v>
      </c>
      <c r="AF224" s="13"/>
      <c r="AG224" s="13"/>
      <c r="AH224" s="13"/>
      <c r="AI224" s="13"/>
      <c r="AJ224" s="14"/>
      <c r="AK224" s="60"/>
      <c r="AL224" s="32"/>
      <c r="AM224" s="25"/>
      <c r="AN224" s="33"/>
      <c r="AO224" s="20"/>
      <c r="AP224" s="20"/>
      <c r="AQ224" s="21">
        <f t="shared" si="69"/>
        <v>0</v>
      </c>
      <c r="AR224" s="13"/>
      <c r="AS224" s="13"/>
      <c r="AT224" s="13"/>
      <c r="AU224" s="13"/>
      <c r="AV224" s="14"/>
      <c r="AW224" s="124"/>
      <c r="AX224" s="127"/>
      <c r="AY224" s="126"/>
      <c r="AZ224" s="127"/>
      <c r="BA224" s="127"/>
      <c r="BB224" s="127"/>
      <c r="BC224" s="128"/>
      <c r="BD224" s="13"/>
      <c r="BE224" s="13"/>
      <c r="BF224" s="13"/>
      <c r="BG224" s="13"/>
      <c r="BH224" s="13"/>
      <c r="BI224" s="124"/>
      <c r="BJ224" s="127"/>
      <c r="BK224" s="126"/>
      <c r="BL224" s="127"/>
      <c r="BM224" s="127"/>
      <c r="BN224" s="127"/>
      <c r="BO224" s="128"/>
      <c r="BP224" s="13"/>
      <c r="BQ224" s="13"/>
      <c r="BR224" s="13"/>
      <c r="BS224" s="13"/>
      <c r="BT224" s="13"/>
      <c r="BU224" s="110"/>
      <c r="BV224" s="107"/>
      <c r="BW224" s="107"/>
      <c r="BX224" s="107"/>
      <c r="BY224" s="107"/>
      <c r="BZ224" s="107"/>
      <c r="CA224" s="111"/>
      <c r="CB224" s="107"/>
      <c r="CC224" s="107"/>
      <c r="CD224" s="107"/>
      <c r="CE224" s="107"/>
      <c r="CF224" s="107"/>
      <c r="CG224" s="107"/>
      <c r="CH224" s="107"/>
      <c r="CI224" s="107"/>
      <c r="CJ224" s="107"/>
    </row>
    <row r="225">
      <c r="A225" s="60"/>
      <c r="B225" s="39"/>
      <c r="C225" s="43"/>
      <c r="D225" s="18"/>
      <c r="E225" s="20"/>
      <c r="F225" s="20"/>
      <c r="G225" s="21">
        <f t="shared" si="66"/>
        <v>0</v>
      </c>
      <c r="H225" s="13"/>
      <c r="I225" s="13"/>
      <c r="J225" s="13"/>
      <c r="K225" s="13">
        <f>H227</f>
        <v>15497965.5</v>
      </c>
      <c r="L225" s="14"/>
      <c r="M225" s="60">
        <v>45698.0</v>
      </c>
      <c r="N225" s="32"/>
      <c r="O225" s="25"/>
      <c r="P225" s="33"/>
      <c r="Q225" s="20">
        <v>1800000.0</v>
      </c>
      <c r="R225" s="20"/>
      <c r="S225" s="21">
        <f t="shared" si="67"/>
        <v>1782900</v>
      </c>
      <c r="T225" s="13"/>
      <c r="U225" s="13"/>
      <c r="V225" s="13"/>
      <c r="W225" s="13"/>
      <c r="X225" s="14"/>
      <c r="Y225" s="60"/>
      <c r="Z225" s="32"/>
      <c r="AA225" s="25"/>
      <c r="AB225" s="33"/>
      <c r="AC225" s="20"/>
      <c r="AD225" s="20"/>
      <c r="AE225" s="21">
        <f t="shared" si="68"/>
        <v>0</v>
      </c>
      <c r="AF225" s="13"/>
      <c r="AG225" s="13"/>
      <c r="AH225" s="13"/>
      <c r="AI225" s="13"/>
      <c r="AJ225" s="14"/>
      <c r="AK225" s="60"/>
      <c r="AL225" s="32"/>
      <c r="AM225" s="25"/>
      <c r="AN225" s="33"/>
      <c r="AO225" s="20"/>
      <c r="AP225" s="20"/>
      <c r="AQ225" s="21">
        <f t="shared" si="69"/>
        <v>0</v>
      </c>
      <c r="AR225" s="13"/>
      <c r="AS225" s="13"/>
      <c r="AT225" s="13"/>
      <c r="AU225" s="13"/>
      <c r="AV225" s="14"/>
      <c r="AW225" s="124"/>
      <c r="AX225" s="129"/>
      <c r="AY225" s="126"/>
      <c r="AZ225" s="127"/>
      <c r="BA225" s="127"/>
      <c r="BB225" s="127"/>
      <c r="BC225" s="128"/>
      <c r="BD225" s="13"/>
      <c r="BE225" s="13"/>
      <c r="BF225" s="13"/>
      <c r="BG225" s="13"/>
      <c r="BH225" s="13"/>
      <c r="BI225" s="124"/>
      <c r="BJ225" s="129"/>
      <c r="BK225" s="126"/>
      <c r="BL225" s="127"/>
      <c r="BM225" s="127"/>
      <c r="BN225" s="127"/>
      <c r="BO225" s="128"/>
      <c r="BP225" s="13"/>
      <c r="BQ225" s="13"/>
      <c r="BR225" s="13"/>
      <c r="BS225" s="13"/>
      <c r="BT225" s="13"/>
      <c r="BU225" s="110"/>
      <c r="BV225" s="107"/>
      <c r="BW225" s="107"/>
      <c r="BX225" s="107"/>
      <c r="BY225" s="107"/>
      <c r="BZ225" s="107"/>
      <c r="CA225" s="111"/>
      <c r="CB225" s="107"/>
      <c r="CC225" s="107"/>
      <c r="CD225" s="107"/>
      <c r="CE225" s="107"/>
      <c r="CF225" s="107"/>
      <c r="CG225" s="107"/>
      <c r="CH225" s="107"/>
      <c r="CI225" s="107"/>
      <c r="CJ225" s="107"/>
    </row>
    <row r="226">
      <c r="A226" s="60"/>
      <c r="B226" s="35"/>
      <c r="C226" s="17"/>
      <c r="D226" s="18"/>
      <c r="E226" s="20"/>
      <c r="F226" s="20"/>
      <c r="G226" s="21">
        <f t="shared" si="66"/>
        <v>0</v>
      </c>
      <c r="H226" s="94" t="s">
        <v>13</v>
      </c>
      <c r="I226" s="86" t="s">
        <v>57</v>
      </c>
      <c r="J226" s="86" t="s">
        <v>57</v>
      </c>
      <c r="K226" s="86" t="s">
        <v>65</v>
      </c>
      <c r="L226" s="95"/>
      <c r="M226" s="60"/>
      <c r="N226" s="32"/>
      <c r="O226" s="25"/>
      <c r="P226" s="33"/>
      <c r="Q226" s="20">
        <v>65000.0</v>
      </c>
      <c r="R226" s="20"/>
      <c r="S226" s="21">
        <f t="shared" si="67"/>
        <v>64382.5</v>
      </c>
      <c r="T226" s="13"/>
      <c r="U226" s="13"/>
      <c r="V226" s="13"/>
      <c r="W226" s="13"/>
      <c r="X226" s="14"/>
      <c r="Y226" s="38"/>
      <c r="Z226" s="32"/>
      <c r="AA226" s="25"/>
      <c r="AB226" s="33"/>
      <c r="AC226" s="20"/>
      <c r="AD226" s="20"/>
      <c r="AE226" s="21">
        <f t="shared" si="68"/>
        <v>0</v>
      </c>
      <c r="AF226" s="13"/>
      <c r="AG226" s="13"/>
      <c r="AH226" s="13"/>
      <c r="AI226" s="13"/>
      <c r="AJ226" s="14"/>
      <c r="AK226" s="38"/>
      <c r="AL226" s="32"/>
      <c r="AM226" s="25"/>
      <c r="AN226" s="33"/>
      <c r="AO226" s="20"/>
      <c r="AP226" s="20"/>
      <c r="AQ226" s="21">
        <f t="shared" si="69"/>
        <v>0</v>
      </c>
      <c r="AR226" s="13"/>
      <c r="AS226" s="13"/>
      <c r="AT226" s="13"/>
      <c r="AU226" s="13"/>
      <c r="AV226" s="14"/>
      <c r="AW226" s="124"/>
      <c r="AX226" s="132"/>
      <c r="AY226" s="107"/>
      <c r="AZ226" s="132"/>
      <c r="BA226" s="134"/>
      <c r="BB226" s="132"/>
      <c r="BC226" s="128"/>
      <c r="BD226" s="13"/>
      <c r="BE226" s="13"/>
      <c r="BF226" s="13"/>
      <c r="BG226" s="13"/>
      <c r="BH226" s="13"/>
      <c r="BI226" s="131"/>
      <c r="BJ226" s="132"/>
      <c r="BK226" s="107"/>
      <c r="BL226" s="132"/>
      <c r="BM226" s="133"/>
      <c r="BN226" s="132"/>
      <c r="BO226" s="128"/>
      <c r="BP226" s="13"/>
      <c r="BQ226" s="13"/>
      <c r="BR226" s="13"/>
      <c r="BS226" s="13"/>
      <c r="BT226" s="13"/>
      <c r="BU226" s="110"/>
      <c r="BV226" s="107"/>
      <c r="BW226" s="107"/>
      <c r="BX226" s="107"/>
      <c r="BY226" s="107"/>
      <c r="BZ226" s="107"/>
      <c r="CA226" s="111"/>
      <c r="CB226" s="107"/>
      <c r="CC226" s="107"/>
      <c r="CD226" s="107"/>
      <c r="CE226" s="107"/>
      <c r="CF226" s="107"/>
      <c r="CG226" s="107"/>
      <c r="CH226" s="107"/>
      <c r="CI226" s="107"/>
      <c r="CJ226" s="107"/>
    </row>
    <row r="227">
      <c r="A227" s="60"/>
      <c r="B227" s="16"/>
      <c r="C227" s="17"/>
      <c r="D227" s="42"/>
      <c r="E227" s="30"/>
      <c r="F227" s="30"/>
      <c r="G227" s="21">
        <f t="shared" si="66"/>
        <v>0</v>
      </c>
      <c r="H227" s="95">
        <f>AG220+I220+U220+AS220+BE220+BQ220+CC220</f>
        <v>15497965.5</v>
      </c>
      <c r="I227" s="102" t="s">
        <v>52</v>
      </c>
      <c r="J227" s="102" t="s">
        <v>44</v>
      </c>
      <c r="K227" s="102" t="s">
        <v>52</v>
      </c>
      <c r="L227" s="102" t="s">
        <v>44</v>
      </c>
      <c r="M227" s="60"/>
      <c r="N227" s="37"/>
      <c r="O227" s="25"/>
      <c r="P227" s="41"/>
      <c r="Q227" s="20"/>
      <c r="R227" s="20"/>
      <c r="S227" s="21">
        <f t="shared" si="67"/>
        <v>0</v>
      </c>
      <c r="T227" s="13"/>
      <c r="U227" s="13"/>
      <c r="V227" s="13"/>
      <c r="W227" s="13"/>
      <c r="X227" s="14"/>
      <c r="Y227" s="38"/>
      <c r="Z227" s="37"/>
      <c r="AA227" s="25"/>
      <c r="AB227" s="41"/>
      <c r="AC227" s="20"/>
      <c r="AD227" s="20"/>
      <c r="AE227" s="21">
        <f t="shared" si="68"/>
        <v>0</v>
      </c>
      <c r="AF227" s="13"/>
      <c r="AG227" s="13"/>
      <c r="AH227" s="13"/>
      <c r="AI227" s="13"/>
      <c r="AJ227" s="14"/>
      <c r="AK227" s="38"/>
      <c r="AL227" s="37"/>
      <c r="AM227" s="25"/>
      <c r="AN227" s="41"/>
      <c r="AO227" s="20"/>
      <c r="AP227" s="20"/>
      <c r="AQ227" s="21">
        <f t="shared" si="69"/>
        <v>0</v>
      </c>
      <c r="AR227" s="13"/>
      <c r="AS227" s="13"/>
      <c r="AT227" s="13"/>
      <c r="AU227" s="13"/>
      <c r="AV227" s="14"/>
      <c r="AW227" s="124"/>
      <c r="AX227" s="127"/>
      <c r="AY227" s="129"/>
      <c r="AZ227" s="129"/>
      <c r="BA227" s="127"/>
      <c r="BB227" s="127"/>
      <c r="BC227" s="128"/>
      <c r="BD227" s="13"/>
      <c r="BE227" s="13"/>
      <c r="BF227" s="13"/>
      <c r="BG227" s="13"/>
      <c r="BH227" s="13"/>
      <c r="BI227" s="135"/>
      <c r="BJ227" s="127"/>
      <c r="BK227" s="129"/>
      <c r="BL227" s="129"/>
      <c r="BM227" s="127"/>
      <c r="BN227" s="127"/>
      <c r="BO227" s="128"/>
      <c r="BP227" s="13"/>
      <c r="BQ227" s="13"/>
      <c r="BR227" s="13"/>
      <c r="BS227" s="13"/>
      <c r="BT227" s="13"/>
      <c r="BU227" s="107"/>
      <c r="BV227" s="107"/>
      <c r="BW227" s="107"/>
      <c r="BX227" s="107"/>
      <c r="BY227" s="107"/>
      <c r="BZ227" s="107"/>
      <c r="CA227" s="111"/>
      <c r="CB227" s="107"/>
      <c r="CC227" s="107"/>
      <c r="CD227" s="107"/>
      <c r="CE227" s="107"/>
      <c r="CF227" s="107"/>
      <c r="CG227" s="107"/>
      <c r="CH227" s="107"/>
      <c r="CI227" s="107"/>
      <c r="CJ227" s="107"/>
    </row>
    <row r="228">
      <c r="A228" s="60"/>
      <c r="B228" s="35"/>
      <c r="C228" s="17"/>
      <c r="D228" s="18"/>
      <c r="E228" s="20"/>
      <c r="F228" s="20"/>
      <c r="G228" s="21">
        <f t="shared" si="66"/>
        <v>0</v>
      </c>
      <c r="H228" s="95"/>
      <c r="I228" s="115">
        <f>SUM(H227)-(H227*99%)</f>
        <v>154979.655</v>
      </c>
      <c r="J228" s="87">
        <f>SUM(H227)-(H227*98.5%)</f>
        <v>232469.4825</v>
      </c>
      <c r="K228" s="87">
        <f>SUM(K225)-(K225*99%)</f>
        <v>154979.655</v>
      </c>
      <c r="L228" s="87">
        <f>SUM(K225)-(K225*98.5%)</f>
        <v>232469.4825</v>
      </c>
      <c r="M228" s="60"/>
      <c r="N228" s="24"/>
      <c r="O228" s="25"/>
      <c r="P228" s="41"/>
      <c r="Q228" s="30"/>
      <c r="R228" s="30"/>
      <c r="S228" s="21">
        <f t="shared" si="67"/>
        <v>0</v>
      </c>
      <c r="T228" s="13"/>
      <c r="U228" s="13"/>
      <c r="V228" s="13"/>
      <c r="W228" s="13"/>
      <c r="X228" s="14"/>
      <c r="Y228" s="38"/>
      <c r="Z228" s="24"/>
      <c r="AA228" s="25"/>
      <c r="AB228" s="41"/>
      <c r="AC228" s="30"/>
      <c r="AD228" s="30"/>
      <c r="AE228" s="21">
        <f t="shared" si="68"/>
        <v>0</v>
      </c>
      <c r="AF228" s="13"/>
      <c r="AG228" s="141">
        <v>39603.0</v>
      </c>
      <c r="AH228" s="13"/>
      <c r="AI228" s="13"/>
      <c r="AJ228" s="14"/>
      <c r="AK228" s="38"/>
      <c r="AL228" s="24"/>
      <c r="AM228" s="25"/>
      <c r="AN228" s="41"/>
      <c r="AO228" s="30"/>
      <c r="AP228" s="30"/>
      <c r="AQ228" s="21">
        <f t="shared" si="69"/>
        <v>0</v>
      </c>
      <c r="AR228" s="13"/>
      <c r="AS228" s="13"/>
      <c r="AT228" s="13"/>
      <c r="AU228" s="13"/>
      <c r="AV228" s="14"/>
      <c r="AW228" s="135"/>
      <c r="AX228" s="136"/>
      <c r="AY228" s="127"/>
      <c r="AZ228" s="129"/>
      <c r="BA228" s="126"/>
      <c r="BB228" s="126"/>
      <c r="BC228" s="128"/>
      <c r="BD228" s="13"/>
      <c r="BE228" s="13"/>
      <c r="BF228" s="13"/>
      <c r="BG228" s="13"/>
      <c r="BH228" s="13"/>
      <c r="BI228" s="135"/>
      <c r="BJ228" s="136"/>
      <c r="BK228" s="127"/>
      <c r="BL228" s="129"/>
      <c r="BM228" s="126"/>
      <c r="BN228" s="126"/>
      <c r="BO228" s="128"/>
      <c r="BP228" s="13"/>
      <c r="BQ228" s="13"/>
      <c r="BR228" s="13"/>
      <c r="BS228" s="13"/>
      <c r="BT228" s="13"/>
      <c r="BU228" s="107"/>
      <c r="BV228" s="107"/>
      <c r="BW228" s="107"/>
      <c r="BX228" s="107"/>
      <c r="BY228" s="107"/>
      <c r="BZ228" s="107"/>
      <c r="CA228" s="111"/>
      <c r="CB228" s="107"/>
      <c r="CC228" s="107"/>
      <c r="CD228" s="107"/>
      <c r="CE228" s="107"/>
      <c r="CF228" s="107"/>
      <c r="CG228" s="107"/>
      <c r="CH228" s="107"/>
      <c r="CI228" s="107"/>
      <c r="CJ228" s="107"/>
    </row>
    <row r="229">
      <c r="A229" s="60"/>
      <c r="B229" s="24"/>
      <c r="C229" s="25"/>
      <c r="D229" s="41"/>
      <c r="E229" s="46"/>
      <c r="F229" s="46"/>
      <c r="G229" s="21">
        <f t="shared" si="66"/>
        <v>0</v>
      </c>
      <c r="H229" s="95"/>
      <c r="I229" s="86" t="s">
        <v>53</v>
      </c>
      <c r="J229" s="86" t="s">
        <v>36</v>
      </c>
      <c r="K229" s="86" t="s">
        <v>53</v>
      </c>
      <c r="L229" s="86" t="s">
        <v>36</v>
      </c>
      <c r="M229" s="38"/>
      <c r="N229" s="37"/>
      <c r="O229" s="25"/>
      <c r="P229" s="41"/>
      <c r="Q229" s="20"/>
      <c r="R229" s="20"/>
      <c r="S229" s="21">
        <f t="shared" si="67"/>
        <v>0</v>
      </c>
      <c r="T229" s="13"/>
      <c r="U229" s="13"/>
      <c r="V229" s="13"/>
      <c r="W229" s="13"/>
      <c r="X229" s="14"/>
      <c r="Y229" s="38"/>
      <c r="Z229" s="37"/>
      <c r="AA229" s="25"/>
      <c r="AB229" s="41"/>
      <c r="AC229" s="20"/>
      <c r="AD229" s="20"/>
      <c r="AE229" s="21">
        <f t="shared" si="68"/>
        <v>0</v>
      </c>
      <c r="AF229" s="13"/>
      <c r="AG229" s="13"/>
      <c r="AH229" s="13"/>
      <c r="AI229" s="13"/>
      <c r="AJ229" s="14"/>
      <c r="AK229" s="38"/>
      <c r="AL229" s="37"/>
      <c r="AM229" s="25"/>
      <c r="AN229" s="41"/>
      <c r="AO229" s="20"/>
      <c r="AP229" s="20"/>
      <c r="AQ229" s="21">
        <f t="shared" si="69"/>
        <v>0</v>
      </c>
      <c r="AR229" s="13"/>
      <c r="AS229" s="13"/>
      <c r="AT229" s="13"/>
      <c r="AU229" s="13"/>
      <c r="AV229" s="14"/>
      <c r="AW229" s="135"/>
      <c r="AX229" s="137"/>
      <c r="AY229" s="129"/>
      <c r="AZ229" s="127"/>
      <c r="BA229" s="127"/>
      <c r="BB229" s="127"/>
      <c r="BC229" s="128"/>
      <c r="BD229" s="13"/>
      <c r="BE229" s="13"/>
      <c r="BF229" s="13"/>
      <c r="BG229" s="13"/>
      <c r="BH229" s="13"/>
      <c r="BI229" s="135"/>
      <c r="BJ229" s="137"/>
      <c r="BK229" s="129"/>
      <c r="BL229" s="127"/>
      <c r="BM229" s="127"/>
      <c r="BN229" s="127"/>
      <c r="BO229" s="128"/>
      <c r="BP229" s="13"/>
      <c r="BQ229" s="13"/>
      <c r="BR229" s="13"/>
      <c r="BS229" s="13"/>
      <c r="BT229" s="13"/>
      <c r="BU229" s="107"/>
      <c r="BV229" s="107"/>
      <c r="BW229" s="107"/>
      <c r="BX229" s="107"/>
      <c r="BY229" s="107"/>
      <c r="BZ229" s="107"/>
      <c r="CA229" s="111"/>
      <c r="CB229" s="107"/>
      <c r="CC229" s="107"/>
      <c r="CD229" s="107"/>
      <c r="CE229" s="107"/>
      <c r="CF229" s="107"/>
      <c r="CG229" s="107"/>
      <c r="CH229" s="107"/>
      <c r="CI229" s="107"/>
      <c r="CJ229" s="107"/>
    </row>
    <row r="230">
      <c r="A230" s="60"/>
      <c r="B230" s="47"/>
      <c r="C230" s="25"/>
      <c r="D230" s="33"/>
      <c r="E230" s="46"/>
      <c r="F230" s="46"/>
      <c r="G230" s="21">
        <f t="shared" si="66"/>
        <v>0</v>
      </c>
      <c r="H230" s="94" t="s">
        <v>12</v>
      </c>
      <c r="I230" s="87">
        <f t="shared" ref="I230:L230" si="74">SUM(I228)-(I228*10%)</f>
        <v>139481.6895</v>
      </c>
      <c r="J230" s="87">
        <f t="shared" si="74"/>
        <v>209222.5343</v>
      </c>
      <c r="K230" s="87">
        <f t="shared" si="74"/>
        <v>139481.6895</v>
      </c>
      <c r="L230" s="87">
        <f t="shared" si="74"/>
        <v>209222.5343</v>
      </c>
      <c r="M230" s="38"/>
      <c r="N230" s="24"/>
      <c r="O230" s="25"/>
      <c r="P230" s="41"/>
      <c r="Q230" s="46"/>
      <c r="R230" s="46"/>
      <c r="S230" s="21">
        <f t="shared" si="67"/>
        <v>0</v>
      </c>
      <c r="T230" s="13"/>
      <c r="U230" s="13"/>
      <c r="V230" s="13"/>
      <c r="W230" s="13"/>
      <c r="X230" s="14"/>
      <c r="Y230" s="38"/>
      <c r="Z230" s="24"/>
      <c r="AA230" s="25"/>
      <c r="AB230" s="41"/>
      <c r="AC230" s="46"/>
      <c r="AD230" s="46"/>
      <c r="AE230" s="21">
        <f t="shared" si="68"/>
        <v>0</v>
      </c>
      <c r="AF230" s="13"/>
      <c r="AG230" s="13"/>
      <c r="AH230" s="13"/>
      <c r="AI230" s="13"/>
      <c r="AJ230" s="14"/>
      <c r="AK230" s="38"/>
      <c r="AL230" s="24"/>
      <c r="AM230" s="25"/>
      <c r="AN230" s="41"/>
      <c r="AO230" s="46"/>
      <c r="AP230" s="46"/>
      <c r="AQ230" s="21">
        <f t="shared" si="69"/>
        <v>0</v>
      </c>
      <c r="AR230" s="13"/>
      <c r="AS230" s="13"/>
      <c r="AT230" s="13"/>
      <c r="AU230" s="13"/>
      <c r="AV230" s="14"/>
      <c r="AW230" s="135"/>
      <c r="AX230" s="125"/>
      <c r="AY230" s="129"/>
      <c r="AZ230" s="129"/>
      <c r="BA230" s="67"/>
      <c r="BB230" s="67"/>
      <c r="BC230" s="128"/>
      <c r="BD230" s="13"/>
      <c r="BE230" s="13"/>
      <c r="BF230" s="13"/>
      <c r="BG230" s="13"/>
      <c r="BH230" s="13"/>
      <c r="BI230" s="135"/>
      <c r="BJ230" s="125"/>
      <c r="BK230" s="129"/>
      <c r="BL230" s="129"/>
      <c r="BM230" s="67"/>
      <c r="BN230" s="67"/>
      <c r="BO230" s="128"/>
      <c r="BP230" s="13"/>
      <c r="BQ230" s="13"/>
      <c r="BR230" s="13"/>
      <c r="BS230" s="13"/>
      <c r="BT230" s="13"/>
      <c r="BU230" s="107"/>
      <c r="BV230" s="107"/>
      <c r="BW230" s="107"/>
      <c r="BX230" s="107"/>
      <c r="BY230" s="107"/>
      <c r="BZ230" s="107"/>
      <c r="CA230" s="111"/>
      <c r="CB230" s="107"/>
      <c r="CC230" s="107"/>
      <c r="CD230" s="107"/>
      <c r="CE230" s="107"/>
      <c r="CF230" s="107"/>
      <c r="CG230" s="107"/>
      <c r="CH230" s="107"/>
      <c r="CI230" s="107"/>
      <c r="CJ230" s="107"/>
    </row>
    <row r="231">
      <c r="A231" s="105"/>
      <c r="B231" s="47"/>
      <c r="C231" s="25"/>
      <c r="D231" s="33"/>
      <c r="E231" s="46"/>
      <c r="F231" s="46"/>
      <c r="G231" s="21">
        <f t="shared" si="66"/>
        <v>0</v>
      </c>
      <c r="H231" s="95">
        <f>H220+T220+AF220+AR220+BD220+BP220+CB220</f>
        <v>17271000</v>
      </c>
      <c r="I231" s="95"/>
      <c r="J231" s="95"/>
      <c r="K231" s="86" t="s">
        <v>66</v>
      </c>
      <c r="L231" s="95"/>
      <c r="M231" s="38"/>
      <c r="N231" s="47"/>
      <c r="O231" s="25"/>
      <c r="P231" s="41"/>
      <c r="Q231" s="46"/>
      <c r="R231" s="46"/>
      <c r="S231" s="21">
        <f t="shared" si="67"/>
        <v>0</v>
      </c>
      <c r="T231" s="13"/>
      <c r="U231" s="13"/>
      <c r="V231" s="13"/>
      <c r="W231" s="13"/>
      <c r="X231" s="14"/>
      <c r="Y231" s="38"/>
      <c r="Z231" s="47"/>
      <c r="AA231" s="25"/>
      <c r="AB231" s="41"/>
      <c r="AC231" s="46"/>
      <c r="AD231" s="46"/>
      <c r="AE231" s="21">
        <f t="shared" si="68"/>
        <v>0</v>
      </c>
      <c r="AF231" s="13"/>
      <c r="AG231" s="13"/>
      <c r="AH231" s="13"/>
      <c r="AI231" s="13"/>
      <c r="AJ231" s="14"/>
      <c r="AK231" s="38"/>
      <c r="AL231" s="47"/>
      <c r="AM231" s="25"/>
      <c r="AN231" s="41"/>
      <c r="AO231" s="46"/>
      <c r="AP231" s="46"/>
      <c r="AQ231" s="21">
        <f t="shared" si="69"/>
        <v>0</v>
      </c>
      <c r="AR231" s="13"/>
      <c r="AS231" s="13"/>
      <c r="AT231" s="13"/>
      <c r="AU231" s="13"/>
      <c r="AV231" s="14"/>
      <c r="AW231" s="135"/>
      <c r="AX231" s="138"/>
      <c r="AY231" s="129"/>
      <c r="AZ231" s="127"/>
      <c r="BA231" s="67"/>
      <c r="BB231" s="67"/>
      <c r="BC231" s="128"/>
      <c r="BD231" s="13"/>
      <c r="BE231" s="13"/>
      <c r="BF231" s="13"/>
      <c r="BG231" s="13"/>
      <c r="BH231" s="13"/>
      <c r="BI231" s="135"/>
      <c r="BJ231" s="138"/>
      <c r="BK231" s="129"/>
      <c r="BL231" s="127"/>
      <c r="BM231" s="67"/>
      <c r="BN231" s="67"/>
      <c r="BO231" s="128"/>
      <c r="BP231" s="13"/>
      <c r="BQ231" s="13"/>
      <c r="BR231" s="13"/>
      <c r="BS231" s="13"/>
      <c r="BT231" s="13"/>
      <c r="BU231" s="107"/>
      <c r="BV231" s="107"/>
      <c r="BW231" s="107"/>
      <c r="BX231" s="107"/>
      <c r="BY231" s="107"/>
      <c r="BZ231" s="107"/>
      <c r="CA231" s="111"/>
      <c r="CB231" s="107"/>
      <c r="CC231" s="107"/>
      <c r="CD231" s="107"/>
      <c r="CE231" s="107"/>
      <c r="CF231" s="107"/>
      <c r="CG231" s="107"/>
      <c r="CH231" s="107"/>
      <c r="CI231" s="107"/>
      <c r="CJ231" s="107"/>
    </row>
    <row r="232">
      <c r="A232" s="105"/>
      <c r="B232" s="32"/>
      <c r="C232" s="25"/>
      <c r="D232" s="41"/>
      <c r="E232" s="46"/>
      <c r="F232" s="46"/>
      <c r="G232" s="21">
        <f t="shared" si="66"/>
        <v>0</v>
      </c>
      <c r="H232" s="95"/>
      <c r="I232" s="95"/>
      <c r="J232" s="95"/>
      <c r="K232" s="95">
        <f>J222+K230</f>
        <v>213330.6855</v>
      </c>
      <c r="L232" s="95"/>
      <c r="M232" s="38"/>
      <c r="N232" s="32"/>
      <c r="O232" s="25"/>
      <c r="P232" s="41"/>
      <c r="Q232" s="46"/>
      <c r="R232" s="46"/>
      <c r="S232" s="21">
        <f t="shared" si="67"/>
        <v>0</v>
      </c>
      <c r="T232" s="13"/>
      <c r="U232" s="13"/>
      <c r="V232" s="13"/>
      <c r="W232" s="13"/>
      <c r="X232" s="14"/>
      <c r="Y232" s="38"/>
      <c r="Z232" s="32"/>
      <c r="AA232" s="25"/>
      <c r="AB232" s="41"/>
      <c r="AC232" s="46"/>
      <c r="AD232" s="46"/>
      <c r="AE232" s="21">
        <f t="shared" si="68"/>
        <v>0</v>
      </c>
      <c r="AF232" s="13"/>
      <c r="AG232" s="13"/>
      <c r="AH232" s="13"/>
      <c r="AI232" s="13"/>
      <c r="AJ232" s="14"/>
      <c r="AK232" s="38"/>
      <c r="AL232" s="32"/>
      <c r="AM232" s="25"/>
      <c r="AN232" s="41"/>
      <c r="AO232" s="46"/>
      <c r="AP232" s="46"/>
      <c r="AQ232" s="21">
        <f t="shared" si="69"/>
        <v>0</v>
      </c>
      <c r="AR232" s="13"/>
      <c r="AS232" s="13"/>
      <c r="AT232" s="13"/>
      <c r="AU232" s="13"/>
      <c r="AV232" s="14"/>
      <c r="AW232" s="135"/>
      <c r="AX232" s="127"/>
      <c r="AY232" s="129"/>
      <c r="AZ232" s="129"/>
      <c r="BA232" s="67"/>
      <c r="BB232" s="67"/>
      <c r="BC232" s="128"/>
      <c r="BD232" s="13"/>
      <c r="BE232" s="13"/>
      <c r="BF232" s="13"/>
      <c r="BG232" s="13"/>
      <c r="BH232" s="13"/>
      <c r="BI232" s="135"/>
      <c r="BJ232" s="127"/>
      <c r="BK232" s="129"/>
      <c r="BL232" s="129"/>
      <c r="BM232" s="67"/>
      <c r="BN232" s="67"/>
      <c r="BO232" s="128"/>
      <c r="BP232" s="13"/>
      <c r="BQ232" s="13"/>
      <c r="BR232" s="13"/>
      <c r="BS232" s="13"/>
      <c r="BT232" s="13"/>
      <c r="BU232" s="107"/>
      <c r="BV232" s="107"/>
      <c r="BW232" s="107"/>
      <c r="BX232" s="107"/>
      <c r="BY232" s="107"/>
      <c r="BZ232" s="107"/>
      <c r="CA232" s="111"/>
      <c r="CB232" s="107"/>
      <c r="CC232" s="107"/>
      <c r="CD232" s="107"/>
      <c r="CE232" s="107"/>
      <c r="CF232" s="107"/>
      <c r="CG232" s="107"/>
      <c r="CH232" s="107"/>
      <c r="CI232" s="107"/>
      <c r="CJ232" s="107"/>
    </row>
    <row r="233">
      <c r="A233" s="105"/>
      <c r="B233" s="47"/>
      <c r="C233" s="25"/>
      <c r="D233" s="41"/>
      <c r="E233" s="46"/>
      <c r="F233" s="46"/>
      <c r="G233" s="21">
        <f t="shared" si="66"/>
        <v>0</v>
      </c>
      <c r="H233" s="13"/>
      <c r="I233" s="13"/>
      <c r="J233" s="13"/>
      <c r="K233" s="13"/>
      <c r="L233" s="14"/>
      <c r="M233" s="38"/>
      <c r="N233" s="47"/>
      <c r="O233" s="25"/>
      <c r="P233" s="41"/>
      <c r="Q233" s="46"/>
      <c r="R233" s="46"/>
      <c r="S233" s="21">
        <f t="shared" si="67"/>
        <v>0</v>
      </c>
      <c r="T233" s="13"/>
      <c r="U233" s="116"/>
      <c r="V233" s="117" t="s">
        <v>59</v>
      </c>
      <c r="W233" s="116"/>
      <c r="X233" s="14"/>
      <c r="Y233" s="38"/>
      <c r="Z233" s="47"/>
      <c r="AA233" s="25"/>
      <c r="AB233" s="41"/>
      <c r="AC233" s="46"/>
      <c r="AD233" s="46"/>
      <c r="AE233" s="21">
        <f t="shared" si="68"/>
        <v>0</v>
      </c>
      <c r="AF233" s="13"/>
      <c r="AG233" s="116"/>
      <c r="AH233" s="117" t="s">
        <v>59</v>
      </c>
      <c r="AI233" s="116"/>
      <c r="AJ233" s="14"/>
      <c r="AK233" s="38"/>
      <c r="AL233" s="47"/>
      <c r="AM233" s="25"/>
      <c r="AN233" s="41"/>
      <c r="AO233" s="46"/>
      <c r="AP233" s="46"/>
      <c r="AQ233" s="21">
        <f t="shared" si="69"/>
        <v>0</v>
      </c>
      <c r="AR233" s="13"/>
      <c r="AS233" s="116"/>
      <c r="AT233" s="117" t="s">
        <v>59</v>
      </c>
      <c r="AU233" s="116"/>
      <c r="AV233" s="14"/>
      <c r="AW233" s="135"/>
      <c r="AX233" s="135"/>
      <c r="AY233" s="13"/>
      <c r="AZ233" s="13"/>
      <c r="BA233" s="67"/>
      <c r="BB233" s="67"/>
      <c r="BC233" s="128"/>
      <c r="BD233" s="13"/>
      <c r="BE233" s="13"/>
      <c r="BF233" s="67"/>
      <c r="BG233" s="13"/>
      <c r="BH233" s="13"/>
      <c r="BI233" s="135"/>
      <c r="BJ233" s="135"/>
      <c r="BK233" s="13"/>
      <c r="BL233" s="13"/>
      <c r="BM233" s="67"/>
      <c r="BN233" s="67"/>
      <c r="BO233" s="128"/>
      <c r="BP233" s="13"/>
      <c r="BQ233" s="13"/>
      <c r="BR233" s="67"/>
      <c r="BS233" s="13"/>
      <c r="BT233" s="13"/>
      <c r="BU233" s="107"/>
      <c r="BV233" s="107"/>
      <c r="BW233" s="107"/>
      <c r="BX233" s="107"/>
      <c r="BY233" s="107"/>
      <c r="BZ233" s="107"/>
      <c r="CA233" s="111"/>
      <c r="CB233" s="107"/>
      <c r="CC233" s="107"/>
      <c r="CD233" s="107"/>
      <c r="CE233" s="107"/>
      <c r="CF233" s="107"/>
      <c r="CG233" s="107"/>
      <c r="CH233" s="107"/>
      <c r="CI233" s="107"/>
      <c r="CJ233" s="107"/>
    </row>
    <row r="234">
      <c r="A234" s="38"/>
      <c r="B234" s="47"/>
      <c r="C234" s="25"/>
      <c r="D234" s="41"/>
      <c r="E234" s="46"/>
      <c r="F234" s="46"/>
      <c r="G234" s="21">
        <f t="shared" si="66"/>
        <v>0</v>
      </c>
      <c r="H234" s="116"/>
      <c r="I234" s="117" t="s">
        <v>61</v>
      </c>
      <c r="J234" s="116"/>
      <c r="K234" s="13"/>
      <c r="L234" s="14"/>
      <c r="M234" s="38"/>
      <c r="N234" s="47"/>
      <c r="O234" s="25"/>
      <c r="P234" s="41"/>
      <c r="Q234" s="46"/>
      <c r="R234" s="46"/>
      <c r="S234" s="21">
        <f t="shared" si="67"/>
        <v>0</v>
      </c>
      <c r="T234" s="13"/>
      <c r="U234" s="118">
        <v>0.03</v>
      </c>
      <c r="V234" s="118">
        <v>0.05</v>
      </c>
      <c r="W234" s="118">
        <v>0.07</v>
      </c>
      <c r="X234" s="14"/>
      <c r="Y234" s="38"/>
      <c r="Z234" s="47"/>
      <c r="AA234" s="25"/>
      <c r="AB234" s="41"/>
      <c r="AC234" s="46"/>
      <c r="AD234" s="46"/>
      <c r="AE234" s="21">
        <f t="shared" si="68"/>
        <v>0</v>
      </c>
      <c r="AF234" s="13"/>
      <c r="AG234" s="118">
        <v>0.03</v>
      </c>
      <c r="AH234" s="118">
        <v>0.05</v>
      </c>
      <c r="AI234" s="118">
        <v>0.07</v>
      </c>
      <c r="AJ234" s="14"/>
      <c r="AK234" s="38"/>
      <c r="AL234" s="47"/>
      <c r="AM234" s="25"/>
      <c r="AN234" s="41"/>
      <c r="AO234" s="46"/>
      <c r="AP234" s="46"/>
      <c r="AQ234" s="21">
        <f t="shared" si="69"/>
        <v>0</v>
      </c>
      <c r="AR234" s="13"/>
      <c r="AS234" s="118">
        <v>0.03</v>
      </c>
      <c r="AT234" s="118">
        <v>0.05</v>
      </c>
      <c r="AU234" s="118">
        <v>0.07</v>
      </c>
      <c r="AV234" s="14"/>
      <c r="AW234" s="135"/>
      <c r="AX234" s="135"/>
      <c r="AY234" s="13"/>
      <c r="AZ234" s="13"/>
      <c r="BA234" s="67"/>
      <c r="BB234" s="67"/>
      <c r="BC234" s="128"/>
      <c r="BD234" s="13"/>
      <c r="BE234" s="139"/>
      <c r="BF234" s="139"/>
      <c r="BG234" s="139"/>
      <c r="BH234" s="13"/>
      <c r="BI234" s="135"/>
      <c r="BJ234" s="135"/>
      <c r="BK234" s="13"/>
      <c r="BL234" s="13"/>
      <c r="BM234" s="67"/>
      <c r="BN234" s="67"/>
      <c r="BO234" s="128"/>
      <c r="BP234" s="13"/>
      <c r="BQ234" s="139"/>
      <c r="BR234" s="139"/>
      <c r="BS234" s="139"/>
      <c r="BT234" s="13"/>
      <c r="BU234" s="107"/>
      <c r="BV234" s="107"/>
      <c r="BW234" s="107"/>
      <c r="BX234" s="107"/>
      <c r="BY234" s="107"/>
      <c r="BZ234" s="107"/>
      <c r="CA234" s="111"/>
      <c r="CB234" s="107"/>
      <c r="CC234" s="107"/>
      <c r="CD234" s="107"/>
      <c r="CE234" s="107"/>
      <c r="CF234" s="107"/>
      <c r="CG234" s="107"/>
      <c r="CH234" s="107"/>
      <c r="CI234" s="107"/>
      <c r="CJ234" s="107"/>
    </row>
    <row r="235">
      <c r="A235" s="38"/>
      <c r="B235" s="47"/>
      <c r="C235" s="25"/>
      <c r="D235" s="41"/>
      <c r="E235" s="46"/>
      <c r="F235" s="46"/>
      <c r="G235" s="21">
        <f t="shared" si="66"/>
        <v>0</v>
      </c>
      <c r="H235" s="118">
        <v>0.03</v>
      </c>
      <c r="I235" s="118">
        <v>0.05</v>
      </c>
      <c r="J235" s="118">
        <v>0.07</v>
      </c>
      <c r="K235" s="13"/>
      <c r="L235" s="14"/>
      <c r="M235" s="38"/>
      <c r="N235" s="47"/>
      <c r="O235" s="25"/>
      <c r="P235" s="41"/>
      <c r="Q235" s="46"/>
      <c r="R235" s="46"/>
      <c r="S235" s="21">
        <f t="shared" si="67"/>
        <v>0</v>
      </c>
      <c r="T235" s="13"/>
      <c r="U235" s="117">
        <v>7.0</v>
      </c>
      <c r="V235" s="117">
        <v>12.0</v>
      </c>
      <c r="W235" s="117">
        <v>15.0</v>
      </c>
      <c r="X235" s="14"/>
      <c r="Y235" s="38"/>
      <c r="Z235" s="47"/>
      <c r="AA235" s="25"/>
      <c r="AB235" s="41"/>
      <c r="AC235" s="46"/>
      <c r="AD235" s="46"/>
      <c r="AE235" s="21">
        <f t="shared" si="68"/>
        <v>0</v>
      </c>
      <c r="AF235" s="13"/>
      <c r="AG235" s="117">
        <v>7.0</v>
      </c>
      <c r="AH235" s="117">
        <v>12.0</v>
      </c>
      <c r="AI235" s="117">
        <v>15.0</v>
      </c>
      <c r="AJ235" s="14"/>
      <c r="AK235" s="38"/>
      <c r="AL235" s="47"/>
      <c r="AM235" s="25"/>
      <c r="AN235" s="41"/>
      <c r="AO235" s="46"/>
      <c r="AP235" s="46"/>
      <c r="AQ235" s="21">
        <f t="shared" si="69"/>
        <v>0</v>
      </c>
      <c r="AR235" s="13"/>
      <c r="AS235" s="117">
        <v>7.0</v>
      </c>
      <c r="AT235" s="117">
        <v>12.0</v>
      </c>
      <c r="AU235" s="117">
        <v>15.0</v>
      </c>
      <c r="AV235" s="14"/>
      <c r="AW235" s="135"/>
      <c r="AX235" s="135"/>
      <c r="AY235" s="13"/>
      <c r="AZ235" s="13"/>
      <c r="BA235" s="67"/>
      <c r="BB235" s="67"/>
      <c r="BC235" s="128"/>
      <c r="BD235" s="13"/>
      <c r="BE235" s="67"/>
      <c r="BF235" s="67"/>
      <c r="BG235" s="67"/>
      <c r="BH235" s="13"/>
      <c r="BI235" s="135"/>
      <c r="BJ235" s="135"/>
      <c r="BK235" s="13"/>
      <c r="BL235" s="13"/>
      <c r="BM235" s="67"/>
      <c r="BN235" s="67"/>
      <c r="BO235" s="128"/>
      <c r="BP235" s="13"/>
      <c r="BQ235" s="67"/>
      <c r="BR235" s="67"/>
      <c r="BS235" s="67"/>
      <c r="BT235" s="13"/>
      <c r="BU235" s="107"/>
      <c r="BV235" s="107"/>
      <c r="BW235" s="107"/>
      <c r="BX235" s="107"/>
      <c r="BY235" s="107"/>
      <c r="BZ235" s="107"/>
      <c r="CA235" s="111"/>
      <c r="CB235" s="107"/>
      <c r="CC235" s="107"/>
      <c r="CD235" s="107"/>
      <c r="CE235" s="107"/>
      <c r="CF235" s="107"/>
      <c r="CG235" s="107"/>
      <c r="CH235" s="107"/>
      <c r="CI235" s="107"/>
      <c r="CJ235" s="107"/>
    </row>
    <row r="236">
      <c r="A236" s="38"/>
      <c r="B236" s="32"/>
      <c r="C236" s="25"/>
      <c r="D236" s="41"/>
      <c r="E236" s="49"/>
      <c r="F236" s="49"/>
      <c r="G236" s="21">
        <f t="shared" si="66"/>
        <v>0</v>
      </c>
      <c r="H236" s="117">
        <v>7.0</v>
      </c>
      <c r="I236" s="117">
        <v>12.0</v>
      </c>
      <c r="J236" s="117">
        <v>15.0</v>
      </c>
      <c r="K236" s="13"/>
      <c r="L236" s="14"/>
      <c r="M236" s="38"/>
      <c r="N236" s="32"/>
      <c r="O236" s="25"/>
      <c r="P236" s="41"/>
      <c r="Q236" s="49"/>
      <c r="R236" s="49"/>
      <c r="S236" s="21">
        <f t="shared" si="67"/>
        <v>0</v>
      </c>
      <c r="T236" s="13"/>
      <c r="U236" s="13"/>
      <c r="V236" s="13"/>
      <c r="W236" s="13"/>
      <c r="X236" s="14"/>
      <c r="Y236" s="38"/>
      <c r="Z236" s="32"/>
      <c r="AA236" s="25"/>
      <c r="AB236" s="41"/>
      <c r="AC236" s="49"/>
      <c r="AD236" s="49"/>
      <c r="AE236" s="21">
        <f t="shared" si="68"/>
        <v>0</v>
      </c>
      <c r="AF236" s="13"/>
      <c r="AG236" s="13"/>
      <c r="AH236" s="13"/>
      <c r="AI236" s="13"/>
      <c r="AJ236" s="14"/>
      <c r="AK236" s="38"/>
      <c r="AL236" s="32"/>
      <c r="AM236" s="25"/>
      <c r="AN236" s="41"/>
      <c r="AO236" s="49"/>
      <c r="AP236" s="49"/>
      <c r="AQ236" s="21">
        <f t="shared" si="69"/>
        <v>0</v>
      </c>
      <c r="AR236" s="13"/>
      <c r="AS236" s="13"/>
      <c r="AT236" s="13"/>
      <c r="AU236" s="13"/>
      <c r="AV236" s="14"/>
      <c r="AW236" s="135"/>
      <c r="AX236" s="13"/>
      <c r="AY236" s="13"/>
      <c r="AZ236" s="13"/>
      <c r="BA236" s="13"/>
      <c r="BB236" s="13"/>
      <c r="BC236" s="128"/>
      <c r="BD236" s="13"/>
      <c r="BE236" s="13"/>
      <c r="BF236" s="13"/>
      <c r="BG236" s="13"/>
      <c r="BH236" s="13"/>
      <c r="BI236" s="135"/>
      <c r="BJ236" s="13"/>
      <c r="BK236" s="13"/>
      <c r="BL236" s="13"/>
      <c r="BM236" s="13"/>
      <c r="BN236" s="13"/>
      <c r="BO236" s="128"/>
      <c r="BP236" s="13"/>
      <c r="BQ236" s="13"/>
      <c r="BR236" s="13"/>
      <c r="BS236" s="13"/>
      <c r="BT236" s="13"/>
      <c r="BU236" s="107"/>
      <c r="BV236" s="107"/>
      <c r="BW236" s="107"/>
      <c r="BX236" s="107"/>
      <c r="BY236" s="107"/>
      <c r="BZ236" s="107"/>
      <c r="CA236" s="111"/>
      <c r="CB236" s="107"/>
      <c r="CC236" s="107"/>
      <c r="CD236" s="107"/>
      <c r="CE236" s="107"/>
      <c r="CF236" s="107"/>
      <c r="CG236" s="107"/>
      <c r="CH236" s="107"/>
      <c r="CI236" s="107"/>
      <c r="CJ236" s="107"/>
    </row>
    <row r="237">
      <c r="A237" s="38"/>
      <c r="B237" s="32"/>
      <c r="C237" s="25"/>
      <c r="D237" s="41"/>
      <c r="E237" s="49"/>
      <c r="F237" s="49"/>
      <c r="G237" s="21">
        <f t="shared" si="66"/>
        <v>0</v>
      </c>
      <c r="H237" s="13"/>
      <c r="I237" s="13"/>
      <c r="J237" s="13"/>
      <c r="K237" s="13"/>
      <c r="L237" s="14"/>
      <c r="M237" s="38"/>
      <c r="N237" s="32"/>
      <c r="O237" s="25"/>
      <c r="P237" s="41"/>
      <c r="Q237" s="49"/>
      <c r="R237" s="49"/>
      <c r="S237" s="21">
        <f t="shared" si="67"/>
        <v>0</v>
      </c>
      <c r="T237" s="13"/>
      <c r="U237" s="13"/>
      <c r="V237" s="13"/>
      <c r="W237" s="13"/>
      <c r="X237" s="14"/>
      <c r="Y237" s="38"/>
      <c r="Z237" s="32"/>
      <c r="AA237" s="25"/>
      <c r="AB237" s="41"/>
      <c r="AC237" s="49"/>
      <c r="AD237" s="49"/>
      <c r="AE237" s="21">
        <f t="shared" si="68"/>
        <v>0</v>
      </c>
      <c r="AF237" s="13"/>
      <c r="AG237" s="13"/>
      <c r="AH237" s="13"/>
      <c r="AI237" s="13"/>
      <c r="AJ237" s="14"/>
      <c r="AK237" s="38"/>
      <c r="AL237" s="32"/>
      <c r="AM237" s="25"/>
      <c r="AN237" s="41"/>
      <c r="AO237" s="49"/>
      <c r="AP237" s="49"/>
      <c r="AQ237" s="21">
        <f t="shared" si="69"/>
        <v>0</v>
      </c>
      <c r="AR237" s="13"/>
      <c r="AS237" s="13"/>
      <c r="AT237" s="13"/>
      <c r="AU237" s="13"/>
      <c r="AV237" s="14"/>
      <c r="AW237" s="135"/>
      <c r="AX237" s="13"/>
      <c r="AY237" s="13"/>
      <c r="AZ237" s="13"/>
      <c r="BA237" s="13"/>
      <c r="BB237" s="13"/>
      <c r="BC237" s="128"/>
      <c r="BD237" s="13"/>
      <c r="BE237" s="13"/>
      <c r="BF237" s="13"/>
      <c r="BG237" s="13"/>
      <c r="BH237" s="13"/>
      <c r="BI237" s="135"/>
      <c r="BJ237" s="13"/>
      <c r="BK237" s="13"/>
      <c r="BL237" s="13"/>
      <c r="BM237" s="13"/>
      <c r="BN237" s="13"/>
      <c r="BO237" s="128"/>
      <c r="BP237" s="13"/>
      <c r="BQ237" s="13"/>
      <c r="BR237" s="13"/>
      <c r="BS237" s="13"/>
      <c r="BT237" s="13"/>
      <c r="BU237" s="107"/>
      <c r="BV237" s="107"/>
      <c r="BW237" s="107"/>
      <c r="BX237" s="107"/>
      <c r="BY237" s="107"/>
      <c r="BZ237" s="107"/>
      <c r="CA237" s="111"/>
      <c r="CB237" s="107"/>
      <c r="CC237" s="107"/>
      <c r="CD237" s="107"/>
      <c r="CE237" s="107"/>
      <c r="CF237" s="107"/>
      <c r="CG237" s="107"/>
      <c r="CH237" s="107"/>
      <c r="CI237" s="107"/>
      <c r="CJ237" s="107"/>
    </row>
    <row r="238">
      <c r="A238" s="38"/>
      <c r="B238" s="32"/>
      <c r="C238" s="25"/>
      <c r="D238" s="41"/>
      <c r="E238" s="49"/>
      <c r="F238" s="49"/>
      <c r="G238" s="21">
        <f t="shared" si="66"/>
        <v>0</v>
      </c>
      <c r="H238" s="13"/>
      <c r="I238" s="13"/>
      <c r="J238" s="67">
        <v>30.0</v>
      </c>
      <c r="K238" s="13"/>
      <c r="L238" s="14"/>
      <c r="M238" s="38"/>
      <c r="N238" s="32"/>
      <c r="O238" s="25"/>
      <c r="P238" s="41"/>
      <c r="Q238" s="49"/>
      <c r="R238" s="49"/>
      <c r="S238" s="21">
        <f t="shared" si="67"/>
        <v>0</v>
      </c>
      <c r="T238" s="13"/>
      <c r="U238" s="13"/>
      <c r="V238" s="13"/>
      <c r="W238" s="13"/>
      <c r="X238" s="14"/>
      <c r="Y238" s="38"/>
      <c r="Z238" s="32"/>
      <c r="AA238" s="25"/>
      <c r="AB238" s="41"/>
      <c r="AC238" s="49"/>
      <c r="AD238" s="49"/>
      <c r="AE238" s="21">
        <f t="shared" si="68"/>
        <v>0</v>
      </c>
      <c r="AF238" s="13"/>
      <c r="AG238" s="13"/>
      <c r="AH238" s="13"/>
      <c r="AI238" s="13"/>
      <c r="AJ238" s="14"/>
      <c r="AK238" s="38"/>
      <c r="AL238" s="32"/>
      <c r="AM238" s="25"/>
      <c r="AN238" s="41"/>
      <c r="AO238" s="49"/>
      <c r="AP238" s="49"/>
      <c r="AQ238" s="21">
        <f t="shared" si="69"/>
        <v>0</v>
      </c>
      <c r="AR238" s="13"/>
      <c r="AS238" s="13"/>
      <c r="AT238" s="13"/>
      <c r="AU238" s="13"/>
      <c r="AV238" s="14"/>
      <c r="AW238" s="135"/>
      <c r="AX238" s="13"/>
      <c r="AY238" s="13"/>
      <c r="AZ238" s="13"/>
      <c r="BA238" s="13"/>
      <c r="BB238" s="13"/>
      <c r="BC238" s="128"/>
      <c r="BD238" s="13"/>
      <c r="BE238" s="13"/>
      <c r="BF238" s="13"/>
      <c r="BG238" s="13"/>
      <c r="BH238" s="13"/>
      <c r="BI238" s="135"/>
      <c r="BJ238" s="13"/>
      <c r="BK238" s="13"/>
      <c r="BL238" s="13"/>
      <c r="BM238" s="13"/>
      <c r="BN238" s="13"/>
      <c r="BO238" s="128"/>
      <c r="BP238" s="13"/>
      <c r="BQ238" s="13"/>
      <c r="BR238" s="13"/>
      <c r="BS238" s="13"/>
      <c r="BT238" s="13"/>
      <c r="BU238" s="107"/>
      <c r="BV238" s="107"/>
      <c r="BW238" s="107"/>
      <c r="BX238" s="107"/>
      <c r="BY238" s="107"/>
      <c r="BZ238" s="107"/>
      <c r="CA238" s="111"/>
      <c r="CB238" s="107"/>
      <c r="CC238" s="107"/>
      <c r="CD238" s="107"/>
      <c r="CE238" s="107"/>
      <c r="CF238" s="107"/>
      <c r="CG238" s="107"/>
      <c r="CH238" s="107"/>
      <c r="CI238" s="107"/>
      <c r="CJ238" s="107"/>
    </row>
    <row r="239">
      <c r="A239" s="38"/>
      <c r="B239" s="32"/>
      <c r="C239" s="25"/>
      <c r="D239" s="41"/>
      <c r="E239" s="46"/>
      <c r="F239" s="46"/>
      <c r="G239" s="21">
        <f t="shared" si="66"/>
        <v>0</v>
      </c>
      <c r="H239" s="13"/>
      <c r="I239" s="67"/>
      <c r="J239" s="13"/>
      <c r="K239" s="13"/>
      <c r="L239" s="14"/>
      <c r="M239" s="38"/>
      <c r="N239" s="32"/>
      <c r="O239" s="25"/>
      <c r="P239" s="41"/>
      <c r="Q239" s="46"/>
      <c r="R239" s="46"/>
      <c r="S239" s="21">
        <f t="shared" si="67"/>
        <v>0</v>
      </c>
      <c r="T239" s="13"/>
      <c r="U239" s="13"/>
      <c r="V239" s="13"/>
      <c r="W239" s="13"/>
      <c r="X239" s="14"/>
      <c r="Y239" s="38"/>
      <c r="Z239" s="32"/>
      <c r="AA239" s="25"/>
      <c r="AB239" s="41"/>
      <c r="AC239" s="46"/>
      <c r="AD239" s="46"/>
      <c r="AE239" s="21">
        <f t="shared" si="68"/>
        <v>0</v>
      </c>
      <c r="AF239" s="13"/>
      <c r="AG239" s="13"/>
      <c r="AH239" s="13"/>
      <c r="AI239" s="13"/>
      <c r="AJ239" s="14"/>
      <c r="AK239" s="38"/>
      <c r="AL239" s="32"/>
      <c r="AM239" s="25"/>
      <c r="AN239" s="41"/>
      <c r="AO239" s="46"/>
      <c r="AP239" s="46"/>
      <c r="AQ239" s="21">
        <f t="shared" si="69"/>
        <v>0</v>
      </c>
      <c r="AR239" s="13"/>
      <c r="AS239" s="13"/>
      <c r="AT239" s="13"/>
      <c r="AU239" s="13"/>
      <c r="AV239" s="14"/>
      <c r="AW239" s="135"/>
      <c r="AX239" s="13"/>
      <c r="AY239" s="13"/>
      <c r="AZ239" s="13"/>
      <c r="BA239" s="67"/>
      <c r="BB239" s="67"/>
      <c r="BC239" s="128"/>
      <c r="BD239" s="13"/>
      <c r="BE239" s="13"/>
      <c r="BF239" s="13"/>
      <c r="BG239" s="13"/>
      <c r="BH239" s="13"/>
      <c r="BI239" s="135"/>
      <c r="BJ239" s="13"/>
      <c r="BK239" s="13"/>
      <c r="BL239" s="13"/>
      <c r="BM239" s="67"/>
      <c r="BN239" s="67"/>
      <c r="BO239" s="128"/>
      <c r="BP239" s="13"/>
      <c r="BQ239" s="13"/>
      <c r="BR239" s="13"/>
      <c r="BS239" s="13"/>
      <c r="BT239" s="13"/>
      <c r="BU239" s="107"/>
      <c r="BV239" s="107"/>
      <c r="BW239" s="107"/>
      <c r="BX239" s="107"/>
      <c r="BY239" s="107"/>
      <c r="BZ239" s="107"/>
      <c r="CA239" s="111"/>
      <c r="CB239" s="107"/>
      <c r="CC239" s="107"/>
      <c r="CD239" s="107"/>
      <c r="CE239" s="107"/>
      <c r="CF239" s="107"/>
      <c r="CG239" s="107"/>
      <c r="CH239" s="107"/>
      <c r="CI239" s="107"/>
      <c r="CJ239" s="107"/>
    </row>
    <row r="240">
      <c r="A240" s="38"/>
      <c r="B240" s="47"/>
      <c r="C240" s="25"/>
      <c r="D240" s="41"/>
      <c r="E240" s="49"/>
      <c r="F240" s="49"/>
      <c r="G240" s="21">
        <f t="shared" si="66"/>
        <v>0</v>
      </c>
      <c r="H240" s="13"/>
      <c r="I240" s="67"/>
      <c r="J240" s="13"/>
      <c r="K240" s="13"/>
      <c r="L240" s="14"/>
      <c r="M240" s="38"/>
      <c r="N240" s="47"/>
      <c r="O240" s="25"/>
      <c r="P240" s="41"/>
      <c r="Q240" s="49"/>
      <c r="R240" s="49"/>
      <c r="S240" s="21">
        <f t="shared" si="67"/>
        <v>0</v>
      </c>
      <c r="T240" s="13"/>
      <c r="U240" s="13"/>
      <c r="V240" s="13"/>
      <c r="W240" s="13"/>
      <c r="X240" s="14"/>
      <c r="Y240" s="38"/>
      <c r="Z240" s="47"/>
      <c r="AA240" s="25"/>
      <c r="AB240" s="41"/>
      <c r="AC240" s="49"/>
      <c r="AD240" s="49"/>
      <c r="AE240" s="21">
        <f t="shared" si="68"/>
        <v>0</v>
      </c>
      <c r="AF240" s="13"/>
      <c r="AG240" s="13"/>
      <c r="AH240" s="13"/>
      <c r="AI240" s="13"/>
      <c r="AJ240" s="14"/>
      <c r="AK240" s="38"/>
      <c r="AL240" s="47"/>
      <c r="AM240" s="25"/>
      <c r="AN240" s="41"/>
      <c r="AO240" s="49"/>
      <c r="AP240" s="49"/>
      <c r="AQ240" s="21">
        <f t="shared" si="69"/>
        <v>0</v>
      </c>
      <c r="AR240" s="13"/>
      <c r="AS240" s="13"/>
      <c r="AT240" s="13"/>
      <c r="AU240" s="13"/>
      <c r="AV240" s="14"/>
      <c r="AW240" s="135"/>
      <c r="AX240" s="135"/>
      <c r="AY240" s="13"/>
      <c r="AZ240" s="13"/>
      <c r="BA240" s="13"/>
      <c r="BB240" s="13"/>
      <c r="BC240" s="128"/>
      <c r="BD240" s="13"/>
      <c r="BE240" s="13"/>
      <c r="BF240" s="13"/>
      <c r="BG240" s="13"/>
      <c r="BH240" s="13"/>
      <c r="BI240" s="135"/>
      <c r="BJ240" s="135"/>
      <c r="BK240" s="13"/>
      <c r="BL240" s="13"/>
      <c r="BM240" s="13"/>
      <c r="BN240" s="13"/>
      <c r="BO240" s="128"/>
      <c r="BP240" s="13"/>
      <c r="BQ240" s="13"/>
      <c r="BR240" s="13"/>
      <c r="BS240" s="13"/>
      <c r="BT240" s="13"/>
      <c r="BU240" s="107"/>
      <c r="BV240" s="107"/>
      <c r="BW240" s="107"/>
      <c r="BX240" s="107"/>
      <c r="BY240" s="107"/>
      <c r="BZ240" s="107"/>
      <c r="CA240" s="111"/>
      <c r="CB240" s="107"/>
      <c r="CC240" s="107"/>
      <c r="CD240" s="107"/>
      <c r="CE240" s="107"/>
      <c r="CF240" s="107"/>
      <c r="CG240" s="107"/>
      <c r="CH240" s="107"/>
      <c r="CI240" s="107"/>
      <c r="CJ240" s="107"/>
    </row>
    <row r="241">
      <c r="A241" s="38"/>
      <c r="B241" s="32"/>
      <c r="C241" s="25"/>
      <c r="D241" s="41"/>
      <c r="E241" s="49"/>
      <c r="F241" s="49"/>
      <c r="G241" s="21">
        <f t="shared" si="66"/>
        <v>0</v>
      </c>
      <c r="H241" s="13"/>
      <c r="I241" s="67"/>
      <c r="J241" s="13"/>
      <c r="K241" s="13"/>
      <c r="L241" s="14"/>
      <c r="M241" s="38"/>
      <c r="N241" s="32"/>
      <c r="O241" s="25"/>
      <c r="P241" s="41"/>
      <c r="Q241" s="49"/>
      <c r="R241" s="49"/>
      <c r="S241" s="21">
        <f t="shared" si="67"/>
        <v>0</v>
      </c>
      <c r="T241" s="13"/>
      <c r="U241" s="13"/>
      <c r="V241" s="13"/>
      <c r="W241" s="13"/>
      <c r="X241" s="14"/>
      <c r="Y241" s="38"/>
      <c r="Z241" s="32"/>
      <c r="AA241" s="25"/>
      <c r="AB241" s="41"/>
      <c r="AC241" s="49"/>
      <c r="AD241" s="49"/>
      <c r="AE241" s="21">
        <f t="shared" si="68"/>
        <v>0</v>
      </c>
      <c r="AF241" s="13"/>
      <c r="AG241" s="13"/>
      <c r="AH241" s="13"/>
      <c r="AI241" s="13"/>
      <c r="AJ241" s="14"/>
      <c r="AK241" s="38"/>
      <c r="AL241" s="32"/>
      <c r="AM241" s="25"/>
      <c r="AN241" s="41"/>
      <c r="AO241" s="49"/>
      <c r="AP241" s="49"/>
      <c r="AQ241" s="21">
        <f t="shared" si="69"/>
        <v>0</v>
      </c>
      <c r="AR241" s="13"/>
      <c r="AS241" s="13"/>
      <c r="AT241" s="13"/>
      <c r="AU241" s="13"/>
      <c r="AV241" s="14"/>
      <c r="AW241" s="135"/>
      <c r="AX241" s="13"/>
      <c r="AY241" s="13"/>
      <c r="AZ241" s="13"/>
      <c r="BA241" s="13"/>
      <c r="BB241" s="13"/>
      <c r="BC241" s="128"/>
      <c r="BD241" s="13"/>
      <c r="BE241" s="13"/>
      <c r="BF241" s="13"/>
      <c r="BG241" s="13"/>
      <c r="BH241" s="13"/>
      <c r="BI241" s="135"/>
      <c r="BJ241" s="13"/>
      <c r="BK241" s="13"/>
      <c r="BL241" s="13"/>
      <c r="BM241" s="13"/>
      <c r="BN241" s="13"/>
      <c r="BO241" s="128"/>
      <c r="BP241" s="13"/>
      <c r="BQ241" s="13"/>
      <c r="BR241" s="13"/>
      <c r="BS241" s="13"/>
      <c r="BT241" s="13"/>
      <c r="BU241" s="107"/>
      <c r="BV241" s="107"/>
      <c r="BW241" s="107"/>
      <c r="BX241" s="107"/>
      <c r="BY241" s="107"/>
      <c r="BZ241" s="107"/>
      <c r="CA241" s="111"/>
      <c r="CB241" s="107"/>
      <c r="CC241" s="107"/>
      <c r="CD241" s="107"/>
      <c r="CE241" s="107"/>
      <c r="CF241" s="107"/>
      <c r="CG241" s="107"/>
      <c r="CH241" s="107"/>
      <c r="CI241" s="107"/>
      <c r="CJ241" s="107"/>
    </row>
    <row r="242">
      <c r="A242" s="38"/>
      <c r="B242" s="32"/>
      <c r="C242" s="25"/>
      <c r="D242" s="41"/>
      <c r="E242" s="49"/>
      <c r="F242" s="49"/>
      <c r="G242" s="21">
        <f t="shared" si="66"/>
        <v>0</v>
      </c>
      <c r="H242" s="13"/>
      <c r="I242" s="67"/>
      <c r="J242" s="13"/>
      <c r="K242" s="13"/>
      <c r="L242" s="14"/>
      <c r="M242" s="38"/>
      <c r="N242" s="32"/>
      <c r="O242" s="25"/>
      <c r="P242" s="41"/>
      <c r="Q242" s="49"/>
      <c r="R242" s="49"/>
      <c r="S242" s="21">
        <f t="shared" si="67"/>
        <v>0</v>
      </c>
      <c r="T242" s="13"/>
      <c r="U242" s="13"/>
      <c r="V242" s="13"/>
      <c r="W242" s="13"/>
      <c r="X242" s="14"/>
      <c r="Y242" s="38"/>
      <c r="Z242" s="32"/>
      <c r="AA242" s="25"/>
      <c r="AB242" s="41"/>
      <c r="AC242" s="49"/>
      <c r="AD242" s="49"/>
      <c r="AE242" s="21">
        <f t="shared" si="68"/>
        <v>0</v>
      </c>
      <c r="AF242" s="13"/>
      <c r="AG242" s="13"/>
      <c r="AH242" s="13"/>
      <c r="AI242" s="13"/>
      <c r="AJ242" s="14"/>
      <c r="AK242" s="38"/>
      <c r="AL242" s="32"/>
      <c r="AM242" s="25"/>
      <c r="AN242" s="41"/>
      <c r="AO242" s="49"/>
      <c r="AP242" s="49"/>
      <c r="AQ242" s="21">
        <f t="shared" si="69"/>
        <v>0</v>
      </c>
      <c r="AR242" s="13"/>
      <c r="AS242" s="13"/>
      <c r="AT242" s="13"/>
      <c r="AU242" s="13"/>
      <c r="AV242" s="14"/>
      <c r="AW242" s="135"/>
      <c r="AX242" s="13"/>
      <c r="AY242" s="13"/>
      <c r="AZ242" s="13"/>
      <c r="BA242" s="13"/>
      <c r="BB242" s="13"/>
      <c r="BC242" s="128"/>
      <c r="BD242" s="13"/>
      <c r="BE242" s="13"/>
      <c r="BF242" s="13"/>
      <c r="BG242" s="13"/>
      <c r="BH242" s="13"/>
      <c r="BI242" s="135"/>
      <c r="BJ242" s="13"/>
      <c r="BK242" s="13"/>
      <c r="BL242" s="13"/>
      <c r="BM242" s="13"/>
      <c r="BN242" s="13"/>
      <c r="BO242" s="128"/>
      <c r="BP242" s="13"/>
      <c r="BQ242" s="13"/>
      <c r="BR242" s="13"/>
      <c r="BS242" s="13"/>
      <c r="BT242" s="13"/>
      <c r="BU242" s="107"/>
      <c r="BV242" s="107"/>
      <c r="BW242" s="107"/>
      <c r="BX242" s="107"/>
      <c r="BY242" s="107"/>
      <c r="BZ242" s="107"/>
      <c r="CA242" s="111"/>
      <c r="CB242" s="107"/>
      <c r="CC242" s="107"/>
      <c r="CD242" s="107"/>
      <c r="CE242" s="107"/>
      <c r="CF242" s="107"/>
      <c r="CG242" s="107"/>
      <c r="CH242" s="107"/>
      <c r="CI242" s="107"/>
      <c r="CJ242" s="107"/>
    </row>
    <row r="243">
      <c r="A243" s="50"/>
      <c r="B243" s="32"/>
      <c r="C243" s="25"/>
      <c r="D243" s="41"/>
      <c r="E243" s="49"/>
      <c r="F243" s="49"/>
      <c r="G243" s="88">
        <f t="shared" si="66"/>
        <v>0</v>
      </c>
      <c r="H243" s="89"/>
      <c r="I243" s="104"/>
      <c r="J243" s="89"/>
      <c r="K243" s="89"/>
      <c r="L243" s="90"/>
      <c r="M243" s="50"/>
      <c r="N243" s="32"/>
      <c r="O243" s="25"/>
      <c r="P243" s="41"/>
      <c r="Q243" s="49"/>
      <c r="R243" s="49"/>
      <c r="S243" s="21">
        <f t="shared" si="67"/>
        <v>0</v>
      </c>
      <c r="T243" s="89"/>
      <c r="U243" s="89"/>
      <c r="V243" s="89"/>
      <c r="W243" s="89"/>
      <c r="X243" s="90"/>
      <c r="Y243" s="50"/>
      <c r="Z243" s="32"/>
      <c r="AA243" s="25"/>
      <c r="AB243" s="41"/>
      <c r="AC243" s="49"/>
      <c r="AD243" s="49"/>
      <c r="AE243" s="21">
        <f t="shared" si="68"/>
        <v>0</v>
      </c>
      <c r="AF243" s="89"/>
      <c r="AG243" s="89"/>
      <c r="AH243" s="89"/>
      <c r="AI243" s="89"/>
      <c r="AJ243" s="90"/>
      <c r="AK243" s="50"/>
      <c r="AL243" s="32"/>
      <c r="AM243" s="25"/>
      <c r="AN243" s="41"/>
      <c r="AO243" s="49"/>
      <c r="AP243" s="49"/>
      <c r="AQ243" s="21">
        <f t="shared" si="69"/>
        <v>0</v>
      </c>
      <c r="AR243" s="89"/>
      <c r="AS243" s="89"/>
      <c r="AT243" s="89"/>
      <c r="AU243" s="89"/>
      <c r="AV243" s="90"/>
      <c r="AW243" s="13"/>
      <c r="AX243" s="13"/>
      <c r="AY243" s="13"/>
      <c r="AZ243" s="13"/>
      <c r="BA243" s="13"/>
      <c r="BB243" s="13"/>
      <c r="BC243" s="128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28"/>
      <c r="BP243" s="13"/>
      <c r="BQ243" s="13"/>
      <c r="BR243" s="13"/>
      <c r="BS243" s="13"/>
      <c r="BT243" s="13"/>
      <c r="BU243" s="107"/>
      <c r="BV243" s="107"/>
      <c r="BW243" s="107"/>
      <c r="BX243" s="107"/>
      <c r="BY243" s="107"/>
      <c r="BZ243" s="107"/>
      <c r="CA243" s="111"/>
      <c r="CB243" s="107"/>
      <c r="CC243" s="107"/>
      <c r="CD243" s="107"/>
      <c r="CE243" s="107"/>
      <c r="CF243" s="107"/>
      <c r="CG243" s="107"/>
      <c r="CH243" s="107"/>
      <c r="CI243" s="107"/>
      <c r="CJ243" s="107"/>
    </row>
    <row r="244">
      <c r="A244" s="1" t="s">
        <v>0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1" t="s">
        <v>62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3"/>
      <c r="Y244" s="1" t="s">
        <v>1</v>
      </c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3"/>
      <c r="AK244" s="1" t="s">
        <v>2</v>
      </c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3"/>
      <c r="AW244" s="1" t="s">
        <v>70</v>
      </c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3"/>
      <c r="BI244" s="1" t="s">
        <v>71</v>
      </c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3"/>
      <c r="BU244" s="4"/>
      <c r="CG244" s="107"/>
      <c r="CH244" s="107"/>
      <c r="CI244" s="107"/>
      <c r="CJ244" s="107"/>
    </row>
    <row r="245">
      <c r="A245" s="5" t="s">
        <v>72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5" t="s">
        <v>72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5" t="s">
        <v>72</v>
      </c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5" t="s">
        <v>72</v>
      </c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5" t="s">
        <v>72</v>
      </c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5" t="s">
        <v>72</v>
      </c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108"/>
      <c r="CG245" s="107"/>
      <c r="CH245" s="107"/>
      <c r="CI245" s="107"/>
      <c r="CJ245" s="107"/>
    </row>
    <row r="246">
      <c r="A246" s="7" t="s">
        <v>5</v>
      </c>
      <c r="B246" s="8" t="s">
        <v>6</v>
      </c>
      <c r="C246" s="9" t="s">
        <v>7</v>
      </c>
      <c r="D246" s="10" t="s">
        <v>8</v>
      </c>
      <c r="E246" s="11" t="s">
        <v>9</v>
      </c>
      <c r="F246" s="11" t="s">
        <v>10</v>
      </c>
      <c r="G246" s="12" t="s">
        <v>11</v>
      </c>
      <c r="H246" s="12" t="s">
        <v>12</v>
      </c>
      <c r="I246" s="12" t="s">
        <v>13</v>
      </c>
      <c r="J246" s="13" t="s">
        <v>14</v>
      </c>
      <c r="K246" s="67" t="s">
        <v>15</v>
      </c>
      <c r="L246" s="14" t="s">
        <v>16</v>
      </c>
      <c r="M246" s="7" t="s">
        <v>5</v>
      </c>
      <c r="N246" s="8" t="s">
        <v>6</v>
      </c>
      <c r="O246" s="9" t="s">
        <v>7</v>
      </c>
      <c r="P246" s="10" t="s">
        <v>8</v>
      </c>
      <c r="Q246" s="11" t="s">
        <v>9</v>
      </c>
      <c r="R246" s="11" t="s">
        <v>10</v>
      </c>
      <c r="S246" s="12" t="s">
        <v>11</v>
      </c>
      <c r="T246" s="12" t="s">
        <v>12</v>
      </c>
      <c r="U246" s="12" t="s">
        <v>13</v>
      </c>
      <c r="V246" s="13" t="s">
        <v>14</v>
      </c>
      <c r="W246" s="13" t="s">
        <v>15</v>
      </c>
      <c r="X246" s="14" t="s">
        <v>16</v>
      </c>
      <c r="Y246" s="7" t="s">
        <v>5</v>
      </c>
      <c r="Z246" s="8" t="s">
        <v>6</v>
      </c>
      <c r="AA246" s="9" t="s">
        <v>7</v>
      </c>
      <c r="AB246" s="10" t="s">
        <v>8</v>
      </c>
      <c r="AC246" s="11" t="s">
        <v>9</v>
      </c>
      <c r="AD246" s="11" t="s">
        <v>10</v>
      </c>
      <c r="AE246" s="12" t="s">
        <v>11</v>
      </c>
      <c r="AF246" s="12" t="s">
        <v>12</v>
      </c>
      <c r="AG246" s="12" t="s">
        <v>13</v>
      </c>
      <c r="AH246" s="13" t="s">
        <v>14</v>
      </c>
      <c r="AI246" s="13" t="s">
        <v>15</v>
      </c>
      <c r="AJ246" s="14" t="s">
        <v>16</v>
      </c>
      <c r="AK246" s="7" t="s">
        <v>5</v>
      </c>
      <c r="AL246" s="8" t="s">
        <v>6</v>
      </c>
      <c r="AM246" s="9" t="s">
        <v>7</v>
      </c>
      <c r="AN246" s="10" t="s">
        <v>8</v>
      </c>
      <c r="AO246" s="11" t="s">
        <v>9</v>
      </c>
      <c r="AP246" s="11" t="s">
        <v>10</v>
      </c>
      <c r="AQ246" s="12" t="s">
        <v>11</v>
      </c>
      <c r="AR246" s="12" t="s">
        <v>12</v>
      </c>
      <c r="AS246" s="12" t="s">
        <v>13</v>
      </c>
      <c r="AT246" s="13" t="s">
        <v>14</v>
      </c>
      <c r="AU246" s="13" t="s">
        <v>15</v>
      </c>
      <c r="AV246" s="14" t="s">
        <v>16</v>
      </c>
      <c r="AW246" s="7" t="s">
        <v>5</v>
      </c>
      <c r="AX246" s="8" t="s">
        <v>6</v>
      </c>
      <c r="AY246" s="9" t="s">
        <v>7</v>
      </c>
      <c r="AZ246" s="10" t="s">
        <v>8</v>
      </c>
      <c r="BA246" s="11" t="s">
        <v>9</v>
      </c>
      <c r="BB246" s="11" t="s">
        <v>10</v>
      </c>
      <c r="BC246" s="12" t="s">
        <v>11</v>
      </c>
      <c r="BD246" s="12" t="s">
        <v>12</v>
      </c>
      <c r="BE246" s="12" t="s">
        <v>13</v>
      </c>
      <c r="BF246" s="13" t="s">
        <v>14</v>
      </c>
      <c r="BG246" s="13" t="s">
        <v>15</v>
      </c>
      <c r="BH246" s="14" t="s">
        <v>16</v>
      </c>
      <c r="BI246" s="7" t="s">
        <v>5</v>
      </c>
      <c r="BJ246" s="8" t="s">
        <v>6</v>
      </c>
      <c r="BK246" s="9" t="s">
        <v>7</v>
      </c>
      <c r="BL246" s="10" t="s">
        <v>8</v>
      </c>
      <c r="BM246" s="11" t="s">
        <v>9</v>
      </c>
      <c r="BN246" s="11" t="s">
        <v>10</v>
      </c>
      <c r="BO246" s="12" t="s">
        <v>11</v>
      </c>
      <c r="BP246" s="12" t="s">
        <v>12</v>
      </c>
      <c r="BQ246" s="12" t="s">
        <v>13</v>
      </c>
      <c r="BR246" s="13" t="s">
        <v>14</v>
      </c>
      <c r="BS246" s="13" t="s">
        <v>15</v>
      </c>
      <c r="BT246" s="14" t="s">
        <v>16</v>
      </c>
      <c r="BU246" s="109"/>
      <c r="BV246" s="108"/>
      <c r="BW246" s="108"/>
      <c r="BX246" s="108"/>
      <c r="BY246" s="108"/>
      <c r="BZ246" s="108"/>
      <c r="CA246" s="109"/>
      <c r="CB246" s="109"/>
      <c r="CC246" s="109"/>
      <c r="CD246" s="107"/>
      <c r="CE246" s="107"/>
      <c r="CF246" s="107"/>
      <c r="CG246" s="107"/>
      <c r="CH246" s="107"/>
      <c r="CI246" s="107"/>
      <c r="CJ246" s="107"/>
    </row>
    <row r="247">
      <c r="A247" s="60">
        <v>45723.0</v>
      </c>
      <c r="B247" s="16"/>
      <c r="C247" s="17"/>
      <c r="D247" s="18"/>
      <c r="E247" s="20">
        <v>800000.0</v>
      </c>
      <c r="F247" s="20"/>
      <c r="G247" s="21">
        <f t="shared" ref="G247:G270" si="75">SUM(B247)-(B247*15%)+(C247)-(C247*20.8%)+(D247)+(E247)-(E247*0.95%)+(F247)-(F247*15.5%)</f>
        <v>792400</v>
      </c>
      <c r="H247" s="22">
        <f>SUM(B247:F270)</f>
        <v>2905000</v>
      </c>
      <c r="I247" s="21">
        <f>SUM(G247:G270)</f>
        <v>2877402.5</v>
      </c>
      <c r="J247" s="21">
        <f>SUM(I247)-(I247*97%)</f>
        <v>86322.075</v>
      </c>
      <c r="K247" s="21">
        <f>SUM(I247)-(I247*95%)</f>
        <v>143870.125</v>
      </c>
      <c r="L247" s="23">
        <f>SUM(I247)-(I247*93%)</f>
        <v>201418.175</v>
      </c>
      <c r="M247" s="60">
        <v>45731.0</v>
      </c>
      <c r="N247" s="24"/>
      <c r="O247" s="25"/>
      <c r="P247" s="18"/>
      <c r="Q247" s="20">
        <v>940000.0</v>
      </c>
      <c r="R247" s="20"/>
      <c r="S247" s="21">
        <f t="shared" ref="S247:S270" si="76">SUM(N247)-(N247*15%)+(O247)-(O247*20.8%)+(P247)+(Q247)-(Q247*0.95%)+(R247)-(R247*15.5%)</f>
        <v>931070</v>
      </c>
      <c r="T247" s="22">
        <f>SUM(N247:R270)</f>
        <v>5655000</v>
      </c>
      <c r="U247" s="21">
        <f>SUM(S247:S270)</f>
        <v>5262277.5</v>
      </c>
      <c r="V247" s="21">
        <f>SUM(U247)-(U247*97%)</f>
        <v>157868.325</v>
      </c>
      <c r="W247" s="21">
        <f>SUM(U247)-(U247*95%)</f>
        <v>263113.875</v>
      </c>
      <c r="X247" s="23">
        <f>SUM(U247)-(U247*93%)</f>
        <v>368359.425</v>
      </c>
      <c r="Y247" s="60"/>
      <c r="Z247" s="24"/>
      <c r="AA247" s="25"/>
      <c r="AB247" s="18"/>
      <c r="AC247" s="20">
        <v>61000.0</v>
      </c>
      <c r="AD247" s="20"/>
      <c r="AE247" s="21">
        <f t="shared" ref="AE247:AE270" si="77">SUM(Z247)-(Z247*15%)+(AA247)-(AA247*20.8%)+(AB247)+(AC247)-(AC247*0.95%)+(AD247)-(AD247*15.5%)</f>
        <v>60420.5</v>
      </c>
      <c r="AF247" s="22">
        <f>SUM(Z247:AD270)</f>
        <v>61000</v>
      </c>
      <c r="AG247" s="21">
        <f>SUM(AE247:AE270)</f>
        <v>60420.5</v>
      </c>
      <c r="AH247" s="21">
        <f>SUM(AG247)-(AG247*97%)</f>
        <v>1812.615</v>
      </c>
      <c r="AI247" s="21">
        <f>SUM(AG247)-(AG247*95%)</f>
        <v>3021.025</v>
      </c>
      <c r="AJ247" s="23">
        <f>SUM(AG247)-(AG247*93%)</f>
        <v>4229.435</v>
      </c>
      <c r="AK247" s="60">
        <v>45726.0</v>
      </c>
      <c r="AL247" s="24"/>
      <c r="AM247" s="25"/>
      <c r="AN247" s="18"/>
      <c r="AO247" s="20">
        <v>850000.0</v>
      </c>
      <c r="AP247" s="20"/>
      <c r="AQ247" s="21">
        <f t="shared" ref="AQ247:AQ270" si="78">SUM(AL247)-(AL247*15%)+(AM247)-(AM247*20.8%)+(AN247)+(AO247)-(AO247*0.95%)+(AP247)-(AP247*15.5%)</f>
        <v>841925</v>
      </c>
      <c r="AR247" s="22">
        <f>SUM(AL247:AP270)</f>
        <v>1460000</v>
      </c>
      <c r="AS247" s="21">
        <f>SUM(AQ247:AQ270)</f>
        <v>1446130</v>
      </c>
      <c r="AT247" s="21">
        <f>SUM(AS247)-(AS247*97%)</f>
        <v>43383.9</v>
      </c>
      <c r="AU247" s="21">
        <f>SUM(AS247)-(AS247*95%)</f>
        <v>72306.5</v>
      </c>
      <c r="AV247" s="23">
        <f>SUM(AS247)-(AS247*93%)</f>
        <v>101229.1</v>
      </c>
      <c r="AW247" s="15"/>
      <c r="AX247" s="24"/>
      <c r="AY247" s="25"/>
      <c r="AZ247" s="18"/>
      <c r="BA247" s="20"/>
      <c r="BB247" s="20"/>
      <c r="BC247" s="21">
        <f t="shared" ref="BC247:BC270" si="79">SUM(AX247)-(AX247*15%)+(AY247)-(AY247*20.8%)+(AZ247)+(BA247)-(BA247*0.95%)+(BB247)-(BB247*15.5%)</f>
        <v>0</v>
      </c>
      <c r="BD247" s="22">
        <f>SUM(AX247:BB270)</f>
        <v>0</v>
      </c>
      <c r="BE247" s="21">
        <f>SUM(BC247:BC270)</f>
        <v>0</v>
      </c>
      <c r="BF247" s="21">
        <f>SUM(BE247)-(BE247*97%)</f>
        <v>0</v>
      </c>
      <c r="BG247" s="21">
        <f>SUM(BE247)-(BE247*95%)</f>
        <v>0</v>
      </c>
      <c r="BH247" s="23">
        <f>SUM(BE247)-(BE247*93%)</f>
        <v>0</v>
      </c>
      <c r="BI247" s="15"/>
      <c r="BJ247" s="24"/>
      <c r="BK247" s="25"/>
      <c r="BL247" s="18"/>
      <c r="BM247" s="20"/>
      <c r="BN247" s="20"/>
      <c r="BO247" s="21">
        <f t="shared" ref="BO247:BO270" si="80">SUM(BJ247)-(BJ247*15%)+(BK247)-(BK247*20.8%)+(BL247)+(BM247)-(BM247*0.95%)+(BN247)-(BN247*15.5%)</f>
        <v>0</v>
      </c>
      <c r="BP247" s="22">
        <f>SUM(BJ247:BN270)</f>
        <v>0</v>
      </c>
      <c r="BQ247" s="21">
        <f>SUM(BO247:BO270)</f>
        <v>0</v>
      </c>
      <c r="BR247" s="21">
        <f>SUM(BQ247)-(BQ247*97%)</f>
        <v>0</v>
      </c>
      <c r="BS247" s="21">
        <f>SUM(BQ247)-(BQ247*95%)</f>
        <v>0</v>
      </c>
      <c r="BT247" s="23">
        <f>SUM(BQ247)-(BQ247*93%)</f>
        <v>0</v>
      </c>
      <c r="BU247" s="110"/>
      <c r="BV247" s="107"/>
      <c r="BW247" s="107"/>
      <c r="BX247" s="107"/>
      <c r="BY247" s="107"/>
      <c r="BZ247" s="107"/>
      <c r="CA247" s="111"/>
      <c r="CB247" s="112"/>
      <c r="CC247" s="111"/>
      <c r="CD247" s="111"/>
      <c r="CE247" s="111"/>
      <c r="CF247" s="111"/>
      <c r="CG247" s="107"/>
      <c r="CH247" s="107"/>
      <c r="CI247" s="107"/>
      <c r="CJ247" s="107"/>
    </row>
    <row r="248">
      <c r="A248" s="60">
        <v>45727.0</v>
      </c>
      <c r="B248" s="27"/>
      <c r="C248" s="17"/>
      <c r="D248" s="40"/>
      <c r="E248" s="20">
        <v>290000.0</v>
      </c>
      <c r="F248" s="30"/>
      <c r="G248" s="21">
        <f t="shared" si="75"/>
        <v>287245</v>
      </c>
      <c r="H248" s="31" t="s">
        <v>20</v>
      </c>
      <c r="I248" s="13"/>
      <c r="J248" s="13" t="s">
        <v>21</v>
      </c>
      <c r="K248" s="13" t="s">
        <v>22</v>
      </c>
      <c r="L248" s="14" t="s">
        <v>23</v>
      </c>
      <c r="M248" s="60">
        <v>45733.0</v>
      </c>
      <c r="N248" s="32"/>
      <c r="O248" s="25"/>
      <c r="P248" s="33"/>
      <c r="Q248" s="30">
        <v>900000.0</v>
      </c>
      <c r="R248" s="30"/>
      <c r="S248" s="21">
        <f t="shared" si="76"/>
        <v>891450</v>
      </c>
      <c r="T248" s="31" t="s">
        <v>20</v>
      </c>
      <c r="U248" s="13"/>
      <c r="V248" s="13" t="s">
        <v>21</v>
      </c>
      <c r="W248" s="13" t="s">
        <v>22</v>
      </c>
      <c r="X248" s="14" t="s">
        <v>23</v>
      </c>
      <c r="Y248" s="60"/>
      <c r="Z248" s="32"/>
      <c r="AA248" s="25"/>
      <c r="AB248" s="33"/>
      <c r="AC248" s="30"/>
      <c r="AD248" s="30"/>
      <c r="AE248" s="21">
        <f t="shared" si="77"/>
        <v>0</v>
      </c>
      <c r="AF248" s="31" t="s">
        <v>20</v>
      </c>
      <c r="AG248" s="13"/>
      <c r="AH248" s="13" t="s">
        <v>21</v>
      </c>
      <c r="AI248" s="13" t="s">
        <v>22</v>
      </c>
      <c r="AJ248" s="14" t="s">
        <v>23</v>
      </c>
      <c r="AK248" s="60">
        <v>45727.0</v>
      </c>
      <c r="AL248" s="32"/>
      <c r="AM248" s="25"/>
      <c r="AN248" s="33"/>
      <c r="AO248" s="30">
        <v>510000.0</v>
      </c>
      <c r="AP248" s="30"/>
      <c r="AQ248" s="21">
        <f t="shared" si="78"/>
        <v>505155</v>
      </c>
      <c r="AR248" s="31" t="s">
        <v>20</v>
      </c>
      <c r="AS248" s="13"/>
      <c r="AT248" s="13" t="s">
        <v>21</v>
      </c>
      <c r="AU248" s="13" t="s">
        <v>22</v>
      </c>
      <c r="AV248" s="14" t="s">
        <v>23</v>
      </c>
      <c r="AW248" s="60"/>
      <c r="AX248" s="32"/>
      <c r="AY248" s="25"/>
      <c r="AZ248" s="33"/>
      <c r="BA248" s="30"/>
      <c r="BB248" s="30"/>
      <c r="BC248" s="21">
        <f t="shared" si="79"/>
        <v>0</v>
      </c>
      <c r="BD248" s="31" t="s">
        <v>20</v>
      </c>
      <c r="BE248" s="13"/>
      <c r="BF248" s="13" t="s">
        <v>21</v>
      </c>
      <c r="BG248" s="13" t="s">
        <v>22</v>
      </c>
      <c r="BH248" s="14" t="s">
        <v>23</v>
      </c>
      <c r="BI248" s="60"/>
      <c r="BJ248" s="32"/>
      <c r="BK248" s="25"/>
      <c r="BL248" s="33"/>
      <c r="BM248" s="30"/>
      <c r="BN248" s="30"/>
      <c r="BO248" s="21">
        <f t="shared" si="80"/>
        <v>0</v>
      </c>
      <c r="BP248" s="31" t="s">
        <v>20</v>
      </c>
      <c r="BQ248" s="13"/>
      <c r="BR248" s="13" t="s">
        <v>21</v>
      </c>
      <c r="BS248" s="13" t="s">
        <v>22</v>
      </c>
      <c r="BT248" s="14" t="s">
        <v>23</v>
      </c>
      <c r="BU248" s="110"/>
      <c r="BV248" s="107"/>
      <c r="BW248" s="107"/>
      <c r="BX248" s="107"/>
      <c r="BY248" s="107"/>
      <c r="BZ248" s="107"/>
      <c r="CA248" s="111"/>
      <c r="CB248" s="113"/>
      <c r="CC248" s="107"/>
      <c r="CD248" s="107"/>
      <c r="CE248" s="107"/>
      <c r="CF248" s="107"/>
      <c r="CG248" s="107"/>
      <c r="CH248" s="107"/>
      <c r="CI248" s="107"/>
      <c r="CJ248" s="107"/>
    </row>
    <row r="249">
      <c r="A249" s="60">
        <v>45727.0</v>
      </c>
      <c r="B249" s="39"/>
      <c r="C249" s="17"/>
      <c r="D249" s="18"/>
      <c r="E249" s="20">
        <v>65000.0</v>
      </c>
      <c r="F249" s="20"/>
      <c r="G249" s="21">
        <f t="shared" si="75"/>
        <v>64382.5</v>
      </c>
      <c r="H249" s="36"/>
      <c r="I249" s="13"/>
      <c r="J249" s="21">
        <f t="shared" ref="J249:L249" si="81">SUM(J247)-(J247*10%)</f>
        <v>77689.8675</v>
      </c>
      <c r="K249" s="21">
        <f t="shared" si="81"/>
        <v>129483.1125</v>
      </c>
      <c r="L249" s="23">
        <f t="shared" si="81"/>
        <v>181276.3575</v>
      </c>
      <c r="M249" s="60">
        <v>45734.0</v>
      </c>
      <c r="N249" s="37"/>
      <c r="O249" s="25"/>
      <c r="P249" s="33"/>
      <c r="Q249" s="20">
        <v>100000.0</v>
      </c>
      <c r="R249" s="20"/>
      <c r="S249" s="21">
        <f t="shared" si="76"/>
        <v>99050</v>
      </c>
      <c r="T249" s="36"/>
      <c r="U249" s="13"/>
      <c r="V249" s="21">
        <f t="shared" ref="V249:X249" si="82">SUM(V247)-(V247*10%)</f>
        <v>142081.4925</v>
      </c>
      <c r="W249" s="21">
        <f t="shared" si="82"/>
        <v>236802.4875</v>
      </c>
      <c r="X249" s="23">
        <f t="shared" si="82"/>
        <v>331523.4825</v>
      </c>
      <c r="Y249" s="60"/>
      <c r="Z249" s="32"/>
      <c r="AA249" s="25"/>
      <c r="AB249" s="33"/>
      <c r="AC249" s="20"/>
      <c r="AD249" s="20"/>
      <c r="AE249" s="21">
        <f t="shared" si="77"/>
        <v>0</v>
      </c>
      <c r="AF249" s="36"/>
      <c r="AG249" s="13"/>
      <c r="AH249" s="21">
        <f t="shared" ref="AH249:AJ249" si="83">SUM(AH247)-(AH247*10%)</f>
        <v>1631.3535</v>
      </c>
      <c r="AI249" s="21">
        <f t="shared" si="83"/>
        <v>2718.9225</v>
      </c>
      <c r="AJ249" s="23">
        <f t="shared" si="83"/>
        <v>3806.4915</v>
      </c>
      <c r="AK249" s="60">
        <v>45747.0</v>
      </c>
      <c r="AL249" s="32"/>
      <c r="AM249" s="25"/>
      <c r="AN249" s="33"/>
      <c r="AO249" s="20">
        <v>100000.0</v>
      </c>
      <c r="AP249" s="20"/>
      <c r="AQ249" s="21">
        <f t="shared" si="78"/>
        <v>99050</v>
      </c>
      <c r="AR249" s="36"/>
      <c r="AS249" s="13"/>
      <c r="AT249" s="21">
        <f t="shared" ref="AT249:AV249" si="84">SUM(AT247)-(AT247*10%)</f>
        <v>39045.51</v>
      </c>
      <c r="AU249" s="21">
        <f t="shared" si="84"/>
        <v>65075.85</v>
      </c>
      <c r="AV249" s="23">
        <f t="shared" si="84"/>
        <v>91106.19</v>
      </c>
      <c r="AW249" s="60"/>
      <c r="AX249" s="32"/>
      <c r="AY249" s="25"/>
      <c r="AZ249" s="33"/>
      <c r="BA249" s="20"/>
      <c r="BB249" s="20"/>
      <c r="BC249" s="21">
        <f t="shared" si="79"/>
        <v>0</v>
      </c>
      <c r="BD249" s="36"/>
      <c r="BE249" s="13"/>
      <c r="BF249" s="21">
        <f t="shared" ref="BF249:BH249" si="85">SUM(BF247)-(BF247*10%)</f>
        <v>0</v>
      </c>
      <c r="BG249" s="21">
        <f t="shared" si="85"/>
        <v>0</v>
      </c>
      <c r="BH249" s="23">
        <f t="shared" si="85"/>
        <v>0</v>
      </c>
      <c r="BI249" s="60"/>
      <c r="BJ249" s="32"/>
      <c r="BK249" s="25"/>
      <c r="BL249" s="33"/>
      <c r="BM249" s="20"/>
      <c r="BN249" s="20"/>
      <c r="BO249" s="21">
        <f t="shared" si="80"/>
        <v>0</v>
      </c>
      <c r="BP249" s="36"/>
      <c r="BQ249" s="13"/>
      <c r="BR249" s="21">
        <f t="shared" ref="BR249:BT249" si="86">SUM(BR247)-(BR247*10%)</f>
        <v>0</v>
      </c>
      <c r="BS249" s="21">
        <f t="shared" si="86"/>
        <v>0</v>
      </c>
      <c r="BT249" s="23">
        <f t="shared" si="86"/>
        <v>0</v>
      </c>
      <c r="BU249" s="110"/>
      <c r="BV249" s="107"/>
      <c r="BW249" s="107"/>
      <c r="BX249" s="107"/>
      <c r="BY249" s="107"/>
      <c r="BZ249" s="107"/>
      <c r="CA249" s="111"/>
      <c r="CB249" s="107"/>
      <c r="CC249" s="107"/>
      <c r="CD249" s="111"/>
      <c r="CE249" s="111"/>
      <c r="CF249" s="111"/>
      <c r="CG249" s="107"/>
      <c r="CH249" s="107"/>
      <c r="CI249" s="107"/>
      <c r="CJ249" s="107"/>
    </row>
    <row r="250">
      <c r="A250" s="60">
        <v>45728.0</v>
      </c>
      <c r="B250" s="27"/>
      <c r="C250" s="17"/>
      <c r="D250" s="18"/>
      <c r="E250" s="20">
        <v>400000.0</v>
      </c>
      <c r="F250" s="20"/>
      <c r="G250" s="21">
        <f t="shared" si="75"/>
        <v>396200</v>
      </c>
      <c r="H250" s="13"/>
      <c r="I250" s="13"/>
      <c r="J250" s="13"/>
      <c r="K250" s="13"/>
      <c r="L250" s="14"/>
      <c r="M250" s="60">
        <v>45734.0</v>
      </c>
      <c r="N250" s="37"/>
      <c r="O250" s="93"/>
      <c r="P250" s="33"/>
      <c r="Q250" s="20">
        <v>100000.0</v>
      </c>
      <c r="R250" s="20"/>
      <c r="S250" s="21">
        <f t="shared" si="76"/>
        <v>99050</v>
      </c>
      <c r="T250" s="13"/>
      <c r="U250" s="13"/>
      <c r="V250" s="13"/>
      <c r="W250" s="13"/>
      <c r="X250" s="14"/>
      <c r="Y250" s="60"/>
      <c r="Z250" s="32"/>
      <c r="AA250" s="93"/>
      <c r="AB250" s="33"/>
      <c r="AC250" s="20"/>
      <c r="AD250" s="20"/>
      <c r="AE250" s="21">
        <f t="shared" si="77"/>
        <v>0</v>
      </c>
      <c r="AF250" s="13"/>
      <c r="AG250" s="13"/>
      <c r="AH250" s="13"/>
      <c r="AI250" s="13"/>
      <c r="AJ250" s="14"/>
      <c r="AK250" s="60"/>
      <c r="AL250" s="32"/>
      <c r="AM250" s="93"/>
      <c r="AN250" s="33"/>
      <c r="AO250" s="20"/>
      <c r="AP250" s="20"/>
      <c r="AQ250" s="21">
        <f t="shared" si="78"/>
        <v>0</v>
      </c>
      <c r="AR250" s="13"/>
      <c r="AS250" s="13"/>
      <c r="AT250" s="13"/>
      <c r="AU250" s="13"/>
      <c r="AV250" s="14"/>
      <c r="AW250" s="60"/>
      <c r="AX250" s="32"/>
      <c r="AY250" s="93"/>
      <c r="AZ250" s="33"/>
      <c r="BA250" s="20"/>
      <c r="BB250" s="20"/>
      <c r="BC250" s="21">
        <f t="shared" si="79"/>
        <v>0</v>
      </c>
      <c r="BD250" s="13"/>
      <c r="BE250" s="13"/>
      <c r="BF250" s="13"/>
      <c r="BG250" s="13"/>
      <c r="BH250" s="14"/>
      <c r="BI250" s="60"/>
      <c r="BJ250" s="32"/>
      <c r="BK250" s="93"/>
      <c r="BL250" s="33"/>
      <c r="BM250" s="20"/>
      <c r="BN250" s="20"/>
      <c r="BO250" s="21">
        <f t="shared" si="80"/>
        <v>0</v>
      </c>
      <c r="BP250" s="13"/>
      <c r="BQ250" s="13"/>
      <c r="BR250" s="13"/>
      <c r="BS250" s="13"/>
      <c r="BT250" s="14"/>
      <c r="BU250" s="110"/>
      <c r="BV250" s="107"/>
      <c r="BW250" s="107"/>
      <c r="BX250" s="107"/>
      <c r="BY250" s="107"/>
      <c r="BZ250" s="107"/>
      <c r="CA250" s="111"/>
      <c r="CB250" s="107"/>
      <c r="CC250" s="107"/>
      <c r="CD250" s="107"/>
      <c r="CE250" s="107"/>
      <c r="CF250" s="107"/>
      <c r="CG250" s="107"/>
      <c r="CH250" s="107"/>
      <c r="CI250" s="107"/>
      <c r="CJ250" s="107"/>
    </row>
    <row r="251">
      <c r="A251" s="60">
        <v>45742.0</v>
      </c>
      <c r="B251" s="35"/>
      <c r="C251" s="17"/>
      <c r="D251" s="18"/>
      <c r="E251" s="20">
        <v>750000.0</v>
      </c>
      <c r="F251" s="20"/>
      <c r="G251" s="21">
        <f t="shared" si="75"/>
        <v>742875</v>
      </c>
      <c r="H251" s="13"/>
      <c r="I251" s="13"/>
      <c r="J251" s="13"/>
      <c r="K251" s="13"/>
      <c r="L251" s="14"/>
      <c r="M251" s="60">
        <v>45743.0</v>
      </c>
      <c r="N251" s="37"/>
      <c r="O251" s="25"/>
      <c r="P251" s="33"/>
      <c r="Q251" s="20">
        <v>150000.0</v>
      </c>
      <c r="R251" s="20"/>
      <c r="S251" s="21">
        <f t="shared" si="76"/>
        <v>148575</v>
      </c>
      <c r="T251" s="13"/>
      <c r="U251" s="13"/>
      <c r="V251" s="13"/>
      <c r="W251" s="13"/>
      <c r="X251" s="14"/>
      <c r="Y251" s="60"/>
      <c r="Z251" s="32"/>
      <c r="AA251" s="25"/>
      <c r="AB251" s="33"/>
      <c r="AC251" s="20"/>
      <c r="AD251" s="20"/>
      <c r="AE251" s="21">
        <f t="shared" si="77"/>
        <v>0</v>
      </c>
      <c r="AF251" s="13"/>
      <c r="AG251" s="13"/>
      <c r="AH251" s="13"/>
      <c r="AI251" s="13"/>
      <c r="AJ251" s="14"/>
      <c r="AK251" s="60"/>
      <c r="AL251" s="32"/>
      <c r="AM251" s="25"/>
      <c r="AN251" s="33"/>
      <c r="AO251" s="20"/>
      <c r="AP251" s="20"/>
      <c r="AQ251" s="21">
        <f t="shared" si="78"/>
        <v>0</v>
      </c>
      <c r="AR251" s="13"/>
      <c r="AS251" s="13"/>
      <c r="AT251" s="13"/>
      <c r="AU251" s="13"/>
      <c r="AV251" s="14"/>
      <c r="AW251" s="60"/>
      <c r="AX251" s="32"/>
      <c r="AY251" s="25"/>
      <c r="AZ251" s="33"/>
      <c r="BA251" s="20"/>
      <c r="BB251" s="20"/>
      <c r="BC251" s="21">
        <f t="shared" si="79"/>
        <v>0</v>
      </c>
      <c r="BD251" s="13"/>
      <c r="BE251" s="13"/>
      <c r="BF251" s="13"/>
      <c r="BG251" s="13"/>
      <c r="BH251" s="14"/>
      <c r="BI251" s="60"/>
      <c r="BJ251" s="32"/>
      <c r="BK251" s="25"/>
      <c r="BL251" s="33"/>
      <c r="BM251" s="20"/>
      <c r="BN251" s="20"/>
      <c r="BO251" s="21">
        <f t="shared" si="80"/>
        <v>0</v>
      </c>
      <c r="BP251" s="13"/>
      <c r="BQ251" s="13"/>
      <c r="BR251" s="13"/>
      <c r="BS251" s="13"/>
      <c r="BT251" s="14"/>
      <c r="BU251" s="110"/>
      <c r="BV251" s="107"/>
      <c r="BW251" s="107"/>
      <c r="BX251" s="107"/>
      <c r="BY251" s="107"/>
      <c r="BZ251" s="107"/>
      <c r="CA251" s="111"/>
      <c r="CB251" s="107"/>
      <c r="CC251" s="107"/>
      <c r="CD251" s="107"/>
      <c r="CE251" s="107"/>
      <c r="CF251" s="107"/>
      <c r="CG251" s="107"/>
      <c r="CH251" s="107"/>
      <c r="CI251" s="107"/>
      <c r="CJ251" s="107"/>
    </row>
    <row r="252">
      <c r="A252" s="60">
        <v>45721.0</v>
      </c>
      <c r="B252" s="39"/>
      <c r="C252" s="43"/>
      <c r="D252" s="18"/>
      <c r="E252" s="20">
        <v>200000.0</v>
      </c>
      <c r="F252" s="20"/>
      <c r="G252" s="21">
        <f t="shared" si="75"/>
        <v>198100</v>
      </c>
      <c r="H252" s="13"/>
      <c r="I252" s="13"/>
      <c r="J252" s="13"/>
      <c r="K252" s="13">
        <f>H254</f>
        <v>9646230.5</v>
      </c>
      <c r="L252" s="14"/>
      <c r="M252" s="60">
        <v>45744.0</v>
      </c>
      <c r="N252" s="32"/>
      <c r="O252" s="93">
        <v>1000000.0</v>
      </c>
      <c r="P252" s="33"/>
      <c r="Q252" s="20"/>
      <c r="R252" s="20"/>
      <c r="S252" s="21">
        <f t="shared" si="76"/>
        <v>792000</v>
      </c>
      <c r="T252" s="13"/>
      <c r="U252" s="13"/>
      <c r="V252" s="13"/>
      <c r="W252" s="13"/>
      <c r="X252" s="14"/>
      <c r="Y252" s="60"/>
      <c r="Z252" s="32"/>
      <c r="AA252" s="25"/>
      <c r="AB252" s="33"/>
      <c r="AC252" s="20"/>
      <c r="AD252" s="20"/>
      <c r="AE252" s="21">
        <f t="shared" si="77"/>
        <v>0</v>
      </c>
      <c r="AF252" s="13"/>
      <c r="AG252" s="13"/>
      <c r="AH252" s="13"/>
      <c r="AI252" s="13"/>
      <c r="AJ252" s="14"/>
      <c r="AK252" s="60"/>
      <c r="AL252" s="32"/>
      <c r="AM252" s="25"/>
      <c r="AN252" s="33"/>
      <c r="AO252" s="20"/>
      <c r="AP252" s="20"/>
      <c r="AQ252" s="21">
        <f t="shared" si="78"/>
        <v>0</v>
      </c>
      <c r="AR252" s="13"/>
      <c r="AS252" s="13"/>
      <c r="AT252" s="13"/>
      <c r="AU252" s="13"/>
      <c r="AV252" s="14"/>
      <c r="AW252" s="60"/>
      <c r="AX252" s="32"/>
      <c r="AY252" s="25"/>
      <c r="AZ252" s="33"/>
      <c r="BA252" s="20"/>
      <c r="BB252" s="20"/>
      <c r="BC252" s="21">
        <f t="shared" si="79"/>
        <v>0</v>
      </c>
      <c r="BD252" s="13"/>
      <c r="BE252" s="13"/>
      <c r="BF252" s="13"/>
      <c r="BG252" s="13"/>
      <c r="BH252" s="14"/>
      <c r="BI252" s="60"/>
      <c r="BJ252" s="32"/>
      <c r="BK252" s="25"/>
      <c r="BL252" s="33"/>
      <c r="BM252" s="20"/>
      <c r="BN252" s="20"/>
      <c r="BO252" s="21">
        <f t="shared" si="80"/>
        <v>0</v>
      </c>
      <c r="BP252" s="13"/>
      <c r="BQ252" s="13"/>
      <c r="BR252" s="13"/>
      <c r="BS252" s="13"/>
      <c r="BT252" s="14"/>
      <c r="BU252" s="110"/>
      <c r="BV252" s="107"/>
      <c r="BW252" s="107"/>
      <c r="BX252" s="107"/>
      <c r="BY252" s="107"/>
      <c r="BZ252" s="107"/>
      <c r="CA252" s="111"/>
      <c r="CB252" s="107"/>
      <c r="CC252" s="107"/>
      <c r="CD252" s="107"/>
      <c r="CE252" s="107"/>
      <c r="CF252" s="107"/>
      <c r="CG252" s="107"/>
      <c r="CH252" s="107"/>
      <c r="CI252" s="107"/>
      <c r="CJ252" s="107"/>
    </row>
    <row r="253">
      <c r="A253" s="60">
        <v>45736.0</v>
      </c>
      <c r="B253" s="35"/>
      <c r="C253" s="17"/>
      <c r="D253" s="18"/>
      <c r="E253" s="20">
        <v>400000.0</v>
      </c>
      <c r="F253" s="20"/>
      <c r="G253" s="21">
        <f t="shared" si="75"/>
        <v>396200</v>
      </c>
      <c r="H253" s="94" t="s">
        <v>13</v>
      </c>
      <c r="I253" s="86" t="s">
        <v>57</v>
      </c>
      <c r="J253" s="86" t="s">
        <v>57</v>
      </c>
      <c r="K253" s="86" t="s">
        <v>65</v>
      </c>
      <c r="L253" s="95"/>
      <c r="M253" s="60">
        <v>45744.0</v>
      </c>
      <c r="N253" s="32"/>
      <c r="O253" s="25"/>
      <c r="P253" s="33"/>
      <c r="Q253" s="20">
        <v>65000.0</v>
      </c>
      <c r="R253" s="20"/>
      <c r="S253" s="21">
        <f t="shared" si="76"/>
        <v>64382.5</v>
      </c>
      <c r="T253" s="13"/>
      <c r="U253" s="13"/>
      <c r="V253" s="13"/>
      <c r="W253" s="13"/>
      <c r="X253" s="14"/>
      <c r="Y253" s="38"/>
      <c r="Z253" s="32"/>
      <c r="AA253" s="25"/>
      <c r="AB253" s="33"/>
      <c r="AC253" s="20"/>
      <c r="AD253" s="20"/>
      <c r="AE253" s="21">
        <f t="shared" si="77"/>
        <v>0</v>
      </c>
      <c r="AF253" s="13"/>
      <c r="AG253" s="13"/>
      <c r="AH253" s="13"/>
      <c r="AI253" s="13"/>
      <c r="AJ253" s="14"/>
      <c r="AK253" s="38"/>
      <c r="AL253" s="32"/>
      <c r="AM253" s="25"/>
      <c r="AN253" s="33"/>
      <c r="AO253" s="20"/>
      <c r="AP253" s="20"/>
      <c r="AQ253" s="21">
        <f t="shared" si="78"/>
        <v>0</v>
      </c>
      <c r="AR253" s="13"/>
      <c r="AS253" s="13"/>
      <c r="AT253" s="13"/>
      <c r="AU253" s="13"/>
      <c r="AV253" s="14"/>
      <c r="AW253" s="38"/>
      <c r="AX253" s="32"/>
      <c r="AY253" s="25"/>
      <c r="AZ253" s="33"/>
      <c r="BA253" s="20"/>
      <c r="BB253" s="20"/>
      <c r="BC253" s="21">
        <f t="shared" si="79"/>
        <v>0</v>
      </c>
      <c r="BD253" s="13"/>
      <c r="BE253" s="13"/>
      <c r="BF253" s="13"/>
      <c r="BG253" s="13"/>
      <c r="BH253" s="14"/>
      <c r="BI253" s="38"/>
      <c r="BJ253" s="32"/>
      <c r="BK253" s="25"/>
      <c r="BL253" s="33"/>
      <c r="BM253" s="20"/>
      <c r="BN253" s="20"/>
      <c r="BO253" s="21">
        <f t="shared" si="80"/>
        <v>0</v>
      </c>
      <c r="BP253" s="13"/>
      <c r="BQ253" s="13"/>
      <c r="BR253" s="13"/>
      <c r="BS253" s="13"/>
      <c r="BT253" s="14"/>
      <c r="BU253" s="110"/>
      <c r="BV253" s="107"/>
      <c r="BW253" s="107"/>
      <c r="BX253" s="107"/>
      <c r="BY253" s="107"/>
      <c r="BZ253" s="107"/>
      <c r="CA253" s="111"/>
      <c r="CB253" s="107"/>
      <c r="CC253" s="107"/>
      <c r="CD253" s="107"/>
      <c r="CE253" s="107"/>
      <c r="CF253" s="107"/>
      <c r="CG253" s="107"/>
      <c r="CH253" s="107"/>
      <c r="CI253" s="107"/>
      <c r="CJ253" s="107"/>
    </row>
    <row r="254">
      <c r="A254" s="60"/>
      <c r="B254" s="16"/>
      <c r="C254" s="17"/>
      <c r="D254" s="42"/>
      <c r="E254" s="30"/>
      <c r="F254" s="30"/>
      <c r="G254" s="21">
        <f t="shared" si="75"/>
        <v>0</v>
      </c>
      <c r="H254" s="95">
        <f>AG247+I247+U247+AS247+BE247+BQ247+CC247</f>
        <v>9646230.5</v>
      </c>
      <c r="I254" s="102" t="s">
        <v>52</v>
      </c>
      <c r="J254" s="102" t="s">
        <v>44</v>
      </c>
      <c r="K254" s="102" t="s">
        <v>52</v>
      </c>
      <c r="L254" s="102" t="s">
        <v>44</v>
      </c>
      <c r="M254" s="60">
        <v>45744.0</v>
      </c>
      <c r="N254" s="37">
        <v>1000000.0</v>
      </c>
      <c r="O254" s="25"/>
      <c r="P254" s="41"/>
      <c r="Q254" s="20"/>
      <c r="R254" s="20"/>
      <c r="S254" s="21">
        <f t="shared" si="76"/>
        <v>850000</v>
      </c>
      <c r="T254" s="13"/>
      <c r="U254" s="13"/>
      <c r="V254" s="13"/>
      <c r="W254" s="13"/>
      <c r="X254" s="14"/>
      <c r="Y254" s="38"/>
      <c r="Z254" s="37"/>
      <c r="AA254" s="25"/>
      <c r="AB254" s="41"/>
      <c r="AC254" s="20"/>
      <c r="AD254" s="20"/>
      <c r="AE254" s="21">
        <f t="shared" si="77"/>
        <v>0</v>
      </c>
      <c r="AF254" s="13"/>
      <c r="AG254" s="13"/>
      <c r="AH254" s="13"/>
      <c r="AI254" s="13"/>
      <c r="AJ254" s="14"/>
      <c r="AK254" s="38"/>
      <c r="AL254" s="37"/>
      <c r="AM254" s="25"/>
      <c r="AN254" s="41"/>
      <c r="AO254" s="20"/>
      <c r="AP254" s="20"/>
      <c r="AQ254" s="21">
        <f t="shared" si="78"/>
        <v>0</v>
      </c>
      <c r="AR254" s="13"/>
      <c r="AS254" s="13"/>
      <c r="AT254" s="13"/>
      <c r="AU254" s="13"/>
      <c r="AV254" s="14"/>
      <c r="AW254" s="38"/>
      <c r="AX254" s="37"/>
      <c r="AY254" s="25"/>
      <c r="AZ254" s="41"/>
      <c r="BA254" s="20"/>
      <c r="BB254" s="20"/>
      <c r="BC254" s="21">
        <f t="shared" si="79"/>
        <v>0</v>
      </c>
      <c r="BD254" s="13"/>
      <c r="BE254" s="13"/>
      <c r="BF254" s="13"/>
      <c r="BG254" s="13"/>
      <c r="BH254" s="14"/>
      <c r="BI254" s="38"/>
      <c r="BJ254" s="37"/>
      <c r="BK254" s="25"/>
      <c r="BL254" s="41"/>
      <c r="BM254" s="20"/>
      <c r="BN254" s="20"/>
      <c r="BO254" s="21">
        <f t="shared" si="80"/>
        <v>0</v>
      </c>
      <c r="BP254" s="13"/>
      <c r="BQ254" s="13"/>
      <c r="BR254" s="13"/>
      <c r="BS254" s="13"/>
      <c r="BT254" s="14"/>
      <c r="BU254" s="107"/>
      <c r="BV254" s="107"/>
      <c r="BW254" s="107"/>
      <c r="BX254" s="107"/>
      <c r="BY254" s="107"/>
      <c r="BZ254" s="107"/>
      <c r="CA254" s="111"/>
      <c r="CB254" s="107"/>
      <c r="CC254" s="107"/>
      <c r="CD254" s="107"/>
      <c r="CE254" s="107"/>
      <c r="CF254" s="107"/>
      <c r="CG254" s="107"/>
      <c r="CH254" s="107"/>
      <c r="CI254" s="107"/>
      <c r="CJ254" s="107"/>
    </row>
    <row r="255">
      <c r="A255" s="60"/>
      <c r="B255" s="35"/>
      <c r="C255" s="17"/>
      <c r="D255" s="18"/>
      <c r="E255" s="20"/>
      <c r="F255" s="20"/>
      <c r="G255" s="21">
        <f t="shared" si="75"/>
        <v>0</v>
      </c>
      <c r="H255" s="95"/>
      <c r="I255" s="115">
        <f>SUM(H254)-(H254*99%)</f>
        <v>96462.305</v>
      </c>
      <c r="J255" s="87">
        <f>SUM(H254)-(H254*98.5%)</f>
        <v>144693.4575</v>
      </c>
      <c r="K255" s="87">
        <f>SUM(K252)-(K252*99%)</f>
        <v>96462.305</v>
      </c>
      <c r="L255" s="87">
        <f>SUM(K252)-(K252*98.5%)</f>
        <v>144693.4575</v>
      </c>
      <c r="M255" s="60">
        <v>45745.0</v>
      </c>
      <c r="N255" s="24"/>
      <c r="O255" s="25"/>
      <c r="P255" s="41"/>
      <c r="Q255" s="30">
        <v>100000.0</v>
      </c>
      <c r="R255" s="30"/>
      <c r="S255" s="21">
        <f t="shared" si="76"/>
        <v>99050</v>
      </c>
      <c r="T255" s="13"/>
      <c r="U255" s="13"/>
      <c r="V255" s="13"/>
      <c r="W255" s="13"/>
      <c r="X255" s="14"/>
      <c r="Y255" s="38"/>
      <c r="Z255" s="24"/>
      <c r="AA255" s="25"/>
      <c r="AB255" s="41"/>
      <c r="AC255" s="30"/>
      <c r="AD255" s="30"/>
      <c r="AE255" s="21">
        <f t="shared" si="77"/>
        <v>0</v>
      </c>
      <c r="AF255" s="13"/>
      <c r="AG255" s="13"/>
      <c r="AH255" s="13"/>
      <c r="AI255" s="13"/>
      <c r="AJ255" s="14"/>
      <c r="AK255" s="38"/>
      <c r="AL255" s="24"/>
      <c r="AM255" s="25"/>
      <c r="AN255" s="41"/>
      <c r="AO255" s="30"/>
      <c r="AP255" s="30"/>
      <c r="AQ255" s="21">
        <f t="shared" si="78"/>
        <v>0</v>
      </c>
      <c r="AR255" s="13"/>
      <c r="AS255" s="13"/>
      <c r="AT255" s="13"/>
      <c r="AU255" s="13"/>
      <c r="AV255" s="14"/>
      <c r="AW255" s="38"/>
      <c r="AX255" s="24"/>
      <c r="AY255" s="25"/>
      <c r="AZ255" s="41"/>
      <c r="BA255" s="30"/>
      <c r="BB255" s="30"/>
      <c r="BC255" s="21">
        <f t="shared" si="79"/>
        <v>0</v>
      </c>
      <c r="BD255" s="13"/>
      <c r="BE255" s="13"/>
      <c r="BF255" s="13"/>
      <c r="BG255" s="13"/>
      <c r="BH255" s="14"/>
      <c r="BI255" s="38"/>
      <c r="BJ255" s="24"/>
      <c r="BK255" s="25"/>
      <c r="BL255" s="41"/>
      <c r="BM255" s="30"/>
      <c r="BN255" s="30"/>
      <c r="BO255" s="21">
        <f t="shared" si="80"/>
        <v>0</v>
      </c>
      <c r="BP255" s="13"/>
      <c r="BQ255" s="13"/>
      <c r="BR255" s="13"/>
      <c r="BS255" s="13"/>
      <c r="BT255" s="14"/>
      <c r="BU255" s="107"/>
      <c r="BV255" s="107"/>
      <c r="BW255" s="107"/>
      <c r="BX255" s="107"/>
      <c r="BY255" s="107"/>
      <c r="BZ255" s="107"/>
      <c r="CA255" s="111"/>
      <c r="CB255" s="107"/>
      <c r="CC255" s="107"/>
      <c r="CD255" s="107"/>
      <c r="CE255" s="107"/>
      <c r="CF255" s="107"/>
      <c r="CG255" s="107"/>
      <c r="CH255" s="107"/>
      <c r="CI255" s="107"/>
      <c r="CJ255" s="107"/>
    </row>
    <row r="256">
      <c r="A256" s="60"/>
      <c r="B256" s="24"/>
      <c r="C256" s="25"/>
      <c r="D256" s="41"/>
      <c r="E256" s="46"/>
      <c r="F256" s="46"/>
      <c r="G256" s="21">
        <f t="shared" si="75"/>
        <v>0</v>
      </c>
      <c r="H256" s="95"/>
      <c r="I256" s="86" t="s">
        <v>53</v>
      </c>
      <c r="J256" s="86" t="s">
        <v>36</v>
      </c>
      <c r="K256" s="86" t="s">
        <v>53</v>
      </c>
      <c r="L256" s="86" t="s">
        <v>36</v>
      </c>
      <c r="M256" s="60">
        <v>45747.0</v>
      </c>
      <c r="N256" s="37"/>
      <c r="O256" s="25"/>
      <c r="P256" s="41"/>
      <c r="Q256" s="20">
        <v>1300000.0</v>
      </c>
      <c r="R256" s="20"/>
      <c r="S256" s="21">
        <f t="shared" si="76"/>
        <v>1287650</v>
      </c>
      <c r="T256" s="13"/>
      <c r="U256" s="13"/>
      <c r="V256" s="13"/>
      <c r="W256" s="13"/>
      <c r="X256" s="14"/>
      <c r="Y256" s="38"/>
      <c r="Z256" s="37"/>
      <c r="AA256" s="25"/>
      <c r="AB256" s="41"/>
      <c r="AC256" s="20"/>
      <c r="AD256" s="20"/>
      <c r="AE256" s="21">
        <f t="shared" si="77"/>
        <v>0</v>
      </c>
      <c r="AF256" s="13"/>
      <c r="AG256" s="13"/>
      <c r="AH256" s="13"/>
      <c r="AI256" s="13"/>
      <c r="AJ256" s="14"/>
      <c r="AK256" s="38"/>
      <c r="AL256" s="37"/>
      <c r="AM256" s="25"/>
      <c r="AN256" s="41"/>
      <c r="AO256" s="20"/>
      <c r="AP256" s="20"/>
      <c r="AQ256" s="21">
        <f t="shared" si="78"/>
        <v>0</v>
      </c>
      <c r="AR256" s="13"/>
      <c r="AS256" s="13"/>
      <c r="AT256" s="13"/>
      <c r="AU256" s="13"/>
      <c r="AV256" s="14"/>
      <c r="AW256" s="38"/>
      <c r="AX256" s="37"/>
      <c r="AY256" s="25"/>
      <c r="AZ256" s="41"/>
      <c r="BA256" s="20"/>
      <c r="BB256" s="20"/>
      <c r="BC256" s="21">
        <f t="shared" si="79"/>
        <v>0</v>
      </c>
      <c r="BD256" s="13"/>
      <c r="BE256" s="13"/>
      <c r="BF256" s="13"/>
      <c r="BG256" s="13"/>
      <c r="BH256" s="14"/>
      <c r="BI256" s="38"/>
      <c r="BJ256" s="37"/>
      <c r="BK256" s="25"/>
      <c r="BL256" s="41"/>
      <c r="BM256" s="20"/>
      <c r="BN256" s="20"/>
      <c r="BO256" s="21">
        <f t="shared" si="80"/>
        <v>0</v>
      </c>
      <c r="BP256" s="13"/>
      <c r="BQ256" s="13"/>
      <c r="BR256" s="13"/>
      <c r="BS256" s="13"/>
      <c r="BT256" s="14"/>
      <c r="BU256" s="107"/>
      <c r="BV256" s="107"/>
      <c r="BW256" s="107"/>
      <c r="BX256" s="107"/>
      <c r="BY256" s="107"/>
      <c r="BZ256" s="107"/>
      <c r="CA256" s="111"/>
      <c r="CB256" s="107"/>
      <c r="CC256" s="107"/>
      <c r="CD256" s="107"/>
      <c r="CE256" s="107"/>
      <c r="CF256" s="107"/>
      <c r="CG256" s="107"/>
      <c r="CH256" s="107"/>
      <c r="CI256" s="107"/>
      <c r="CJ256" s="107"/>
    </row>
    <row r="257">
      <c r="A257" s="60"/>
      <c r="B257" s="47"/>
      <c r="C257" s="25"/>
      <c r="D257" s="33"/>
      <c r="E257" s="46"/>
      <c r="F257" s="46"/>
      <c r="G257" s="21">
        <f t="shared" si="75"/>
        <v>0</v>
      </c>
      <c r="H257" s="94" t="s">
        <v>12</v>
      </c>
      <c r="I257" s="87">
        <f t="shared" ref="I257:L257" si="87">SUM(I255)-(I255*10%)</f>
        <v>86816.0745</v>
      </c>
      <c r="J257" s="87">
        <f t="shared" si="87"/>
        <v>130224.1118</v>
      </c>
      <c r="K257" s="87">
        <f t="shared" si="87"/>
        <v>86816.0745</v>
      </c>
      <c r="L257" s="87">
        <f t="shared" si="87"/>
        <v>130224.1118</v>
      </c>
      <c r="M257" s="38"/>
      <c r="N257" s="24"/>
      <c r="O257" s="25"/>
      <c r="P257" s="41"/>
      <c r="Q257" s="46"/>
      <c r="R257" s="46"/>
      <c r="S257" s="21">
        <f t="shared" si="76"/>
        <v>0</v>
      </c>
      <c r="T257" s="13"/>
      <c r="U257" s="13"/>
      <c r="V257" s="13"/>
      <c r="W257" s="13"/>
      <c r="X257" s="14"/>
      <c r="Y257" s="38"/>
      <c r="Z257" s="24"/>
      <c r="AA257" s="25"/>
      <c r="AB257" s="41"/>
      <c r="AC257" s="46"/>
      <c r="AD257" s="46"/>
      <c r="AE257" s="21">
        <f t="shared" si="77"/>
        <v>0</v>
      </c>
      <c r="AF257" s="13"/>
      <c r="AG257" s="13"/>
      <c r="AH257" s="13"/>
      <c r="AI257" s="13"/>
      <c r="AJ257" s="14"/>
      <c r="AK257" s="38"/>
      <c r="AL257" s="24"/>
      <c r="AM257" s="25"/>
      <c r="AN257" s="41"/>
      <c r="AO257" s="46"/>
      <c r="AP257" s="46"/>
      <c r="AQ257" s="21">
        <f t="shared" si="78"/>
        <v>0</v>
      </c>
      <c r="AR257" s="13"/>
      <c r="AS257" s="13"/>
      <c r="AT257" s="13"/>
      <c r="AU257" s="13"/>
      <c r="AV257" s="14"/>
      <c r="AW257" s="38"/>
      <c r="AX257" s="24"/>
      <c r="AY257" s="25"/>
      <c r="AZ257" s="41"/>
      <c r="BA257" s="46"/>
      <c r="BB257" s="46"/>
      <c r="BC257" s="21">
        <f t="shared" si="79"/>
        <v>0</v>
      </c>
      <c r="BD257" s="13"/>
      <c r="BE257" s="13"/>
      <c r="BF257" s="13"/>
      <c r="BG257" s="13"/>
      <c r="BH257" s="14"/>
      <c r="BI257" s="38"/>
      <c r="BJ257" s="24"/>
      <c r="BK257" s="25"/>
      <c r="BL257" s="41"/>
      <c r="BM257" s="46"/>
      <c r="BN257" s="46"/>
      <c r="BO257" s="21">
        <f t="shared" si="80"/>
        <v>0</v>
      </c>
      <c r="BP257" s="13"/>
      <c r="BQ257" s="13"/>
      <c r="BR257" s="13"/>
      <c r="BS257" s="13"/>
      <c r="BT257" s="14"/>
      <c r="BU257" s="107"/>
      <c r="BV257" s="107"/>
      <c r="BW257" s="107"/>
      <c r="BX257" s="107"/>
      <c r="BY257" s="107"/>
      <c r="BZ257" s="107"/>
      <c r="CA257" s="111"/>
      <c r="CB257" s="107"/>
      <c r="CC257" s="107"/>
      <c r="CD257" s="107"/>
      <c r="CE257" s="107"/>
      <c r="CF257" s="107"/>
      <c r="CG257" s="107"/>
      <c r="CH257" s="107"/>
      <c r="CI257" s="107"/>
      <c r="CJ257" s="107"/>
    </row>
    <row r="258">
      <c r="A258" s="105"/>
      <c r="B258" s="47"/>
      <c r="C258" s="25"/>
      <c r="D258" s="33"/>
      <c r="E258" s="46"/>
      <c r="F258" s="46"/>
      <c r="G258" s="21">
        <f t="shared" si="75"/>
        <v>0</v>
      </c>
      <c r="H258" s="95">
        <f>H247+T247+AF247+AR247+BD247+BP247+CB247</f>
        <v>10081000</v>
      </c>
      <c r="I258" s="95"/>
      <c r="J258" s="95"/>
      <c r="K258" s="86" t="s">
        <v>66</v>
      </c>
      <c r="L258" s="95"/>
      <c r="M258" s="38"/>
      <c r="N258" s="47"/>
      <c r="O258" s="25"/>
      <c r="P258" s="41"/>
      <c r="Q258" s="46"/>
      <c r="R258" s="46"/>
      <c r="S258" s="21">
        <f t="shared" si="76"/>
        <v>0</v>
      </c>
      <c r="T258" s="13"/>
      <c r="U258" s="13"/>
      <c r="V258" s="13"/>
      <c r="W258" s="13"/>
      <c r="X258" s="14"/>
      <c r="Y258" s="38"/>
      <c r="Z258" s="47"/>
      <c r="AA258" s="25"/>
      <c r="AB258" s="41"/>
      <c r="AC258" s="46"/>
      <c r="AD258" s="46"/>
      <c r="AE258" s="21">
        <f t="shared" si="77"/>
        <v>0</v>
      </c>
      <c r="AF258" s="13"/>
      <c r="AG258" s="13"/>
      <c r="AH258" s="13"/>
      <c r="AI258" s="13"/>
      <c r="AJ258" s="14"/>
      <c r="AK258" s="38"/>
      <c r="AL258" s="47"/>
      <c r="AM258" s="25"/>
      <c r="AN258" s="41"/>
      <c r="AO258" s="46"/>
      <c r="AP258" s="46"/>
      <c r="AQ258" s="21">
        <f t="shared" si="78"/>
        <v>0</v>
      </c>
      <c r="AR258" s="13"/>
      <c r="AS258" s="13"/>
      <c r="AT258" s="13"/>
      <c r="AU258" s="13"/>
      <c r="AV258" s="14"/>
      <c r="AW258" s="38"/>
      <c r="AX258" s="47"/>
      <c r="AY258" s="25"/>
      <c r="AZ258" s="41"/>
      <c r="BA258" s="46"/>
      <c r="BB258" s="46"/>
      <c r="BC258" s="21">
        <f t="shared" si="79"/>
        <v>0</v>
      </c>
      <c r="BD258" s="13"/>
      <c r="BE258" s="13"/>
      <c r="BF258" s="13"/>
      <c r="BG258" s="13"/>
      <c r="BH258" s="14"/>
      <c r="BI258" s="38"/>
      <c r="BJ258" s="47"/>
      <c r="BK258" s="25"/>
      <c r="BL258" s="41"/>
      <c r="BM258" s="46"/>
      <c r="BN258" s="46"/>
      <c r="BO258" s="21">
        <f t="shared" si="80"/>
        <v>0</v>
      </c>
      <c r="BP258" s="13"/>
      <c r="BQ258" s="13"/>
      <c r="BR258" s="13"/>
      <c r="BS258" s="13"/>
      <c r="BT258" s="14"/>
      <c r="BU258" s="107"/>
      <c r="BV258" s="107"/>
      <c r="BW258" s="107"/>
      <c r="BX258" s="107"/>
      <c r="BY258" s="107"/>
      <c r="BZ258" s="107"/>
      <c r="CA258" s="111"/>
      <c r="CB258" s="107"/>
      <c r="CC258" s="107"/>
      <c r="CD258" s="107"/>
      <c r="CE258" s="107"/>
      <c r="CF258" s="107"/>
      <c r="CG258" s="107"/>
      <c r="CH258" s="107"/>
      <c r="CI258" s="107"/>
      <c r="CJ258" s="107"/>
    </row>
    <row r="259">
      <c r="A259" s="105"/>
      <c r="B259" s="32"/>
      <c r="C259" s="25"/>
      <c r="D259" s="41"/>
      <c r="E259" s="46"/>
      <c r="F259" s="46"/>
      <c r="G259" s="21">
        <f t="shared" si="75"/>
        <v>0</v>
      </c>
      <c r="H259" s="95"/>
      <c r="I259" s="95"/>
      <c r="J259" s="95"/>
      <c r="K259" s="95">
        <f>J249+K257</f>
        <v>164505.942</v>
      </c>
      <c r="L259" s="95"/>
      <c r="M259" s="38"/>
      <c r="N259" s="32"/>
      <c r="O259" s="25"/>
      <c r="P259" s="41"/>
      <c r="Q259" s="46"/>
      <c r="R259" s="46"/>
      <c r="S259" s="21">
        <f t="shared" si="76"/>
        <v>0</v>
      </c>
      <c r="T259" s="13"/>
      <c r="U259" s="13"/>
      <c r="V259" s="13"/>
      <c r="W259" s="13"/>
      <c r="X259" s="14"/>
      <c r="Y259" s="38"/>
      <c r="Z259" s="32"/>
      <c r="AA259" s="25"/>
      <c r="AB259" s="41"/>
      <c r="AC259" s="46"/>
      <c r="AD259" s="46"/>
      <c r="AE259" s="21">
        <f t="shared" si="77"/>
        <v>0</v>
      </c>
      <c r="AF259" s="13"/>
      <c r="AG259" s="13"/>
      <c r="AH259" s="13"/>
      <c r="AI259" s="13"/>
      <c r="AJ259" s="14"/>
      <c r="AK259" s="38"/>
      <c r="AL259" s="32"/>
      <c r="AM259" s="25"/>
      <c r="AN259" s="41"/>
      <c r="AO259" s="46"/>
      <c r="AP259" s="46"/>
      <c r="AQ259" s="21">
        <f t="shared" si="78"/>
        <v>0</v>
      </c>
      <c r="AR259" s="13"/>
      <c r="AS259" s="13"/>
      <c r="AT259" s="13"/>
      <c r="AU259" s="13"/>
      <c r="AV259" s="14"/>
      <c r="AW259" s="38"/>
      <c r="AX259" s="32"/>
      <c r="AY259" s="25"/>
      <c r="AZ259" s="41"/>
      <c r="BA259" s="46"/>
      <c r="BB259" s="46"/>
      <c r="BC259" s="21">
        <f t="shared" si="79"/>
        <v>0</v>
      </c>
      <c r="BD259" s="13"/>
      <c r="BE259" s="13"/>
      <c r="BF259" s="13"/>
      <c r="BG259" s="13"/>
      <c r="BH259" s="14"/>
      <c r="BI259" s="38"/>
      <c r="BJ259" s="32"/>
      <c r="BK259" s="25"/>
      <c r="BL259" s="41"/>
      <c r="BM259" s="46"/>
      <c r="BN259" s="46"/>
      <c r="BO259" s="21">
        <f t="shared" si="80"/>
        <v>0</v>
      </c>
      <c r="BP259" s="13"/>
      <c r="BQ259" s="13"/>
      <c r="BR259" s="13"/>
      <c r="BS259" s="13"/>
      <c r="BT259" s="14"/>
      <c r="BU259" s="107"/>
      <c r="BV259" s="107"/>
      <c r="BW259" s="107"/>
      <c r="BX259" s="107"/>
      <c r="BY259" s="107"/>
      <c r="BZ259" s="107"/>
      <c r="CA259" s="111"/>
      <c r="CB259" s="107"/>
      <c r="CC259" s="107"/>
      <c r="CD259" s="107"/>
      <c r="CE259" s="107"/>
      <c r="CF259" s="107"/>
      <c r="CG259" s="107"/>
      <c r="CH259" s="107"/>
      <c r="CI259" s="107"/>
      <c r="CJ259" s="107"/>
    </row>
    <row r="260">
      <c r="A260" s="105"/>
      <c r="B260" s="47"/>
      <c r="C260" s="25"/>
      <c r="D260" s="41"/>
      <c r="E260" s="46"/>
      <c r="F260" s="46"/>
      <c r="G260" s="21">
        <f t="shared" si="75"/>
        <v>0</v>
      </c>
      <c r="H260" s="13"/>
      <c r="I260" s="13"/>
      <c r="J260" s="13"/>
      <c r="K260" s="13"/>
      <c r="L260" s="14"/>
      <c r="M260" s="38"/>
      <c r="N260" s="47"/>
      <c r="O260" s="25"/>
      <c r="P260" s="41"/>
      <c r="Q260" s="46"/>
      <c r="R260" s="46"/>
      <c r="S260" s="21">
        <f t="shared" si="76"/>
        <v>0</v>
      </c>
      <c r="T260" s="13"/>
      <c r="U260" s="116"/>
      <c r="V260" s="117" t="s">
        <v>59</v>
      </c>
      <c r="W260" s="116"/>
      <c r="X260" s="14"/>
      <c r="Y260" s="38"/>
      <c r="Z260" s="47"/>
      <c r="AA260" s="25"/>
      <c r="AB260" s="41"/>
      <c r="AC260" s="46"/>
      <c r="AD260" s="46"/>
      <c r="AE260" s="21">
        <f t="shared" si="77"/>
        <v>0</v>
      </c>
      <c r="AF260" s="13"/>
      <c r="AG260" s="116"/>
      <c r="AH260" s="117" t="s">
        <v>59</v>
      </c>
      <c r="AI260" s="116"/>
      <c r="AJ260" s="14"/>
      <c r="AK260" s="38"/>
      <c r="AL260" s="47"/>
      <c r="AM260" s="25"/>
      <c r="AN260" s="41"/>
      <c r="AO260" s="46"/>
      <c r="AP260" s="46"/>
      <c r="AQ260" s="21">
        <f t="shared" si="78"/>
        <v>0</v>
      </c>
      <c r="AR260" s="13"/>
      <c r="AS260" s="116"/>
      <c r="AT260" s="117" t="s">
        <v>59</v>
      </c>
      <c r="AU260" s="116"/>
      <c r="AV260" s="14"/>
      <c r="AW260" s="38"/>
      <c r="AX260" s="47"/>
      <c r="AY260" s="25"/>
      <c r="AZ260" s="41"/>
      <c r="BA260" s="46"/>
      <c r="BB260" s="46"/>
      <c r="BC260" s="21">
        <f t="shared" si="79"/>
        <v>0</v>
      </c>
      <c r="BD260" s="13"/>
      <c r="BE260" s="116"/>
      <c r="BF260" s="117" t="s">
        <v>59</v>
      </c>
      <c r="BG260" s="116"/>
      <c r="BH260" s="14"/>
      <c r="BI260" s="38"/>
      <c r="BJ260" s="47"/>
      <c r="BK260" s="25"/>
      <c r="BL260" s="41"/>
      <c r="BM260" s="46"/>
      <c r="BN260" s="46"/>
      <c r="BO260" s="21">
        <f t="shared" si="80"/>
        <v>0</v>
      </c>
      <c r="BP260" s="13"/>
      <c r="BQ260" s="116"/>
      <c r="BR260" s="117" t="s">
        <v>59</v>
      </c>
      <c r="BS260" s="116"/>
      <c r="BT260" s="14"/>
      <c r="BU260" s="107"/>
      <c r="BV260" s="107"/>
      <c r="BW260" s="107"/>
      <c r="BX260" s="107"/>
      <c r="BY260" s="107"/>
      <c r="BZ260" s="107"/>
      <c r="CA260" s="111"/>
      <c r="CB260" s="107"/>
      <c r="CC260" s="107"/>
      <c r="CD260" s="107"/>
      <c r="CE260" s="107"/>
      <c r="CF260" s="107"/>
      <c r="CG260" s="107"/>
      <c r="CH260" s="107"/>
      <c r="CI260" s="107"/>
      <c r="CJ260" s="107"/>
    </row>
    <row r="261">
      <c r="A261" s="38"/>
      <c r="B261" s="47"/>
      <c r="C261" s="25"/>
      <c r="D261" s="41"/>
      <c r="E261" s="46"/>
      <c r="F261" s="46"/>
      <c r="G261" s="21">
        <f t="shared" si="75"/>
        <v>0</v>
      </c>
      <c r="H261" s="116"/>
      <c r="I261" s="117" t="s">
        <v>61</v>
      </c>
      <c r="J261" s="116"/>
      <c r="K261" s="13"/>
      <c r="L261" s="14"/>
      <c r="M261" s="38"/>
      <c r="N261" s="47"/>
      <c r="O261" s="25"/>
      <c r="P261" s="41"/>
      <c r="Q261" s="46"/>
      <c r="R261" s="46"/>
      <c r="S261" s="21">
        <f t="shared" si="76"/>
        <v>0</v>
      </c>
      <c r="T261" s="13"/>
      <c r="U261" s="118">
        <v>0.03</v>
      </c>
      <c r="V261" s="118">
        <v>0.05</v>
      </c>
      <c r="W261" s="118">
        <v>0.07</v>
      </c>
      <c r="X261" s="14"/>
      <c r="Y261" s="38"/>
      <c r="Z261" s="47"/>
      <c r="AA261" s="25"/>
      <c r="AB261" s="41"/>
      <c r="AC261" s="46"/>
      <c r="AD261" s="46"/>
      <c r="AE261" s="21">
        <f t="shared" si="77"/>
        <v>0</v>
      </c>
      <c r="AF261" s="13"/>
      <c r="AG261" s="118">
        <v>0.03</v>
      </c>
      <c r="AH261" s="118">
        <v>0.05</v>
      </c>
      <c r="AI261" s="118">
        <v>0.07</v>
      </c>
      <c r="AJ261" s="14"/>
      <c r="AK261" s="38"/>
      <c r="AL261" s="47"/>
      <c r="AM261" s="25"/>
      <c r="AN261" s="41"/>
      <c r="AO261" s="46"/>
      <c r="AP261" s="46"/>
      <c r="AQ261" s="21">
        <f t="shared" si="78"/>
        <v>0</v>
      </c>
      <c r="AR261" s="13"/>
      <c r="AS261" s="118">
        <v>0.03</v>
      </c>
      <c r="AT261" s="118">
        <v>0.05</v>
      </c>
      <c r="AU261" s="118">
        <v>0.07</v>
      </c>
      <c r="AV261" s="14"/>
      <c r="AW261" s="38"/>
      <c r="AX261" s="47"/>
      <c r="AY261" s="25"/>
      <c r="AZ261" s="41"/>
      <c r="BA261" s="46"/>
      <c r="BB261" s="46"/>
      <c r="BC261" s="21">
        <f t="shared" si="79"/>
        <v>0</v>
      </c>
      <c r="BD261" s="13"/>
      <c r="BE261" s="118">
        <v>0.03</v>
      </c>
      <c r="BF261" s="118">
        <v>0.05</v>
      </c>
      <c r="BG261" s="118">
        <v>0.07</v>
      </c>
      <c r="BH261" s="14"/>
      <c r="BI261" s="38"/>
      <c r="BJ261" s="47"/>
      <c r="BK261" s="25"/>
      <c r="BL261" s="41"/>
      <c r="BM261" s="46"/>
      <c r="BN261" s="46"/>
      <c r="BO261" s="21">
        <f t="shared" si="80"/>
        <v>0</v>
      </c>
      <c r="BP261" s="13"/>
      <c r="BQ261" s="118">
        <v>0.03</v>
      </c>
      <c r="BR261" s="118">
        <v>0.05</v>
      </c>
      <c r="BS261" s="118">
        <v>0.07</v>
      </c>
      <c r="BT261" s="14"/>
      <c r="BU261" s="107"/>
      <c r="BV261" s="107"/>
      <c r="BW261" s="107"/>
      <c r="BX261" s="107"/>
      <c r="BY261" s="107"/>
      <c r="BZ261" s="107"/>
      <c r="CA261" s="111"/>
      <c r="CB261" s="107"/>
      <c r="CC261" s="107"/>
      <c r="CD261" s="107"/>
      <c r="CE261" s="107"/>
      <c r="CF261" s="107"/>
      <c r="CG261" s="107"/>
      <c r="CH261" s="107"/>
      <c r="CI261" s="107"/>
      <c r="CJ261" s="107"/>
    </row>
    <row r="262">
      <c r="A262" s="38"/>
      <c r="B262" s="47"/>
      <c r="C262" s="25"/>
      <c r="D262" s="41"/>
      <c r="E262" s="46"/>
      <c r="F262" s="46"/>
      <c r="G262" s="21">
        <f t="shared" si="75"/>
        <v>0</v>
      </c>
      <c r="H262" s="118">
        <v>0.03</v>
      </c>
      <c r="I262" s="118">
        <v>0.05</v>
      </c>
      <c r="J262" s="118">
        <v>0.07</v>
      </c>
      <c r="K262" s="13"/>
      <c r="L262" s="14"/>
      <c r="M262" s="38"/>
      <c r="N262" s="47"/>
      <c r="O262" s="25"/>
      <c r="P262" s="41"/>
      <c r="Q262" s="46"/>
      <c r="R262" s="46"/>
      <c r="S262" s="21">
        <f t="shared" si="76"/>
        <v>0</v>
      </c>
      <c r="T262" s="13"/>
      <c r="U262" s="117">
        <v>3.0</v>
      </c>
      <c r="V262" s="117">
        <v>5.0</v>
      </c>
      <c r="W262" s="117">
        <v>8.0</v>
      </c>
      <c r="X262" s="14"/>
      <c r="Y262" s="38"/>
      <c r="Z262" s="47"/>
      <c r="AA262" s="25"/>
      <c r="AB262" s="41"/>
      <c r="AC262" s="46"/>
      <c r="AD262" s="46"/>
      <c r="AE262" s="21">
        <f t="shared" si="77"/>
        <v>0</v>
      </c>
      <c r="AF262" s="13"/>
      <c r="AG262" s="117">
        <v>4.0</v>
      </c>
      <c r="AH262" s="117">
        <v>7.0</v>
      </c>
      <c r="AI262" s="117">
        <v>10.0</v>
      </c>
      <c r="AJ262" s="14"/>
      <c r="AK262" s="38"/>
      <c r="AL262" s="47"/>
      <c r="AM262" s="25"/>
      <c r="AN262" s="41"/>
      <c r="AO262" s="46"/>
      <c r="AP262" s="46"/>
      <c r="AQ262" s="21">
        <f t="shared" si="78"/>
        <v>0</v>
      </c>
      <c r="AR262" s="13"/>
      <c r="AS262" s="117">
        <v>4.0</v>
      </c>
      <c r="AT262" s="117">
        <v>7.0</v>
      </c>
      <c r="AU262" s="117">
        <v>10.0</v>
      </c>
      <c r="AV262" s="14"/>
      <c r="AW262" s="38"/>
      <c r="AX262" s="47"/>
      <c r="AY262" s="25"/>
      <c r="AZ262" s="41"/>
      <c r="BA262" s="46"/>
      <c r="BB262" s="46"/>
      <c r="BC262" s="21">
        <f t="shared" si="79"/>
        <v>0</v>
      </c>
      <c r="BD262" s="13"/>
      <c r="BE262" s="117">
        <v>4.0</v>
      </c>
      <c r="BF262" s="117">
        <v>7.0</v>
      </c>
      <c r="BG262" s="117">
        <v>10.0</v>
      </c>
      <c r="BH262" s="14"/>
      <c r="BI262" s="38"/>
      <c r="BJ262" s="47"/>
      <c r="BK262" s="25"/>
      <c r="BL262" s="41"/>
      <c r="BM262" s="46"/>
      <c r="BN262" s="46"/>
      <c r="BO262" s="21">
        <f t="shared" si="80"/>
        <v>0</v>
      </c>
      <c r="BP262" s="13"/>
      <c r="BQ262" s="117">
        <v>4.0</v>
      </c>
      <c r="BR262" s="117">
        <v>7.0</v>
      </c>
      <c r="BS262" s="117">
        <v>10.0</v>
      </c>
      <c r="BT262" s="14"/>
      <c r="BU262" s="107"/>
      <c r="BV262" s="107"/>
      <c r="BW262" s="107"/>
      <c r="BX262" s="107"/>
      <c r="BY262" s="107"/>
      <c r="BZ262" s="107"/>
      <c r="CA262" s="111"/>
      <c r="CB262" s="107"/>
      <c r="CC262" s="107"/>
      <c r="CD262" s="107"/>
      <c r="CE262" s="107"/>
      <c r="CF262" s="107"/>
      <c r="CG262" s="107"/>
      <c r="CH262" s="107"/>
      <c r="CI262" s="107"/>
      <c r="CJ262" s="107"/>
    </row>
    <row r="263">
      <c r="A263" s="38"/>
      <c r="B263" s="32"/>
      <c r="C263" s="25"/>
      <c r="D263" s="41"/>
      <c r="E263" s="49"/>
      <c r="F263" s="49"/>
      <c r="G263" s="21">
        <f t="shared" si="75"/>
        <v>0</v>
      </c>
      <c r="H263" s="117">
        <v>4.0</v>
      </c>
      <c r="I263" s="117">
        <v>6.0</v>
      </c>
      <c r="J263" s="117">
        <v>8.0</v>
      </c>
      <c r="K263" s="13"/>
      <c r="L263" s="14"/>
      <c r="M263" s="38"/>
      <c r="N263" s="32"/>
      <c r="O263" s="25"/>
      <c r="P263" s="41"/>
      <c r="Q263" s="49"/>
      <c r="R263" s="49"/>
      <c r="S263" s="21">
        <f t="shared" si="76"/>
        <v>0</v>
      </c>
      <c r="T263" s="13"/>
      <c r="U263" s="13"/>
      <c r="V263" s="13"/>
      <c r="W263" s="13"/>
      <c r="X263" s="14"/>
      <c r="Y263" s="38"/>
      <c r="Z263" s="32"/>
      <c r="AA263" s="25"/>
      <c r="AB263" s="41"/>
      <c r="AC263" s="49"/>
      <c r="AD263" s="49"/>
      <c r="AE263" s="21">
        <f t="shared" si="77"/>
        <v>0</v>
      </c>
      <c r="AF263" s="13"/>
      <c r="AG263" s="13"/>
      <c r="AH263" s="13"/>
      <c r="AI263" s="13"/>
      <c r="AJ263" s="14"/>
      <c r="AK263" s="38"/>
      <c r="AL263" s="32"/>
      <c r="AM263" s="25"/>
      <c r="AN263" s="41"/>
      <c r="AO263" s="49"/>
      <c r="AP263" s="49"/>
      <c r="AQ263" s="21">
        <f t="shared" si="78"/>
        <v>0</v>
      </c>
      <c r="AR263" s="13"/>
      <c r="AS263" s="13"/>
      <c r="AT263" s="13"/>
      <c r="AU263" s="13"/>
      <c r="AV263" s="14"/>
      <c r="AW263" s="38"/>
      <c r="AX263" s="32"/>
      <c r="AY263" s="25"/>
      <c r="AZ263" s="41"/>
      <c r="BA263" s="49"/>
      <c r="BB263" s="49"/>
      <c r="BC263" s="21">
        <f t="shared" si="79"/>
        <v>0</v>
      </c>
      <c r="BD263" s="13"/>
      <c r="BE263" s="13"/>
      <c r="BF263" s="13"/>
      <c r="BG263" s="13"/>
      <c r="BH263" s="14"/>
      <c r="BI263" s="38"/>
      <c r="BJ263" s="32"/>
      <c r="BK263" s="25"/>
      <c r="BL263" s="41"/>
      <c r="BM263" s="49"/>
      <c r="BN263" s="49"/>
      <c r="BO263" s="21">
        <f t="shared" si="80"/>
        <v>0</v>
      </c>
      <c r="BP263" s="13"/>
      <c r="BQ263" s="13"/>
      <c r="BR263" s="13"/>
      <c r="BS263" s="13"/>
      <c r="BT263" s="14"/>
      <c r="BU263" s="107"/>
      <c r="BV263" s="107"/>
      <c r="BW263" s="107"/>
      <c r="BX263" s="107"/>
      <c r="BY263" s="107"/>
      <c r="BZ263" s="107"/>
      <c r="CA263" s="111"/>
      <c r="CB263" s="107"/>
      <c r="CC263" s="107"/>
      <c r="CD263" s="107"/>
      <c r="CE263" s="107"/>
      <c r="CF263" s="107"/>
      <c r="CG263" s="107"/>
      <c r="CH263" s="107"/>
      <c r="CI263" s="107"/>
      <c r="CJ263" s="107"/>
    </row>
    <row r="264">
      <c r="A264" s="38"/>
      <c r="B264" s="32"/>
      <c r="C264" s="25"/>
      <c r="D264" s="41"/>
      <c r="E264" s="49"/>
      <c r="F264" s="49"/>
      <c r="G264" s="21">
        <f t="shared" si="75"/>
        <v>0</v>
      </c>
      <c r="H264" s="13"/>
      <c r="I264" s="13"/>
      <c r="J264" s="13"/>
      <c r="K264" s="13"/>
      <c r="L264" s="14"/>
      <c r="M264" s="38"/>
      <c r="N264" s="32"/>
      <c r="O264" s="25"/>
      <c r="P264" s="41"/>
      <c r="Q264" s="49"/>
      <c r="R264" s="49"/>
      <c r="S264" s="21">
        <f t="shared" si="76"/>
        <v>0</v>
      </c>
      <c r="T264" s="13"/>
      <c r="U264" s="13"/>
      <c r="V264" s="13"/>
      <c r="W264" s="13"/>
      <c r="X264" s="14"/>
      <c r="Y264" s="38"/>
      <c r="Z264" s="32"/>
      <c r="AA264" s="25"/>
      <c r="AB264" s="41"/>
      <c r="AC264" s="49"/>
      <c r="AD264" s="49"/>
      <c r="AE264" s="21">
        <f t="shared" si="77"/>
        <v>0</v>
      </c>
      <c r="AF264" s="13"/>
      <c r="AG264" s="13"/>
      <c r="AH264" s="13"/>
      <c r="AI264" s="13"/>
      <c r="AJ264" s="14"/>
      <c r="AK264" s="38"/>
      <c r="AL264" s="32"/>
      <c r="AM264" s="25"/>
      <c r="AN264" s="41"/>
      <c r="AO264" s="49"/>
      <c r="AP264" s="49"/>
      <c r="AQ264" s="21">
        <f t="shared" si="78"/>
        <v>0</v>
      </c>
      <c r="AR264" s="13"/>
      <c r="AS264" s="13"/>
      <c r="AT264" s="13"/>
      <c r="AU264" s="13"/>
      <c r="AV264" s="14"/>
      <c r="AW264" s="38"/>
      <c r="AX264" s="32"/>
      <c r="AY264" s="25"/>
      <c r="AZ264" s="41"/>
      <c r="BA264" s="49"/>
      <c r="BB264" s="49"/>
      <c r="BC264" s="21">
        <f t="shared" si="79"/>
        <v>0</v>
      </c>
      <c r="BD264" s="13"/>
      <c r="BE264" s="13"/>
      <c r="BF264" s="13"/>
      <c r="BG264" s="13"/>
      <c r="BH264" s="14"/>
      <c r="BI264" s="38"/>
      <c r="BJ264" s="32"/>
      <c r="BK264" s="25"/>
      <c r="BL264" s="41"/>
      <c r="BM264" s="49"/>
      <c r="BN264" s="49"/>
      <c r="BO264" s="21">
        <f t="shared" si="80"/>
        <v>0</v>
      </c>
      <c r="BP264" s="13"/>
      <c r="BQ264" s="13"/>
      <c r="BR264" s="13"/>
      <c r="BS264" s="13"/>
      <c r="BT264" s="14"/>
      <c r="BU264" s="107"/>
      <c r="BV264" s="107"/>
      <c r="BW264" s="107"/>
      <c r="BX264" s="107"/>
      <c r="BY264" s="107"/>
      <c r="BZ264" s="107"/>
      <c r="CA264" s="111"/>
      <c r="CB264" s="107"/>
      <c r="CC264" s="107"/>
      <c r="CD264" s="107"/>
      <c r="CE264" s="107"/>
      <c r="CF264" s="107"/>
      <c r="CG264" s="107"/>
      <c r="CH264" s="107"/>
      <c r="CI264" s="107"/>
      <c r="CJ264" s="107"/>
    </row>
    <row r="265">
      <c r="A265" s="38"/>
      <c r="B265" s="32"/>
      <c r="C265" s="25"/>
      <c r="D265" s="41"/>
      <c r="E265" s="49"/>
      <c r="F265" s="49"/>
      <c r="G265" s="21">
        <f t="shared" si="75"/>
        <v>0</v>
      </c>
      <c r="H265" s="13"/>
      <c r="I265" s="13"/>
      <c r="J265" s="67"/>
      <c r="K265" s="13"/>
      <c r="L265" s="14"/>
      <c r="M265" s="38"/>
      <c r="N265" s="32"/>
      <c r="O265" s="25"/>
      <c r="P265" s="41"/>
      <c r="Q265" s="49"/>
      <c r="R265" s="49"/>
      <c r="S265" s="21">
        <f t="shared" si="76"/>
        <v>0</v>
      </c>
      <c r="T265" s="13"/>
      <c r="U265" s="13"/>
      <c r="V265" s="13"/>
      <c r="W265" s="13"/>
      <c r="X265" s="14"/>
      <c r="Y265" s="38"/>
      <c r="Z265" s="32"/>
      <c r="AA265" s="25"/>
      <c r="AB265" s="41"/>
      <c r="AC265" s="49"/>
      <c r="AD265" s="49"/>
      <c r="AE265" s="21">
        <f t="shared" si="77"/>
        <v>0</v>
      </c>
      <c r="AF265" s="13"/>
      <c r="AG265" s="13"/>
      <c r="AH265" s="13"/>
      <c r="AI265" s="13"/>
      <c r="AJ265" s="14"/>
      <c r="AK265" s="38"/>
      <c r="AL265" s="32"/>
      <c r="AM265" s="25"/>
      <c r="AN265" s="41"/>
      <c r="AO265" s="49"/>
      <c r="AP265" s="49"/>
      <c r="AQ265" s="21">
        <f t="shared" si="78"/>
        <v>0</v>
      </c>
      <c r="AR265" s="13"/>
      <c r="AS265" s="13"/>
      <c r="AT265" s="13"/>
      <c r="AU265" s="13"/>
      <c r="AV265" s="14"/>
      <c r="AW265" s="38"/>
      <c r="AX265" s="32"/>
      <c r="AY265" s="25"/>
      <c r="AZ265" s="41"/>
      <c r="BA265" s="49"/>
      <c r="BB265" s="49"/>
      <c r="BC265" s="21">
        <f t="shared" si="79"/>
        <v>0</v>
      </c>
      <c r="BD265" s="13"/>
      <c r="BE265" s="13"/>
      <c r="BF265" s="13"/>
      <c r="BG265" s="13"/>
      <c r="BH265" s="14"/>
      <c r="BI265" s="38"/>
      <c r="BJ265" s="32"/>
      <c r="BK265" s="25"/>
      <c r="BL265" s="41"/>
      <c r="BM265" s="49"/>
      <c r="BN265" s="49"/>
      <c r="BO265" s="21">
        <f t="shared" si="80"/>
        <v>0</v>
      </c>
      <c r="BP265" s="13"/>
      <c r="BQ265" s="13"/>
      <c r="BR265" s="13"/>
      <c r="BS265" s="13"/>
      <c r="BT265" s="14"/>
      <c r="BU265" s="107"/>
      <c r="BV265" s="107"/>
      <c r="BW265" s="107"/>
      <c r="BX265" s="107"/>
      <c r="BY265" s="107"/>
      <c r="BZ265" s="107"/>
      <c r="CA265" s="111"/>
      <c r="CB265" s="107"/>
      <c r="CC265" s="107"/>
      <c r="CD265" s="107"/>
      <c r="CE265" s="107"/>
      <c r="CF265" s="107"/>
      <c r="CG265" s="107"/>
      <c r="CH265" s="107"/>
      <c r="CI265" s="107"/>
      <c r="CJ265" s="107"/>
    </row>
    <row r="266">
      <c r="A266" s="38"/>
      <c r="B266" s="32"/>
      <c r="C266" s="25"/>
      <c r="D266" s="41"/>
      <c r="E266" s="46"/>
      <c r="F266" s="46"/>
      <c r="G266" s="21">
        <f t="shared" si="75"/>
        <v>0</v>
      </c>
      <c r="H266" s="13"/>
      <c r="I266" s="67" t="s">
        <v>73</v>
      </c>
      <c r="J266" s="13"/>
      <c r="K266" s="13"/>
      <c r="L266" s="14"/>
      <c r="M266" s="38"/>
      <c r="N266" s="32"/>
      <c r="O266" s="25"/>
      <c r="P266" s="41"/>
      <c r="Q266" s="46"/>
      <c r="R266" s="46"/>
      <c r="S266" s="21">
        <f t="shared" si="76"/>
        <v>0</v>
      </c>
      <c r="T266" s="13"/>
      <c r="U266" s="13"/>
      <c r="V266" s="13"/>
      <c r="W266" s="13"/>
      <c r="X266" s="14"/>
      <c r="Y266" s="38"/>
      <c r="Z266" s="32"/>
      <c r="AA266" s="25"/>
      <c r="AB266" s="41"/>
      <c r="AC266" s="46"/>
      <c r="AD266" s="46"/>
      <c r="AE266" s="21">
        <f t="shared" si="77"/>
        <v>0</v>
      </c>
      <c r="AF266" s="13"/>
      <c r="AG266" s="13"/>
      <c r="AH266" s="13"/>
      <c r="AI266" s="13"/>
      <c r="AJ266" s="14"/>
      <c r="AK266" s="38"/>
      <c r="AL266" s="32"/>
      <c r="AM266" s="25"/>
      <c r="AN266" s="41"/>
      <c r="AO266" s="46"/>
      <c r="AP266" s="46"/>
      <c r="AQ266" s="21">
        <f t="shared" si="78"/>
        <v>0</v>
      </c>
      <c r="AR266" s="13"/>
      <c r="AS266" s="13"/>
      <c r="AT266" s="13"/>
      <c r="AU266" s="13"/>
      <c r="AV266" s="14"/>
      <c r="AW266" s="38"/>
      <c r="AX266" s="32"/>
      <c r="AY266" s="25"/>
      <c r="AZ266" s="41"/>
      <c r="BA266" s="46"/>
      <c r="BB266" s="46"/>
      <c r="BC266" s="21">
        <f t="shared" si="79"/>
        <v>0</v>
      </c>
      <c r="BD266" s="13"/>
      <c r="BE266" s="13"/>
      <c r="BF266" s="13"/>
      <c r="BG266" s="13"/>
      <c r="BH266" s="14"/>
      <c r="BI266" s="38"/>
      <c r="BJ266" s="32"/>
      <c r="BK266" s="25"/>
      <c r="BL266" s="41"/>
      <c r="BM266" s="46"/>
      <c r="BN266" s="46"/>
      <c r="BO266" s="21">
        <f t="shared" si="80"/>
        <v>0</v>
      </c>
      <c r="BP266" s="13"/>
      <c r="BQ266" s="13"/>
      <c r="BR266" s="13"/>
      <c r="BS266" s="13"/>
      <c r="BT266" s="14"/>
      <c r="BU266" s="107"/>
      <c r="BV266" s="107"/>
      <c r="BW266" s="107"/>
      <c r="BX266" s="107"/>
      <c r="BY266" s="107"/>
      <c r="BZ266" s="107"/>
      <c r="CA266" s="111"/>
      <c r="CB266" s="107"/>
      <c r="CC266" s="107"/>
      <c r="CD266" s="107"/>
      <c r="CE266" s="107"/>
      <c r="CF266" s="107"/>
      <c r="CG266" s="107"/>
      <c r="CH266" s="107"/>
      <c r="CI266" s="107"/>
      <c r="CJ266" s="107"/>
    </row>
    <row r="267">
      <c r="A267" s="38"/>
      <c r="B267" s="47"/>
      <c r="C267" s="25"/>
      <c r="D267" s="41"/>
      <c r="E267" s="49"/>
      <c r="F267" s="49"/>
      <c r="G267" s="21">
        <f t="shared" si="75"/>
        <v>0</v>
      </c>
      <c r="H267" s="13"/>
      <c r="I267" s="142">
        <v>40363.0</v>
      </c>
      <c r="J267" s="13"/>
      <c r="K267" s="13"/>
      <c r="L267" s="14"/>
      <c r="M267" s="38"/>
      <c r="N267" s="47"/>
      <c r="O267" s="25"/>
      <c r="P267" s="41"/>
      <c r="Q267" s="49"/>
      <c r="R267" s="49"/>
      <c r="S267" s="21">
        <f t="shared" si="76"/>
        <v>0</v>
      </c>
      <c r="T267" s="13"/>
      <c r="U267" s="13"/>
      <c r="V267" s="13"/>
      <c r="W267" s="13"/>
      <c r="X267" s="14"/>
      <c r="Y267" s="38"/>
      <c r="Z267" s="47"/>
      <c r="AA267" s="25"/>
      <c r="AB267" s="41"/>
      <c r="AC267" s="49"/>
      <c r="AD267" s="49"/>
      <c r="AE267" s="21">
        <f t="shared" si="77"/>
        <v>0</v>
      </c>
      <c r="AF267" s="13"/>
      <c r="AG267" s="13"/>
      <c r="AH267" s="13"/>
      <c r="AI267" s="13"/>
      <c r="AJ267" s="14"/>
      <c r="AK267" s="38"/>
      <c r="AL267" s="47"/>
      <c r="AM267" s="25"/>
      <c r="AN267" s="41"/>
      <c r="AO267" s="49"/>
      <c r="AP267" s="49"/>
      <c r="AQ267" s="21">
        <f t="shared" si="78"/>
        <v>0</v>
      </c>
      <c r="AR267" s="13"/>
      <c r="AS267" s="13"/>
      <c r="AT267" s="13"/>
      <c r="AU267" s="13"/>
      <c r="AV267" s="14"/>
      <c r="AW267" s="38"/>
      <c r="AX267" s="47"/>
      <c r="AY267" s="25"/>
      <c r="AZ267" s="41"/>
      <c r="BA267" s="49"/>
      <c r="BB267" s="49"/>
      <c r="BC267" s="21">
        <f t="shared" si="79"/>
        <v>0</v>
      </c>
      <c r="BD267" s="13"/>
      <c r="BE267" s="13"/>
      <c r="BF267" s="13"/>
      <c r="BG267" s="13"/>
      <c r="BH267" s="14"/>
      <c r="BI267" s="38"/>
      <c r="BJ267" s="47"/>
      <c r="BK267" s="25"/>
      <c r="BL267" s="41"/>
      <c r="BM267" s="49"/>
      <c r="BN267" s="49"/>
      <c r="BO267" s="21">
        <f t="shared" si="80"/>
        <v>0</v>
      </c>
      <c r="BP267" s="13"/>
      <c r="BQ267" s="13"/>
      <c r="BR267" s="13"/>
      <c r="BS267" s="13"/>
      <c r="BT267" s="14"/>
      <c r="BU267" s="107"/>
      <c r="BV267" s="107"/>
      <c r="BW267" s="107"/>
      <c r="BX267" s="107"/>
      <c r="BY267" s="107"/>
      <c r="BZ267" s="107"/>
      <c r="CA267" s="111"/>
      <c r="CB267" s="107"/>
      <c r="CC267" s="107"/>
      <c r="CD267" s="107"/>
      <c r="CE267" s="107"/>
      <c r="CF267" s="107"/>
      <c r="CG267" s="107"/>
      <c r="CH267" s="107"/>
      <c r="CI267" s="107"/>
      <c r="CJ267" s="107"/>
    </row>
    <row r="268">
      <c r="A268" s="38"/>
      <c r="B268" s="32"/>
      <c r="C268" s="25"/>
      <c r="D268" s="41"/>
      <c r="E268" s="49"/>
      <c r="F268" s="49"/>
      <c r="G268" s="21">
        <f t="shared" si="75"/>
        <v>0</v>
      </c>
      <c r="H268" s="13"/>
      <c r="I268" s="67"/>
      <c r="J268" s="13"/>
      <c r="K268" s="13"/>
      <c r="L268" s="14"/>
      <c r="M268" s="38"/>
      <c r="N268" s="32"/>
      <c r="O268" s="25"/>
      <c r="P268" s="41"/>
      <c r="Q268" s="49"/>
      <c r="R268" s="49"/>
      <c r="S268" s="21">
        <f t="shared" si="76"/>
        <v>0</v>
      </c>
      <c r="T268" s="13"/>
      <c r="U268" s="13"/>
      <c r="V268" s="13"/>
      <c r="W268" s="13"/>
      <c r="X268" s="14"/>
      <c r="Y268" s="38"/>
      <c r="Z268" s="32"/>
      <c r="AA268" s="25"/>
      <c r="AB268" s="41"/>
      <c r="AC268" s="49"/>
      <c r="AD268" s="49"/>
      <c r="AE268" s="21">
        <f t="shared" si="77"/>
        <v>0</v>
      </c>
      <c r="AF268" s="13"/>
      <c r="AG268" s="13"/>
      <c r="AH268" s="13"/>
      <c r="AI268" s="13"/>
      <c r="AJ268" s="14"/>
      <c r="AK268" s="38"/>
      <c r="AL268" s="32"/>
      <c r="AM268" s="25"/>
      <c r="AN268" s="41"/>
      <c r="AO268" s="49"/>
      <c r="AP268" s="49"/>
      <c r="AQ268" s="21">
        <f t="shared" si="78"/>
        <v>0</v>
      </c>
      <c r="AR268" s="13"/>
      <c r="AS268" s="13"/>
      <c r="AT268" s="13"/>
      <c r="AU268" s="13"/>
      <c r="AV268" s="14"/>
      <c r="AW268" s="38"/>
      <c r="AX268" s="32"/>
      <c r="AY268" s="25"/>
      <c r="AZ268" s="41"/>
      <c r="BA268" s="49"/>
      <c r="BB268" s="49"/>
      <c r="BC268" s="21">
        <f t="shared" si="79"/>
        <v>0</v>
      </c>
      <c r="BD268" s="13"/>
      <c r="BE268" s="13"/>
      <c r="BF268" s="13"/>
      <c r="BG268" s="13"/>
      <c r="BH268" s="14"/>
      <c r="BI268" s="38"/>
      <c r="BJ268" s="32"/>
      <c r="BK268" s="25"/>
      <c r="BL268" s="41"/>
      <c r="BM268" s="49"/>
      <c r="BN268" s="49"/>
      <c r="BO268" s="21">
        <f t="shared" si="80"/>
        <v>0</v>
      </c>
      <c r="BP268" s="13"/>
      <c r="BQ268" s="13"/>
      <c r="BR268" s="13"/>
      <c r="BS268" s="13"/>
      <c r="BT268" s="14"/>
      <c r="BU268" s="107"/>
      <c r="BV268" s="107"/>
      <c r="BW268" s="107"/>
      <c r="BX268" s="107"/>
      <c r="BY268" s="107"/>
      <c r="BZ268" s="107"/>
      <c r="CA268" s="111"/>
      <c r="CB268" s="107"/>
      <c r="CC268" s="107"/>
      <c r="CD268" s="107"/>
      <c r="CE268" s="107"/>
      <c r="CF268" s="107"/>
      <c r="CG268" s="107"/>
      <c r="CH268" s="107"/>
      <c r="CI268" s="107"/>
      <c r="CJ268" s="107"/>
    </row>
    <row r="269">
      <c r="A269" s="38"/>
      <c r="B269" s="32"/>
      <c r="C269" s="25"/>
      <c r="D269" s="41"/>
      <c r="E269" s="49"/>
      <c r="F269" s="49"/>
      <c r="G269" s="21">
        <f t="shared" si="75"/>
        <v>0</v>
      </c>
      <c r="H269" s="13"/>
      <c r="I269" s="67"/>
      <c r="J269" s="13"/>
      <c r="K269" s="13"/>
      <c r="L269" s="14"/>
      <c r="M269" s="38"/>
      <c r="N269" s="32"/>
      <c r="O269" s="25"/>
      <c r="P269" s="41"/>
      <c r="Q269" s="49"/>
      <c r="R269" s="49"/>
      <c r="S269" s="21">
        <f t="shared" si="76"/>
        <v>0</v>
      </c>
      <c r="T269" s="13"/>
      <c r="U269" s="13"/>
      <c r="V269" s="13"/>
      <c r="W269" s="13"/>
      <c r="X269" s="14"/>
      <c r="Y269" s="38"/>
      <c r="Z269" s="32"/>
      <c r="AA269" s="25"/>
      <c r="AB269" s="41"/>
      <c r="AC269" s="49"/>
      <c r="AD269" s="49"/>
      <c r="AE269" s="21">
        <f t="shared" si="77"/>
        <v>0</v>
      </c>
      <c r="AF269" s="13"/>
      <c r="AG269" s="13"/>
      <c r="AH269" s="13"/>
      <c r="AI269" s="13"/>
      <c r="AJ269" s="14"/>
      <c r="AK269" s="38"/>
      <c r="AL269" s="32"/>
      <c r="AM269" s="25"/>
      <c r="AN269" s="41"/>
      <c r="AO269" s="49"/>
      <c r="AP269" s="49"/>
      <c r="AQ269" s="21">
        <f t="shared" si="78"/>
        <v>0</v>
      </c>
      <c r="AR269" s="13"/>
      <c r="AS269" s="13"/>
      <c r="AT269" s="13"/>
      <c r="AU269" s="13"/>
      <c r="AV269" s="14"/>
      <c r="AW269" s="38"/>
      <c r="AX269" s="32"/>
      <c r="AY269" s="25"/>
      <c r="AZ269" s="41"/>
      <c r="BA269" s="49"/>
      <c r="BB269" s="49"/>
      <c r="BC269" s="21">
        <f t="shared" si="79"/>
        <v>0</v>
      </c>
      <c r="BD269" s="13"/>
      <c r="BE269" s="13"/>
      <c r="BF269" s="13"/>
      <c r="BG269" s="13"/>
      <c r="BH269" s="14"/>
      <c r="BI269" s="38"/>
      <c r="BJ269" s="32"/>
      <c r="BK269" s="25"/>
      <c r="BL269" s="41"/>
      <c r="BM269" s="49"/>
      <c r="BN269" s="49"/>
      <c r="BO269" s="21">
        <f t="shared" si="80"/>
        <v>0</v>
      </c>
      <c r="BP269" s="13"/>
      <c r="BQ269" s="13"/>
      <c r="BR269" s="13"/>
      <c r="BS269" s="13"/>
      <c r="BT269" s="14"/>
      <c r="BU269" s="107"/>
      <c r="BV269" s="107"/>
      <c r="BW269" s="107"/>
      <c r="BX269" s="107"/>
      <c r="BY269" s="107"/>
      <c r="BZ269" s="107"/>
      <c r="CA269" s="111"/>
      <c r="CB269" s="107"/>
      <c r="CC269" s="107"/>
      <c r="CD269" s="107"/>
      <c r="CE269" s="107"/>
      <c r="CF269" s="107"/>
      <c r="CG269" s="107"/>
      <c r="CH269" s="107"/>
      <c r="CI269" s="107"/>
      <c r="CJ269" s="107"/>
    </row>
    <row r="270">
      <c r="A270" s="50"/>
      <c r="B270" s="32"/>
      <c r="C270" s="25"/>
      <c r="D270" s="41"/>
      <c r="E270" s="49"/>
      <c r="F270" s="49"/>
      <c r="G270" s="88">
        <f t="shared" si="75"/>
        <v>0</v>
      </c>
      <c r="H270" s="89"/>
      <c r="I270" s="104"/>
      <c r="J270" s="89"/>
      <c r="K270" s="89"/>
      <c r="L270" s="90"/>
      <c r="M270" s="50"/>
      <c r="N270" s="32"/>
      <c r="O270" s="25"/>
      <c r="P270" s="41"/>
      <c r="Q270" s="49"/>
      <c r="R270" s="49"/>
      <c r="S270" s="21">
        <f t="shared" si="76"/>
        <v>0</v>
      </c>
      <c r="T270" s="89"/>
      <c r="U270" s="89"/>
      <c r="V270" s="89"/>
      <c r="W270" s="89"/>
      <c r="X270" s="90"/>
      <c r="Y270" s="50"/>
      <c r="Z270" s="32"/>
      <c r="AA270" s="25"/>
      <c r="AB270" s="41"/>
      <c r="AC270" s="49"/>
      <c r="AD270" s="49"/>
      <c r="AE270" s="21">
        <f t="shared" si="77"/>
        <v>0</v>
      </c>
      <c r="AF270" s="89"/>
      <c r="AG270" s="89"/>
      <c r="AH270" s="89"/>
      <c r="AI270" s="89"/>
      <c r="AJ270" s="90"/>
      <c r="AK270" s="50"/>
      <c r="AL270" s="32"/>
      <c r="AM270" s="25"/>
      <c r="AN270" s="41"/>
      <c r="AO270" s="49"/>
      <c r="AP270" s="49"/>
      <c r="AQ270" s="21">
        <f t="shared" si="78"/>
        <v>0</v>
      </c>
      <c r="AR270" s="89"/>
      <c r="AS270" s="89"/>
      <c r="AT270" s="89"/>
      <c r="AU270" s="89"/>
      <c r="AV270" s="90"/>
      <c r="AW270" s="50"/>
      <c r="AX270" s="32"/>
      <c r="AY270" s="25"/>
      <c r="AZ270" s="41"/>
      <c r="BA270" s="49"/>
      <c r="BB270" s="49"/>
      <c r="BC270" s="21">
        <f t="shared" si="79"/>
        <v>0</v>
      </c>
      <c r="BD270" s="89"/>
      <c r="BE270" s="89"/>
      <c r="BF270" s="89"/>
      <c r="BG270" s="89"/>
      <c r="BH270" s="90"/>
      <c r="BI270" s="50"/>
      <c r="BJ270" s="32"/>
      <c r="BK270" s="25"/>
      <c r="BL270" s="41"/>
      <c r="BM270" s="49"/>
      <c r="BN270" s="49"/>
      <c r="BO270" s="21">
        <f t="shared" si="80"/>
        <v>0</v>
      </c>
      <c r="BP270" s="89"/>
      <c r="BQ270" s="89"/>
      <c r="BR270" s="89"/>
      <c r="BS270" s="89"/>
      <c r="BT270" s="90"/>
      <c r="BU270" s="107"/>
      <c r="BV270" s="107"/>
      <c r="BW270" s="107"/>
      <c r="BX270" s="107"/>
      <c r="BY270" s="107"/>
      <c r="BZ270" s="107"/>
      <c r="CA270" s="111"/>
      <c r="CB270" s="107"/>
      <c r="CC270" s="107"/>
      <c r="CD270" s="107"/>
      <c r="CE270" s="107"/>
      <c r="CF270" s="107"/>
      <c r="CG270" s="107"/>
      <c r="CH270" s="107"/>
      <c r="CI270" s="107"/>
      <c r="CJ270" s="107"/>
    </row>
    <row r="271">
      <c r="A271" s="1" t="s">
        <v>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1" t="s">
        <v>62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3"/>
      <c r="Y271" s="1" t="s">
        <v>1</v>
      </c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3"/>
      <c r="AK271" s="1" t="s">
        <v>2</v>
      </c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3"/>
      <c r="AW271" s="1" t="s">
        <v>74</v>
      </c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3"/>
      <c r="BI271" s="1" t="s">
        <v>74</v>
      </c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3"/>
      <c r="BU271" s="4"/>
      <c r="CG271" s="107"/>
      <c r="CH271" s="107"/>
      <c r="CI271" s="107"/>
      <c r="CJ271" s="107"/>
    </row>
    <row r="272">
      <c r="A272" s="5" t="s">
        <v>75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5" t="s">
        <v>75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5" t="s">
        <v>75</v>
      </c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5" t="s">
        <v>75</v>
      </c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5" t="s">
        <v>75</v>
      </c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5" t="s">
        <v>75</v>
      </c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108"/>
      <c r="CG272" s="107"/>
      <c r="CH272" s="107"/>
      <c r="CI272" s="107"/>
      <c r="CJ272" s="107"/>
    </row>
    <row r="273">
      <c r="A273" s="7" t="s">
        <v>5</v>
      </c>
      <c r="B273" s="8" t="s">
        <v>6</v>
      </c>
      <c r="C273" s="9" t="s">
        <v>7</v>
      </c>
      <c r="D273" s="10" t="s">
        <v>8</v>
      </c>
      <c r="E273" s="11" t="s">
        <v>9</v>
      </c>
      <c r="F273" s="11" t="s">
        <v>10</v>
      </c>
      <c r="G273" s="12" t="s">
        <v>11</v>
      </c>
      <c r="H273" s="12" t="s">
        <v>12</v>
      </c>
      <c r="I273" s="12" t="s">
        <v>13</v>
      </c>
      <c r="J273" s="13" t="s">
        <v>14</v>
      </c>
      <c r="K273" s="67" t="s">
        <v>15</v>
      </c>
      <c r="L273" s="14" t="s">
        <v>16</v>
      </c>
      <c r="M273" s="7" t="s">
        <v>5</v>
      </c>
      <c r="N273" s="8" t="s">
        <v>6</v>
      </c>
      <c r="O273" s="9" t="s">
        <v>7</v>
      </c>
      <c r="P273" s="10" t="s">
        <v>8</v>
      </c>
      <c r="Q273" s="11" t="s">
        <v>9</v>
      </c>
      <c r="R273" s="11" t="s">
        <v>10</v>
      </c>
      <c r="S273" s="12" t="s">
        <v>11</v>
      </c>
      <c r="T273" s="12" t="s">
        <v>12</v>
      </c>
      <c r="U273" s="12" t="s">
        <v>13</v>
      </c>
      <c r="V273" s="13" t="s">
        <v>14</v>
      </c>
      <c r="W273" s="13" t="s">
        <v>15</v>
      </c>
      <c r="X273" s="14" t="s">
        <v>16</v>
      </c>
      <c r="Y273" s="7" t="s">
        <v>5</v>
      </c>
      <c r="Z273" s="8" t="s">
        <v>6</v>
      </c>
      <c r="AA273" s="9" t="s">
        <v>7</v>
      </c>
      <c r="AB273" s="10" t="s">
        <v>8</v>
      </c>
      <c r="AC273" s="11" t="s">
        <v>9</v>
      </c>
      <c r="AD273" s="11" t="s">
        <v>10</v>
      </c>
      <c r="AE273" s="12" t="s">
        <v>11</v>
      </c>
      <c r="AF273" s="12" t="s">
        <v>12</v>
      </c>
      <c r="AG273" s="12" t="s">
        <v>13</v>
      </c>
      <c r="AH273" s="13" t="s">
        <v>14</v>
      </c>
      <c r="AI273" s="13" t="s">
        <v>15</v>
      </c>
      <c r="AJ273" s="14" t="s">
        <v>16</v>
      </c>
      <c r="AK273" s="7" t="s">
        <v>5</v>
      </c>
      <c r="AL273" s="8" t="s">
        <v>6</v>
      </c>
      <c r="AM273" s="9" t="s">
        <v>7</v>
      </c>
      <c r="AN273" s="10" t="s">
        <v>8</v>
      </c>
      <c r="AO273" s="11" t="s">
        <v>9</v>
      </c>
      <c r="AP273" s="11" t="s">
        <v>10</v>
      </c>
      <c r="AQ273" s="12" t="s">
        <v>11</v>
      </c>
      <c r="AR273" s="12" t="s">
        <v>12</v>
      </c>
      <c r="AS273" s="12" t="s">
        <v>13</v>
      </c>
      <c r="AT273" s="13" t="s">
        <v>14</v>
      </c>
      <c r="AU273" s="13" t="s">
        <v>15</v>
      </c>
      <c r="AV273" s="14" t="s">
        <v>16</v>
      </c>
      <c r="AW273" s="7" t="s">
        <v>5</v>
      </c>
      <c r="AX273" s="8" t="s">
        <v>6</v>
      </c>
      <c r="AY273" s="9" t="s">
        <v>7</v>
      </c>
      <c r="AZ273" s="10" t="s">
        <v>8</v>
      </c>
      <c r="BA273" s="11" t="s">
        <v>9</v>
      </c>
      <c r="BB273" s="11" t="s">
        <v>10</v>
      </c>
      <c r="BC273" s="12" t="s">
        <v>11</v>
      </c>
      <c r="BD273" s="12" t="s">
        <v>12</v>
      </c>
      <c r="BE273" s="12" t="s">
        <v>13</v>
      </c>
      <c r="BF273" s="13" t="s">
        <v>14</v>
      </c>
      <c r="BG273" s="13" t="s">
        <v>15</v>
      </c>
      <c r="BH273" s="14" t="s">
        <v>16</v>
      </c>
      <c r="BI273" s="7" t="s">
        <v>5</v>
      </c>
      <c r="BJ273" s="8" t="s">
        <v>6</v>
      </c>
      <c r="BK273" s="9" t="s">
        <v>7</v>
      </c>
      <c r="BL273" s="10" t="s">
        <v>8</v>
      </c>
      <c r="BM273" s="11" t="s">
        <v>9</v>
      </c>
      <c r="BN273" s="11" t="s">
        <v>10</v>
      </c>
      <c r="BO273" s="12" t="s">
        <v>11</v>
      </c>
      <c r="BP273" s="12" t="s">
        <v>12</v>
      </c>
      <c r="BQ273" s="12" t="s">
        <v>13</v>
      </c>
      <c r="BR273" s="13" t="s">
        <v>14</v>
      </c>
      <c r="BS273" s="13" t="s">
        <v>15</v>
      </c>
      <c r="BT273" s="14" t="s">
        <v>16</v>
      </c>
      <c r="BU273" s="109"/>
      <c r="BV273" s="108"/>
      <c r="BW273" s="108"/>
      <c r="BX273" s="108"/>
      <c r="BY273" s="108"/>
      <c r="BZ273" s="108"/>
      <c r="CA273" s="109"/>
      <c r="CB273" s="109"/>
      <c r="CC273" s="109"/>
      <c r="CD273" s="107"/>
      <c r="CE273" s="107"/>
      <c r="CF273" s="107"/>
      <c r="CG273" s="107"/>
      <c r="CH273" s="107"/>
      <c r="CI273" s="107"/>
      <c r="CJ273" s="107"/>
    </row>
    <row r="274">
      <c r="A274" s="60"/>
      <c r="B274" s="16">
        <v>290000.0</v>
      </c>
      <c r="C274" s="17"/>
      <c r="D274" s="18"/>
      <c r="E274" s="20"/>
      <c r="F274" s="20"/>
      <c r="G274" s="21">
        <f t="shared" ref="G274:G297" si="88">SUM(B274)-(B274*15%)+(C274)-(C274*20.8%)+(D274)+(E274)-(E274*0.95%)+(F274)-(F274*15.5%)</f>
        <v>246500</v>
      </c>
      <c r="H274" s="22">
        <f>SUM(B274:F297)</f>
        <v>355000</v>
      </c>
      <c r="I274" s="21">
        <f>SUM(G274:G297)</f>
        <v>301750</v>
      </c>
      <c r="J274" s="21">
        <f>SUM(I274)-(I274*97%)</f>
        <v>9052.5</v>
      </c>
      <c r="K274" s="21">
        <f>SUM(I274)-(I274*95%)</f>
        <v>15087.5</v>
      </c>
      <c r="L274" s="23">
        <f>SUM(I274)-(I274*93%)</f>
        <v>21122.5</v>
      </c>
      <c r="M274" s="60">
        <v>45762.0</v>
      </c>
      <c r="N274" s="24"/>
      <c r="O274" s="25"/>
      <c r="P274" s="18"/>
      <c r="Q274" s="20">
        <v>900000.0</v>
      </c>
      <c r="R274" s="20"/>
      <c r="S274" s="21">
        <f t="shared" ref="S274:S297" si="89">SUM(N274)-(N274*15%)+(O274)-(O274*20.8%)+(P274)+(Q274)-(Q274*0.95%)+(R274)-(R274*15.5%)</f>
        <v>891450</v>
      </c>
      <c r="T274" s="22">
        <f>SUM(N274:R297)</f>
        <v>1725000</v>
      </c>
      <c r="U274" s="21">
        <f>SUM(S274:S297)</f>
        <v>1654050</v>
      </c>
      <c r="V274" s="21">
        <f>SUM(U274)-(U274*97%)</f>
        <v>49621.5</v>
      </c>
      <c r="W274" s="21">
        <f>SUM(U274)-(U274*95%)</f>
        <v>82702.5</v>
      </c>
      <c r="X274" s="23">
        <f>SUM(U274)-(U274*93%)</f>
        <v>115783.5</v>
      </c>
      <c r="Y274" s="60"/>
      <c r="Z274" s="24"/>
      <c r="AA274" s="25"/>
      <c r="AB274" s="18"/>
      <c r="AC274" s="20"/>
      <c r="AD274" s="20"/>
      <c r="AE274" s="21">
        <f t="shared" ref="AE274:AE297" si="90">SUM(Z274)-(Z274*15%)+(AA274)-(AA274*20.8%)+(AB274)+(AC274)-(AC274*0.95%)+(AD274)-(AD274*15.5%)</f>
        <v>0</v>
      </c>
      <c r="AF274" s="22">
        <f>SUM(Z274:AD297)</f>
        <v>0</v>
      </c>
      <c r="AG274" s="21">
        <f>SUM(AE274:AE297)</f>
        <v>0</v>
      </c>
      <c r="AH274" s="21">
        <f>SUM(AG274)-(AG274*97%)</f>
        <v>0</v>
      </c>
      <c r="AI274" s="21">
        <f>SUM(AG274)-(AG274*95%)</f>
        <v>0</v>
      </c>
      <c r="AJ274" s="23">
        <f>SUM(AG274)-(AG274*93%)</f>
        <v>0</v>
      </c>
      <c r="AK274" s="15">
        <v>3.0</v>
      </c>
      <c r="AL274" s="24"/>
      <c r="AM274" s="25"/>
      <c r="AN274" s="18"/>
      <c r="AO274" s="20">
        <v>100000.0</v>
      </c>
      <c r="AP274" s="20">
        <v>375000.0</v>
      </c>
      <c r="AQ274" s="21">
        <f t="shared" ref="AQ274:AQ297" si="91">SUM(AL274)-(AL274*15%)+(AM274)-(AM274*20.8%)+(AN274)+(AO274)-(AO274*0.95%)+(AP274)-(AP274*15.5%)</f>
        <v>415925</v>
      </c>
      <c r="AR274" s="22">
        <f>SUM(AL274:AP297)</f>
        <v>3390000</v>
      </c>
      <c r="AS274" s="21">
        <f>SUM(AQ274:AQ297)</f>
        <v>3195562.5</v>
      </c>
      <c r="AT274" s="21">
        <f>SUM(AS274)-(AS274*97%)</f>
        <v>95866.875</v>
      </c>
      <c r="AU274" s="21">
        <f>SUM(AS274)-(AS274*95%)</f>
        <v>159778.125</v>
      </c>
      <c r="AV274" s="23">
        <f>SUM(AS274)-(AS274*93%)</f>
        <v>223689.375</v>
      </c>
      <c r="AW274" s="15">
        <v>6.0</v>
      </c>
      <c r="AX274" s="24"/>
      <c r="AY274" s="25"/>
      <c r="AZ274" s="18"/>
      <c r="BA274" s="20"/>
      <c r="BB274" s="20">
        <v>740000.0</v>
      </c>
      <c r="BC274" s="21">
        <f t="shared" ref="BC274:BC297" si="92">SUM(AX274)-(AX274*15%)+(AY274)-(AY274*20.8%)+(AZ274)+(BA274)-(BA274*0.95%)+(BB274)-(BB274*15.5%)</f>
        <v>625300</v>
      </c>
      <c r="BD274" s="22">
        <f>SUM(AX274:BB297)</f>
        <v>2815000</v>
      </c>
      <c r="BE274" s="21">
        <f>SUM(BC274:BC297)</f>
        <v>2680587.5</v>
      </c>
      <c r="BF274" s="21">
        <f>SUM(BE274)-(BE274*97%)</f>
        <v>80417.625</v>
      </c>
      <c r="BG274" s="21">
        <f>SUM(BE274)-(BE274*95%)</f>
        <v>134029.375</v>
      </c>
      <c r="BH274" s="23">
        <f>SUM(BE274)-(BE274*93%)</f>
        <v>187641.125</v>
      </c>
      <c r="BI274" s="15"/>
      <c r="BJ274" s="24"/>
      <c r="BK274" s="25"/>
      <c r="BL274" s="18"/>
      <c r="BM274" s="20"/>
      <c r="BN274" s="20"/>
      <c r="BO274" s="21">
        <f t="shared" ref="BO274:BO297" si="93">SUM(BJ274)-(BJ274*15%)+(BK274)-(BK274*20.8%)+(BL274)+(BM274)-(BM274*0.95%)+(BN274)-(BN274*15.5%)</f>
        <v>0</v>
      </c>
      <c r="BP274" s="22">
        <f>SUM(BJ274:BN297)</f>
        <v>0</v>
      </c>
      <c r="BQ274" s="21">
        <f>SUM(BO274:BO297)</f>
        <v>0</v>
      </c>
      <c r="BR274" s="21">
        <f>SUM(BQ274)-(BQ274*97%)</f>
        <v>0</v>
      </c>
      <c r="BS274" s="21">
        <f>SUM(BQ274)-(BQ274*95%)</f>
        <v>0</v>
      </c>
      <c r="BT274" s="23">
        <f>SUM(BQ274)-(BQ274*93%)</f>
        <v>0</v>
      </c>
      <c r="BU274" s="110"/>
      <c r="BV274" s="107"/>
      <c r="BW274" s="107"/>
      <c r="BX274" s="107"/>
      <c r="BY274" s="107"/>
      <c r="BZ274" s="107"/>
      <c r="CA274" s="111"/>
      <c r="CB274" s="112"/>
      <c r="CC274" s="111"/>
      <c r="CD274" s="111"/>
      <c r="CE274" s="111"/>
      <c r="CF274" s="111"/>
      <c r="CG274" s="107"/>
      <c r="CH274" s="107"/>
      <c r="CI274" s="107"/>
      <c r="CJ274" s="107"/>
    </row>
    <row r="275">
      <c r="A275" s="60"/>
      <c r="B275" s="27">
        <v>65000.0</v>
      </c>
      <c r="C275" s="17"/>
      <c r="D275" s="40"/>
      <c r="E275" s="20"/>
      <c r="F275" s="30"/>
      <c r="G275" s="21">
        <f t="shared" si="88"/>
        <v>55250</v>
      </c>
      <c r="H275" s="31" t="s">
        <v>20</v>
      </c>
      <c r="I275" s="13"/>
      <c r="J275" s="13" t="s">
        <v>21</v>
      </c>
      <c r="K275" s="13" t="s">
        <v>22</v>
      </c>
      <c r="L275" s="14" t="s">
        <v>23</v>
      </c>
      <c r="M275" s="15">
        <v>22.0</v>
      </c>
      <c r="N275" s="32"/>
      <c r="O275" s="25"/>
      <c r="P275" s="33"/>
      <c r="Q275" s="30">
        <v>130000.0</v>
      </c>
      <c r="R275" s="30"/>
      <c r="S275" s="21">
        <f t="shared" si="89"/>
        <v>128765</v>
      </c>
      <c r="T275" s="31" t="s">
        <v>20</v>
      </c>
      <c r="U275" s="13"/>
      <c r="V275" s="13" t="s">
        <v>21</v>
      </c>
      <c r="W275" s="13" t="s">
        <v>22</v>
      </c>
      <c r="X275" s="14" t="s">
        <v>23</v>
      </c>
      <c r="Y275" s="60"/>
      <c r="Z275" s="32"/>
      <c r="AA275" s="25"/>
      <c r="AB275" s="33"/>
      <c r="AC275" s="30"/>
      <c r="AD275" s="30"/>
      <c r="AE275" s="21">
        <f t="shared" si="90"/>
        <v>0</v>
      </c>
      <c r="AF275" s="31" t="s">
        <v>20</v>
      </c>
      <c r="AG275" s="13"/>
      <c r="AH275" s="13" t="s">
        <v>21</v>
      </c>
      <c r="AI275" s="13" t="s">
        <v>22</v>
      </c>
      <c r="AJ275" s="14" t="s">
        <v>23</v>
      </c>
      <c r="AK275" s="15">
        <v>5.0</v>
      </c>
      <c r="AL275" s="32"/>
      <c r="AM275" s="25"/>
      <c r="AN275" s="33"/>
      <c r="AO275" s="30">
        <v>100000.0</v>
      </c>
      <c r="AP275" s="30"/>
      <c r="AQ275" s="21">
        <f t="shared" si="91"/>
        <v>99050</v>
      </c>
      <c r="AR275" s="31" t="s">
        <v>20</v>
      </c>
      <c r="AS275" s="13"/>
      <c r="AT275" s="13" t="s">
        <v>21</v>
      </c>
      <c r="AU275" s="13" t="s">
        <v>22</v>
      </c>
      <c r="AV275" s="14" t="s">
        <v>23</v>
      </c>
      <c r="AW275" s="15">
        <v>17.0</v>
      </c>
      <c r="AX275" s="32"/>
      <c r="AY275" s="25"/>
      <c r="AZ275" s="33"/>
      <c r="BA275" s="30">
        <v>1500000.0</v>
      </c>
      <c r="BB275" s="30"/>
      <c r="BC275" s="21">
        <f t="shared" si="92"/>
        <v>1485750</v>
      </c>
      <c r="BD275" s="31" t="s">
        <v>20</v>
      </c>
      <c r="BE275" s="13"/>
      <c r="BF275" s="13" t="s">
        <v>21</v>
      </c>
      <c r="BG275" s="13" t="s">
        <v>22</v>
      </c>
      <c r="BH275" s="14" t="s">
        <v>23</v>
      </c>
      <c r="BI275" s="60"/>
      <c r="BJ275" s="32"/>
      <c r="BK275" s="25"/>
      <c r="BL275" s="33"/>
      <c r="BM275" s="30"/>
      <c r="BN275" s="30"/>
      <c r="BO275" s="21">
        <f t="shared" si="93"/>
        <v>0</v>
      </c>
      <c r="BP275" s="31" t="s">
        <v>20</v>
      </c>
      <c r="BQ275" s="13"/>
      <c r="BR275" s="13" t="s">
        <v>21</v>
      </c>
      <c r="BS275" s="13" t="s">
        <v>22</v>
      </c>
      <c r="BT275" s="14" t="s">
        <v>23</v>
      </c>
      <c r="BU275" s="110"/>
      <c r="BV275" s="107"/>
      <c r="BW275" s="107"/>
      <c r="BX275" s="107"/>
      <c r="BY275" s="107"/>
      <c r="BZ275" s="107"/>
      <c r="CA275" s="111"/>
      <c r="CB275" s="113"/>
      <c r="CC275" s="107"/>
      <c r="CD275" s="107"/>
      <c r="CE275" s="107"/>
      <c r="CF275" s="107"/>
      <c r="CG275" s="107"/>
      <c r="CH275" s="107"/>
      <c r="CI275" s="107"/>
      <c r="CJ275" s="107"/>
    </row>
    <row r="276">
      <c r="A276" s="60"/>
      <c r="B276" s="39"/>
      <c r="C276" s="17"/>
      <c r="D276" s="18"/>
      <c r="E276" s="20"/>
      <c r="F276" s="20"/>
      <c r="G276" s="21">
        <f t="shared" si="88"/>
        <v>0</v>
      </c>
      <c r="H276" s="36"/>
      <c r="I276" s="13"/>
      <c r="J276" s="21">
        <f t="shared" ref="J276:L276" si="94">SUM(J274)-(J274*10%)</f>
        <v>8147.25</v>
      </c>
      <c r="K276" s="21">
        <f t="shared" si="94"/>
        <v>13578.75</v>
      </c>
      <c r="L276" s="23">
        <f t="shared" si="94"/>
        <v>19010.25</v>
      </c>
      <c r="M276" s="15">
        <v>24.0</v>
      </c>
      <c r="N276" s="37"/>
      <c r="O276" s="25"/>
      <c r="P276" s="33"/>
      <c r="Q276" s="20">
        <v>120000.0</v>
      </c>
      <c r="R276" s="20"/>
      <c r="S276" s="21">
        <f t="shared" si="89"/>
        <v>118860</v>
      </c>
      <c r="T276" s="36"/>
      <c r="U276" s="13"/>
      <c r="V276" s="21">
        <f t="shared" ref="V276:X276" si="95">SUM(V274)-(V274*10%)</f>
        <v>44659.35</v>
      </c>
      <c r="W276" s="21">
        <f t="shared" si="95"/>
        <v>74432.25</v>
      </c>
      <c r="X276" s="23">
        <f t="shared" si="95"/>
        <v>104205.15</v>
      </c>
      <c r="Y276" s="60"/>
      <c r="Z276" s="32"/>
      <c r="AA276" s="25"/>
      <c r="AB276" s="33"/>
      <c r="AC276" s="20"/>
      <c r="AD276" s="20"/>
      <c r="AE276" s="21">
        <f t="shared" si="90"/>
        <v>0</v>
      </c>
      <c r="AF276" s="36"/>
      <c r="AG276" s="13"/>
      <c r="AH276" s="21">
        <f t="shared" ref="AH276:AJ276" si="96">SUM(AH274)-(AH274*10%)</f>
        <v>0</v>
      </c>
      <c r="AI276" s="21">
        <f t="shared" si="96"/>
        <v>0</v>
      </c>
      <c r="AJ276" s="23">
        <f t="shared" si="96"/>
        <v>0</v>
      </c>
      <c r="AK276" s="15">
        <v>6.0</v>
      </c>
      <c r="AL276" s="32"/>
      <c r="AM276" s="25"/>
      <c r="AN276" s="33"/>
      <c r="AO276" s="20"/>
      <c r="AP276" s="20">
        <v>740000.0</v>
      </c>
      <c r="AQ276" s="21">
        <f t="shared" si="91"/>
        <v>625300</v>
      </c>
      <c r="AR276" s="36"/>
      <c r="AS276" s="13"/>
      <c r="AT276" s="21">
        <f t="shared" ref="AT276:AV276" si="97">SUM(AT274)-(AT274*10%)</f>
        <v>86280.1875</v>
      </c>
      <c r="AU276" s="21">
        <f t="shared" si="97"/>
        <v>143800.3125</v>
      </c>
      <c r="AV276" s="23">
        <f t="shared" si="97"/>
        <v>201320.4375</v>
      </c>
      <c r="AW276" s="15">
        <v>21.0</v>
      </c>
      <c r="AX276" s="32"/>
      <c r="AY276" s="25"/>
      <c r="AZ276" s="33"/>
      <c r="BA276" s="20">
        <v>190000.0</v>
      </c>
      <c r="BB276" s="20"/>
      <c r="BC276" s="21">
        <f t="shared" si="92"/>
        <v>188195</v>
      </c>
      <c r="BD276" s="36"/>
      <c r="BE276" s="13"/>
      <c r="BF276" s="21">
        <f t="shared" ref="BF276:BH276" si="98">SUM(BF274)-(BF274*10%)</f>
        <v>72375.8625</v>
      </c>
      <c r="BG276" s="21">
        <f t="shared" si="98"/>
        <v>120626.4375</v>
      </c>
      <c r="BH276" s="23">
        <f t="shared" si="98"/>
        <v>168877.0125</v>
      </c>
      <c r="BI276" s="60"/>
      <c r="BJ276" s="32"/>
      <c r="BK276" s="25"/>
      <c r="BL276" s="33"/>
      <c r="BM276" s="20"/>
      <c r="BN276" s="20"/>
      <c r="BO276" s="21">
        <f t="shared" si="93"/>
        <v>0</v>
      </c>
      <c r="BP276" s="36"/>
      <c r="BQ276" s="13"/>
      <c r="BR276" s="21">
        <f t="shared" ref="BR276:BT276" si="99">SUM(BR274)-(BR274*10%)</f>
        <v>0</v>
      </c>
      <c r="BS276" s="21">
        <f t="shared" si="99"/>
        <v>0</v>
      </c>
      <c r="BT276" s="23">
        <f t="shared" si="99"/>
        <v>0</v>
      </c>
      <c r="BU276" s="110"/>
      <c r="BV276" s="107"/>
      <c r="BW276" s="107"/>
      <c r="BX276" s="107"/>
      <c r="BY276" s="107"/>
      <c r="BZ276" s="107"/>
      <c r="CA276" s="111"/>
      <c r="CB276" s="107"/>
      <c r="CC276" s="107"/>
      <c r="CD276" s="111"/>
      <c r="CE276" s="111"/>
      <c r="CF276" s="111"/>
      <c r="CG276" s="107"/>
      <c r="CH276" s="107"/>
      <c r="CI276" s="107"/>
      <c r="CJ276" s="107"/>
    </row>
    <row r="277">
      <c r="A277" s="60"/>
      <c r="B277" s="27"/>
      <c r="C277" s="17"/>
      <c r="D277" s="18"/>
      <c r="E277" s="20"/>
      <c r="F277" s="20"/>
      <c r="G277" s="21">
        <f t="shared" si="88"/>
        <v>0</v>
      </c>
      <c r="H277" s="13"/>
      <c r="I277" s="13"/>
      <c r="J277" s="13"/>
      <c r="K277" s="13"/>
      <c r="L277" s="14"/>
      <c r="M277" s="15"/>
      <c r="N277" s="37"/>
      <c r="O277" s="93"/>
      <c r="P277" s="33"/>
      <c r="Q277" s="20"/>
      <c r="R277" s="20"/>
      <c r="S277" s="21">
        <f t="shared" si="89"/>
        <v>0</v>
      </c>
      <c r="T277" s="13"/>
      <c r="U277" s="13"/>
      <c r="V277" s="13"/>
      <c r="W277" s="13"/>
      <c r="X277" s="14"/>
      <c r="Y277" s="60"/>
      <c r="Z277" s="32"/>
      <c r="AA277" s="93"/>
      <c r="AB277" s="33"/>
      <c r="AC277" s="20"/>
      <c r="AD277" s="20"/>
      <c r="AE277" s="21">
        <f t="shared" si="90"/>
        <v>0</v>
      </c>
      <c r="AF277" s="13"/>
      <c r="AG277" s="13"/>
      <c r="AH277" s="13"/>
      <c r="AI277" s="13"/>
      <c r="AJ277" s="14"/>
      <c r="AK277" s="15">
        <v>17.0</v>
      </c>
      <c r="AL277" s="32"/>
      <c r="AM277" s="93"/>
      <c r="AN277" s="33"/>
      <c r="AO277" s="20">
        <v>1500000.0</v>
      </c>
      <c r="AP277" s="20"/>
      <c r="AQ277" s="21">
        <f t="shared" si="91"/>
        <v>1485750</v>
      </c>
      <c r="AR277" s="13"/>
      <c r="AS277" s="13"/>
      <c r="AT277" s="13"/>
      <c r="AU277" s="13"/>
      <c r="AV277" s="14"/>
      <c r="AW277" s="15">
        <v>23.0</v>
      </c>
      <c r="AX277" s="32"/>
      <c r="AY277" s="93"/>
      <c r="AZ277" s="33"/>
      <c r="BA277" s="20">
        <v>100000.0</v>
      </c>
      <c r="BB277" s="20"/>
      <c r="BC277" s="21">
        <f t="shared" si="92"/>
        <v>99050</v>
      </c>
      <c r="BD277" s="13"/>
      <c r="BE277" s="13"/>
      <c r="BF277" s="13"/>
      <c r="BG277" s="13"/>
      <c r="BH277" s="14"/>
      <c r="BI277" s="60"/>
      <c r="BJ277" s="32"/>
      <c r="BK277" s="93"/>
      <c r="BL277" s="33"/>
      <c r="BM277" s="20"/>
      <c r="BN277" s="20"/>
      <c r="BO277" s="21">
        <f t="shared" si="93"/>
        <v>0</v>
      </c>
      <c r="BP277" s="13"/>
      <c r="BQ277" s="13"/>
      <c r="BR277" s="13"/>
      <c r="BS277" s="13"/>
      <c r="BT277" s="14"/>
      <c r="BU277" s="110"/>
      <c r="BV277" s="107"/>
      <c r="BW277" s="107"/>
      <c r="BX277" s="107"/>
      <c r="BY277" s="107"/>
      <c r="BZ277" s="107"/>
      <c r="CA277" s="111"/>
      <c r="CB277" s="107"/>
      <c r="CC277" s="107"/>
      <c r="CD277" s="107"/>
      <c r="CE277" s="107"/>
      <c r="CF277" s="107"/>
      <c r="CG277" s="107"/>
      <c r="CH277" s="107"/>
      <c r="CI277" s="107"/>
      <c r="CJ277" s="107"/>
    </row>
    <row r="278">
      <c r="A278" s="15"/>
      <c r="B278" s="35"/>
      <c r="C278" s="17"/>
      <c r="D278" s="18"/>
      <c r="E278" s="20"/>
      <c r="F278" s="20"/>
      <c r="G278" s="21">
        <f t="shared" si="88"/>
        <v>0</v>
      </c>
      <c r="H278" s="13"/>
      <c r="I278" s="13"/>
      <c r="J278" s="13"/>
      <c r="K278" s="13"/>
      <c r="L278" s="14"/>
      <c r="M278" s="60"/>
      <c r="N278" s="37"/>
      <c r="O278" s="25"/>
      <c r="P278" s="33"/>
      <c r="Q278" s="20"/>
      <c r="R278" s="20"/>
      <c r="S278" s="21">
        <f t="shared" si="89"/>
        <v>0</v>
      </c>
      <c r="T278" s="13"/>
      <c r="U278" s="13"/>
      <c r="V278" s="13"/>
      <c r="W278" s="13"/>
      <c r="X278" s="14"/>
      <c r="Y278" s="60"/>
      <c r="Z278" s="32"/>
      <c r="AA278" s="25"/>
      <c r="AB278" s="33"/>
      <c r="AC278" s="20"/>
      <c r="AD278" s="20"/>
      <c r="AE278" s="21">
        <f t="shared" si="90"/>
        <v>0</v>
      </c>
      <c r="AF278" s="13"/>
      <c r="AG278" s="13"/>
      <c r="AH278" s="13"/>
      <c r="AI278" s="13"/>
      <c r="AJ278" s="14"/>
      <c r="AK278" s="15">
        <v>21.0</v>
      </c>
      <c r="AL278" s="32"/>
      <c r="AM278" s="25"/>
      <c r="AN278" s="33"/>
      <c r="AO278" s="20">
        <v>190000.0</v>
      </c>
      <c r="AP278" s="20"/>
      <c r="AQ278" s="21">
        <f t="shared" si="91"/>
        <v>188195</v>
      </c>
      <c r="AR278" s="13"/>
      <c r="AS278" s="13"/>
      <c r="AT278" s="13"/>
      <c r="AU278" s="13"/>
      <c r="AV278" s="14"/>
      <c r="AW278" s="15">
        <v>24.0</v>
      </c>
      <c r="AX278" s="32"/>
      <c r="AY278" s="25"/>
      <c r="AZ278" s="33"/>
      <c r="BA278" s="20">
        <v>90000.0</v>
      </c>
      <c r="BB278" s="20"/>
      <c r="BC278" s="21">
        <f t="shared" si="92"/>
        <v>89145</v>
      </c>
      <c r="BD278" s="13"/>
      <c r="BE278" s="13"/>
      <c r="BF278" s="13"/>
      <c r="BG278" s="13"/>
      <c r="BH278" s="14"/>
      <c r="BI278" s="60"/>
      <c r="BJ278" s="32"/>
      <c r="BK278" s="25"/>
      <c r="BL278" s="33"/>
      <c r="BM278" s="20"/>
      <c r="BN278" s="20"/>
      <c r="BO278" s="21">
        <f t="shared" si="93"/>
        <v>0</v>
      </c>
      <c r="BP278" s="13"/>
      <c r="BQ278" s="13"/>
      <c r="BR278" s="13"/>
      <c r="BS278" s="13"/>
      <c r="BT278" s="14"/>
      <c r="BU278" s="110"/>
      <c r="BV278" s="107"/>
      <c r="BW278" s="107"/>
      <c r="BX278" s="107"/>
      <c r="BY278" s="107"/>
      <c r="BZ278" s="107"/>
      <c r="CA278" s="111"/>
      <c r="CB278" s="107"/>
      <c r="CC278" s="107"/>
      <c r="CD278" s="107"/>
      <c r="CE278" s="107"/>
      <c r="CF278" s="107"/>
      <c r="CG278" s="107"/>
      <c r="CH278" s="107"/>
      <c r="CI278" s="107"/>
      <c r="CJ278" s="107"/>
    </row>
    <row r="279">
      <c r="A279" s="60"/>
      <c r="B279" s="39"/>
      <c r="C279" s="43"/>
      <c r="D279" s="18"/>
      <c r="E279" s="20"/>
      <c r="F279" s="20"/>
      <c r="G279" s="21">
        <f t="shared" si="88"/>
        <v>0</v>
      </c>
      <c r="H279" s="13"/>
      <c r="I279" s="13"/>
      <c r="J279" s="13"/>
      <c r="K279" s="13">
        <f>H281</f>
        <v>7831950</v>
      </c>
      <c r="L279" s="14"/>
      <c r="M279" s="15">
        <v>3.0</v>
      </c>
      <c r="N279" s="32"/>
      <c r="O279" s="93"/>
      <c r="P279" s="33"/>
      <c r="Q279" s="20">
        <v>100000.0</v>
      </c>
      <c r="R279" s="20">
        <v>375000.0</v>
      </c>
      <c r="S279" s="21">
        <f t="shared" si="89"/>
        <v>415925</v>
      </c>
      <c r="T279" s="13"/>
      <c r="U279" s="13"/>
      <c r="V279" s="13"/>
      <c r="W279" s="13"/>
      <c r="X279" s="14"/>
      <c r="Y279" s="60"/>
      <c r="Z279" s="32"/>
      <c r="AA279" s="25"/>
      <c r="AB279" s="33"/>
      <c r="AC279" s="20"/>
      <c r="AD279" s="20"/>
      <c r="AE279" s="21">
        <f t="shared" si="90"/>
        <v>0</v>
      </c>
      <c r="AF279" s="13"/>
      <c r="AG279" s="13"/>
      <c r="AH279" s="13"/>
      <c r="AI279" s="13"/>
      <c r="AJ279" s="14"/>
      <c r="AK279" s="15">
        <v>23.0</v>
      </c>
      <c r="AL279" s="32"/>
      <c r="AM279" s="25"/>
      <c r="AN279" s="33"/>
      <c r="AO279" s="20">
        <v>100000.0</v>
      </c>
      <c r="AP279" s="20"/>
      <c r="AQ279" s="21">
        <f t="shared" si="91"/>
        <v>99050</v>
      </c>
      <c r="AR279" s="13"/>
      <c r="AS279" s="13"/>
      <c r="AT279" s="13"/>
      <c r="AU279" s="13"/>
      <c r="AV279" s="14"/>
      <c r="AW279" s="15">
        <v>25.0</v>
      </c>
      <c r="AX279" s="32"/>
      <c r="AY279" s="25"/>
      <c r="AZ279" s="33"/>
      <c r="BA279" s="20">
        <v>195000.0</v>
      </c>
      <c r="BB279" s="20"/>
      <c r="BC279" s="21">
        <f t="shared" si="92"/>
        <v>193147.5</v>
      </c>
      <c r="BD279" s="13"/>
      <c r="BE279" s="13"/>
      <c r="BF279" s="13"/>
      <c r="BG279" s="13"/>
      <c r="BH279" s="14"/>
      <c r="BI279" s="60"/>
      <c r="BJ279" s="32"/>
      <c r="BK279" s="25"/>
      <c r="BL279" s="33"/>
      <c r="BM279" s="20"/>
      <c r="BN279" s="20"/>
      <c r="BO279" s="21">
        <f t="shared" si="93"/>
        <v>0</v>
      </c>
      <c r="BP279" s="13"/>
      <c r="BQ279" s="13"/>
      <c r="BR279" s="13"/>
      <c r="BS279" s="13"/>
      <c r="BT279" s="14"/>
      <c r="BU279" s="110"/>
      <c r="BV279" s="107"/>
      <c r="BW279" s="107"/>
      <c r="BX279" s="107"/>
      <c r="BY279" s="107"/>
      <c r="BZ279" s="107"/>
      <c r="CA279" s="111"/>
      <c r="CB279" s="107"/>
      <c r="CC279" s="107"/>
      <c r="CD279" s="107"/>
      <c r="CE279" s="107"/>
      <c r="CF279" s="107"/>
      <c r="CG279" s="107"/>
      <c r="CH279" s="107"/>
      <c r="CI279" s="107"/>
      <c r="CJ279" s="107"/>
    </row>
    <row r="280">
      <c r="A280" s="60"/>
      <c r="B280" s="35"/>
      <c r="C280" s="17"/>
      <c r="D280" s="18"/>
      <c r="E280" s="20"/>
      <c r="F280" s="20"/>
      <c r="G280" s="21">
        <f t="shared" si="88"/>
        <v>0</v>
      </c>
      <c r="H280" s="94" t="s">
        <v>13</v>
      </c>
      <c r="I280" s="86" t="s">
        <v>57</v>
      </c>
      <c r="J280" s="86" t="s">
        <v>57</v>
      </c>
      <c r="K280" s="86" t="s">
        <v>65</v>
      </c>
      <c r="L280" s="95"/>
      <c r="M280" s="15">
        <v>5.0</v>
      </c>
      <c r="N280" s="32"/>
      <c r="O280" s="25"/>
      <c r="P280" s="33"/>
      <c r="Q280" s="20">
        <v>100000.0</v>
      </c>
      <c r="R280" s="20"/>
      <c r="S280" s="21">
        <f t="shared" si="89"/>
        <v>99050</v>
      </c>
      <c r="T280" s="13"/>
      <c r="U280" s="13"/>
      <c r="V280" s="13"/>
      <c r="W280" s="13"/>
      <c r="X280" s="14"/>
      <c r="Y280" s="38"/>
      <c r="Z280" s="32"/>
      <c r="AA280" s="25"/>
      <c r="AB280" s="33"/>
      <c r="AC280" s="20"/>
      <c r="AD280" s="20"/>
      <c r="AE280" s="21">
        <f t="shared" si="90"/>
        <v>0</v>
      </c>
      <c r="AF280" s="13"/>
      <c r="AG280" s="13"/>
      <c r="AH280" s="13"/>
      <c r="AI280" s="13"/>
      <c r="AJ280" s="14"/>
      <c r="AK280" s="15">
        <v>24.0</v>
      </c>
      <c r="AL280" s="32"/>
      <c r="AM280" s="25"/>
      <c r="AN280" s="33"/>
      <c r="AO280" s="20">
        <v>90000.0</v>
      </c>
      <c r="AP280" s="20"/>
      <c r="AQ280" s="21">
        <f t="shared" si="91"/>
        <v>89145</v>
      </c>
      <c r="AR280" s="13"/>
      <c r="AS280" s="13"/>
      <c r="AT280" s="13"/>
      <c r="AU280" s="13"/>
      <c r="AV280" s="14"/>
      <c r="AW280" s="38"/>
      <c r="AX280" s="32"/>
      <c r="AY280" s="25"/>
      <c r="AZ280" s="33"/>
      <c r="BA280" s="20"/>
      <c r="BB280" s="20"/>
      <c r="BC280" s="21">
        <f t="shared" si="92"/>
        <v>0</v>
      </c>
      <c r="BD280" s="13"/>
      <c r="BE280" s="13"/>
      <c r="BF280" s="13"/>
      <c r="BG280" s="13"/>
      <c r="BH280" s="14"/>
      <c r="BI280" s="38"/>
      <c r="BJ280" s="32"/>
      <c r="BK280" s="25"/>
      <c r="BL280" s="33"/>
      <c r="BM280" s="20"/>
      <c r="BN280" s="20"/>
      <c r="BO280" s="21">
        <f t="shared" si="93"/>
        <v>0</v>
      </c>
      <c r="BP280" s="13"/>
      <c r="BQ280" s="13"/>
      <c r="BR280" s="13"/>
      <c r="BS280" s="13"/>
      <c r="BT280" s="14"/>
      <c r="BU280" s="110"/>
      <c r="BV280" s="107"/>
      <c r="BW280" s="107"/>
      <c r="BX280" s="107"/>
      <c r="BY280" s="107"/>
      <c r="BZ280" s="107"/>
      <c r="CA280" s="111"/>
      <c r="CB280" s="107"/>
      <c r="CC280" s="107"/>
      <c r="CD280" s="107"/>
      <c r="CE280" s="107"/>
      <c r="CF280" s="107"/>
      <c r="CG280" s="107"/>
      <c r="CH280" s="107"/>
      <c r="CI280" s="107"/>
      <c r="CJ280" s="107"/>
    </row>
    <row r="281">
      <c r="A281" s="60"/>
      <c r="B281" s="16"/>
      <c r="C281" s="17"/>
      <c r="D281" s="42"/>
      <c r="E281" s="30"/>
      <c r="F281" s="30"/>
      <c r="G281" s="21">
        <f t="shared" si="88"/>
        <v>0</v>
      </c>
      <c r="H281" s="95">
        <f>AG274+I274+U274+AS274+BE274+BQ274+CC274</f>
        <v>7831950</v>
      </c>
      <c r="I281" s="102" t="s">
        <v>52</v>
      </c>
      <c r="J281" s="102" t="s">
        <v>44</v>
      </c>
      <c r="K281" s="102" t="s">
        <v>52</v>
      </c>
      <c r="L281" s="102" t="s">
        <v>44</v>
      </c>
      <c r="M281" s="60"/>
      <c r="N281" s="37"/>
      <c r="O281" s="25"/>
      <c r="P281" s="41"/>
      <c r="Q281" s="20"/>
      <c r="R281" s="20"/>
      <c r="S281" s="21">
        <f t="shared" si="89"/>
        <v>0</v>
      </c>
      <c r="T281" s="67" t="s">
        <v>76</v>
      </c>
      <c r="U281" s="67">
        <v>1500.0</v>
      </c>
      <c r="V281" s="67">
        <v>37500.0</v>
      </c>
      <c r="W281" s="13"/>
      <c r="X281" s="14"/>
      <c r="Y281" s="38"/>
      <c r="Z281" s="37"/>
      <c r="AA281" s="25"/>
      <c r="AB281" s="41"/>
      <c r="AC281" s="20"/>
      <c r="AD281" s="20"/>
      <c r="AE281" s="21">
        <f t="shared" si="90"/>
        <v>0</v>
      </c>
      <c r="AF281" s="13"/>
      <c r="AG281" s="13"/>
      <c r="AH281" s="13"/>
      <c r="AI281" s="13"/>
      <c r="AJ281" s="14"/>
      <c r="AK281" s="15">
        <v>25.0</v>
      </c>
      <c r="AL281" s="37"/>
      <c r="AM281" s="25"/>
      <c r="AN281" s="41"/>
      <c r="AO281" s="20">
        <v>195000.0</v>
      </c>
      <c r="AP281" s="20"/>
      <c r="AQ281" s="21">
        <f t="shared" si="91"/>
        <v>193147.5</v>
      </c>
      <c r="AR281" s="13"/>
      <c r="AS281" s="13"/>
      <c r="AT281" s="13"/>
      <c r="AU281" s="13"/>
      <c r="AV281" s="14"/>
      <c r="AW281" s="38"/>
      <c r="AX281" s="37"/>
      <c r="AY281" s="25"/>
      <c r="AZ281" s="41"/>
      <c r="BA281" s="20"/>
      <c r="BB281" s="20"/>
      <c r="BC281" s="21">
        <f t="shared" si="92"/>
        <v>0</v>
      </c>
      <c r="BD281" s="13"/>
      <c r="BE281" s="13"/>
      <c r="BF281" s="13"/>
      <c r="BG281" s="13"/>
      <c r="BH281" s="14"/>
      <c r="BI281" s="38"/>
      <c r="BJ281" s="37"/>
      <c r="BK281" s="25"/>
      <c r="BL281" s="41"/>
      <c r="BM281" s="20"/>
      <c r="BN281" s="20"/>
      <c r="BO281" s="21">
        <f t="shared" si="93"/>
        <v>0</v>
      </c>
      <c r="BP281" s="13"/>
      <c r="BQ281" s="13"/>
      <c r="BR281" s="13"/>
      <c r="BS281" s="13"/>
      <c r="BT281" s="14"/>
      <c r="BU281" s="107"/>
      <c r="BV281" s="107"/>
      <c r="BW281" s="107"/>
      <c r="BX281" s="107"/>
      <c r="BY281" s="107"/>
      <c r="BZ281" s="107"/>
      <c r="CA281" s="111"/>
      <c r="CB281" s="107"/>
      <c r="CC281" s="107"/>
      <c r="CD281" s="107"/>
      <c r="CE281" s="107"/>
      <c r="CF281" s="107"/>
      <c r="CG281" s="107"/>
      <c r="CH281" s="107"/>
      <c r="CI281" s="107"/>
      <c r="CJ281" s="107"/>
    </row>
    <row r="282">
      <c r="A282" s="60"/>
      <c r="B282" s="35"/>
      <c r="C282" s="17"/>
      <c r="D282" s="18"/>
      <c r="E282" s="20"/>
      <c r="F282" s="20"/>
      <c r="G282" s="21">
        <f t="shared" si="88"/>
        <v>0</v>
      </c>
      <c r="H282" s="95"/>
      <c r="I282" s="115">
        <f>SUM(H281)-(H281*99%)</f>
        <v>78319.5</v>
      </c>
      <c r="J282" s="87">
        <f>SUM(H281)-(H281*98.5%)</f>
        <v>117479.25</v>
      </c>
      <c r="K282" s="87">
        <f>SUM(K279)-(K279*99%)</f>
        <v>78319.5</v>
      </c>
      <c r="L282" s="87">
        <f>SUM(K279)-(K279*98.5%)</f>
        <v>117479.25</v>
      </c>
      <c r="M282" s="60"/>
      <c r="N282" s="24"/>
      <c r="O282" s="25"/>
      <c r="P282" s="41"/>
      <c r="Q282" s="30"/>
      <c r="R282" s="30"/>
      <c r="S282" s="21">
        <f t="shared" si="89"/>
        <v>0</v>
      </c>
      <c r="T282" s="143">
        <v>0.01</v>
      </c>
      <c r="U282" s="112">
        <v>514975.0</v>
      </c>
      <c r="V282" s="112">
        <v>5149.0</v>
      </c>
      <c r="W282" s="13"/>
      <c r="X282" s="14"/>
      <c r="Y282" s="38"/>
      <c r="Z282" s="24"/>
      <c r="AA282" s="25"/>
      <c r="AB282" s="41"/>
      <c r="AC282" s="30"/>
      <c r="AD282" s="30"/>
      <c r="AE282" s="21">
        <f t="shared" si="90"/>
        <v>0</v>
      </c>
      <c r="AF282" s="13"/>
      <c r="AG282" s="13"/>
      <c r="AH282" s="13"/>
      <c r="AI282" s="13"/>
      <c r="AJ282" s="14"/>
      <c r="AK282" s="38"/>
      <c r="AL282" s="24"/>
      <c r="AM282" s="25"/>
      <c r="AN282" s="41"/>
      <c r="AO282" s="30"/>
      <c r="AP282" s="30"/>
      <c r="AQ282" s="21">
        <f t="shared" si="91"/>
        <v>0</v>
      </c>
      <c r="AR282" s="13"/>
      <c r="AS282" s="13"/>
      <c r="AT282" s="13"/>
      <c r="AU282" s="13"/>
      <c r="AV282" s="14"/>
      <c r="AW282" s="38"/>
      <c r="AX282" s="24"/>
      <c r="AY282" s="25"/>
      <c r="AZ282" s="41"/>
      <c r="BA282" s="30"/>
      <c r="BB282" s="30"/>
      <c r="BC282" s="21">
        <f t="shared" si="92"/>
        <v>0</v>
      </c>
      <c r="BD282" s="67" t="s">
        <v>77</v>
      </c>
      <c r="BE282" s="67">
        <v>36000.0</v>
      </c>
      <c r="BF282" s="13"/>
      <c r="BG282" s="13"/>
      <c r="BH282" s="14"/>
      <c r="BI282" s="38"/>
      <c r="BJ282" s="24"/>
      <c r="BK282" s="25"/>
      <c r="BL282" s="41"/>
      <c r="BM282" s="30"/>
      <c r="BN282" s="30"/>
      <c r="BO282" s="21">
        <f t="shared" si="93"/>
        <v>0</v>
      </c>
      <c r="BP282" s="13"/>
      <c r="BQ282" s="13"/>
      <c r="BR282" s="13"/>
      <c r="BS282" s="13"/>
      <c r="BT282" s="14"/>
      <c r="BU282" s="107"/>
      <c r="BV282" s="107"/>
      <c r="BW282" s="107"/>
      <c r="BX282" s="107"/>
      <c r="BY282" s="107"/>
      <c r="BZ282" s="107"/>
      <c r="CA282" s="111"/>
      <c r="CB282" s="107"/>
      <c r="CC282" s="107"/>
      <c r="CD282" s="107"/>
      <c r="CE282" s="107"/>
      <c r="CF282" s="107"/>
      <c r="CG282" s="107"/>
      <c r="CH282" s="107"/>
      <c r="CI282" s="107"/>
      <c r="CJ282" s="107"/>
    </row>
    <row r="283">
      <c r="A283" s="60"/>
      <c r="B283" s="24"/>
      <c r="C283" s="25"/>
      <c r="D283" s="41"/>
      <c r="E283" s="46"/>
      <c r="F283" s="46"/>
      <c r="G283" s="21">
        <f t="shared" si="88"/>
        <v>0</v>
      </c>
      <c r="H283" s="95"/>
      <c r="I283" s="86" t="s">
        <v>53</v>
      </c>
      <c r="J283" s="86" t="s">
        <v>36</v>
      </c>
      <c r="K283" s="86" t="s">
        <v>53</v>
      </c>
      <c r="L283" s="86" t="s">
        <v>36</v>
      </c>
      <c r="M283" s="38"/>
      <c r="N283" s="37"/>
      <c r="O283" s="25"/>
      <c r="P283" s="41"/>
      <c r="Q283" s="20"/>
      <c r="R283" s="20"/>
      <c r="S283" s="21">
        <f t="shared" si="89"/>
        <v>0</v>
      </c>
      <c r="T283" s="13"/>
      <c r="U283" s="13"/>
      <c r="V283" s="13"/>
      <c r="W283" s="13"/>
      <c r="X283" s="14"/>
      <c r="Y283" s="38"/>
      <c r="Z283" s="37"/>
      <c r="AA283" s="25"/>
      <c r="AB283" s="41"/>
      <c r="AC283" s="20"/>
      <c r="AD283" s="20"/>
      <c r="AE283" s="21">
        <f t="shared" si="90"/>
        <v>0</v>
      </c>
      <c r="AF283" s="13"/>
      <c r="AG283" s="13"/>
      <c r="AH283" s="13"/>
      <c r="AI283" s="13"/>
      <c r="AJ283" s="14"/>
      <c r="AK283" s="38"/>
      <c r="AL283" s="37"/>
      <c r="AM283" s="25"/>
      <c r="AN283" s="41"/>
      <c r="AO283" s="20"/>
      <c r="AP283" s="20"/>
      <c r="AQ283" s="21">
        <f t="shared" si="91"/>
        <v>0</v>
      </c>
      <c r="AR283" s="13"/>
      <c r="AS283" s="13"/>
      <c r="AT283" s="13"/>
      <c r="AU283" s="13"/>
      <c r="AV283" s="14"/>
      <c r="AW283" s="38"/>
      <c r="AX283" s="37"/>
      <c r="AY283" s="25"/>
      <c r="AZ283" s="41"/>
      <c r="BA283" s="20"/>
      <c r="BB283" s="20"/>
      <c r="BC283" s="21">
        <f t="shared" si="92"/>
        <v>0</v>
      </c>
      <c r="BD283" s="139">
        <v>0.01</v>
      </c>
      <c r="BE283" s="67">
        <v>26800.0</v>
      </c>
      <c r="BF283" s="13"/>
      <c r="BG283" s="13"/>
      <c r="BH283" s="14"/>
      <c r="BI283" s="38"/>
      <c r="BJ283" s="37"/>
      <c r="BK283" s="25"/>
      <c r="BL283" s="41"/>
      <c r="BM283" s="20"/>
      <c r="BN283" s="20"/>
      <c r="BO283" s="21">
        <f t="shared" si="93"/>
        <v>0</v>
      </c>
      <c r="BP283" s="13"/>
      <c r="BQ283" s="13"/>
      <c r="BR283" s="13"/>
      <c r="BS283" s="13"/>
      <c r="BT283" s="14"/>
      <c r="BU283" s="107"/>
      <c r="BV283" s="107"/>
      <c r="BW283" s="107"/>
      <c r="BX283" s="107"/>
      <c r="BY283" s="107"/>
      <c r="BZ283" s="107"/>
      <c r="CA283" s="111"/>
      <c r="CB283" s="107"/>
      <c r="CC283" s="107"/>
      <c r="CD283" s="107"/>
      <c r="CE283" s="107"/>
      <c r="CF283" s="107"/>
      <c r="CG283" s="107"/>
      <c r="CH283" s="107"/>
      <c r="CI283" s="107"/>
      <c r="CJ283" s="107"/>
    </row>
    <row r="284">
      <c r="A284" s="60"/>
      <c r="B284" s="47"/>
      <c r="C284" s="25"/>
      <c r="D284" s="33"/>
      <c r="E284" s="46"/>
      <c r="F284" s="46"/>
      <c r="G284" s="21">
        <f t="shared" si="88"/>
        <v>0</v>
      </c>
      <c r="H284" s="94" t="s">
        <v>12</v>
      </c>
      <c r="I284" s="87">
        <f t="shared" ref="I284:L284" si="100">SUM(I282)-(I282*10%)</f>
        <v>70487.55</v>
      </c>
      <c r="J284" s="87">
        <f t="shared" si="100"/>
        <v>105731.325</v>
      </c>
      <c r="K284" s="87">
        <f t="shared" si="100"/>
        <v>70487.55</v>
      </c>
      <c r="L284" s="87">
        <f t="shared" si="100"/>
        <v>105731.325</v>
      </c>
      <c r="M284" s="38"/>
      <c r="N284" s="24"/>
      <c r="O284" s="25"/>
      <c r="P284" s="41"/>
      <c r="Q284" s="46"/>
      <c r="R284" s="46"/>
      <c r="S284" s="21">
        <f t="shared" si="89"/>
        <v>0</v>
      </c>
      <c r="T284" s="13"/>
      <c r="U284" s="13"/>
      <c r="V284" s="13"/>
      <c r="W284" s="13"/>
      <c r="X284" s="14"/>
      <c r="Y284" s="38"/>
      <c r="Z284" s="24"/>
      <c r="AA284" s="25"/>
      <c r="AB284" s="41"/>
      <c r="AC284" s="46"/>
      <c r="AD284" s="46"/>
      <c r="AE284" s="21">
        <f t="shared" si="90"/>
        <v>0</v>
      </c>
      <c r="AF284" s="13"/>
      <c r="AG284" s="13"/>
      <c r="AH284" s="13"/>
      <c r="AI284" s="13"/>
      <c r="AJ284" s="14"/>
      <c r="AK284" s="38"/>
      <c r="AL284" s="24"/>
      <c r="AM284" s="25"/>
      <c r="AN284" s="41"/>
      <c r="AO284" s="46"/>
      <c r="AP284" s="46"/>
      <c r="AQ284" s="21">
        <f t="shared" si="91"/>
        <v>0</v>
      </c>
      <c r="AR284" s="13"/>
      <c r="AS284" s="13"/>
      <c r="AT284" s="13"/>
      <c r="AU284" s="13"/>
      <c r="AV284" s="14"/>
      <c r="AW284" s="38"/>
      <c r="AX284" s="24"/>
      <c r="AY284" s="25"/>
      <c r="AZ284" s="41"/>
      <c r="BA284" s="46"/>
      <c r="BB284" s="46"/>
      <c r="BC284" s="21">
        <f t="shared" si="92"/>
        <v>0</v>
      </c>
      <c r="BD284" s="13"/>
      <c r="BE284" s="13"/>
      <c r="BF284" s="13"/>
      <c r="BG284" s="13"/>
      <c r="BH284" s="14"/>
      <c r="BI284" s="38"/>
      <c r="BJ284" s="24"/>
      <c r="BK284" s="25"/>
      <c r="BL284" s="41"/>
      <c r="BM284" s="46"/>
      <c r="BN284" s="46"/>
      <c r="BO284" s="21">
        <f t="shared" si="93"/>
        <v>0</v>
      </c>
      <c r="BP284" s="13"/>
      <c r="BQ284" s="13"/>
      <c r="BR284" s="13"/>
      <c r="BS284" s="13"/>
      <c r="BT284" s="14"/>
      <c r="BU284" s="107"/>
      <c r="BV284" s="107"/>
      <c r="BW284" s="107"/>
      <c r="BX284" s="107"/>
      <c r="BY284" s="107"/>
      <c r="BZ284" s="107"/>
      <c r="CA284" s="111"/>
      <c r="CB284" s="107"/>
      <c r="CC284" s="107"/>
      <c r="CD284" s="107"/>
      <c r="CE284" s="107"/>
      <c r="CF284" s="107"/>
      <c r="CG284" s="107"/>
      <c r="CH284" s="107"/>
      <c r="CI284" s="107"/>
      <c r="CJ284" s="107"/>
    </row>
    <row r="285">
      <c r="A285" s="105"/>
      <c r="B285" s="47"/>
      <c r="C285" s="25"/>
      <c r="D285" s="33"/>
      <c r="E285" s="46"/>
      <c r="F285" s="46"/>
      <c r="G285" s="21">
        <f t="shared" si="88"/>
        <v>0</v>
      </c>
      <c r="H285" s="95">
        <f>H274+T274+AF274+AR274+BD274+BP274+CB274</f>
        <v>8285000</v>
      </c>
      <c r="I285" s="95"/>
      <c r="J285" s="95"/>
      <c r="K285" s="86" t="s">
        <v>66</v>
      </c>
      <c r="L285" s="95"/>
      <c r="M285" s="38"/>
      <c r="N285" s="47"/>
      <c r="O285" s="25"/>
      <c r="P285" s="41"/>
      <c r="Q285" s="46"/>
      <c r="R285" s="46"/>
      <c r="S285" s="21">
        <f t="shared" si="89"/>
        <v>0</v>
      </c>
      <c r="T285" s="13"/>
      <c r="U285" s="13"/>
      <c r="V285" s="13"/>
      <c r="W285" s="13"/>
      <c r="X285" s="14"/>
      <c r="Y285" s="38"/>
      <c r="Z285" s="47"/>
      <c r="AA285" s="25"/>
      <c r="AB285" s="41"/>
      <c r="AC285" s="46"/>
      <c r="AD285" s="46"/>
      <c r="AE285" s="21">
        <f t="shared" si="90"/>
        <v>0</v>
      </c>
      <c r="AF285" s="13"/>
      <c r="AG285" s="13"/>
      <c r="AH285" s="13"/>
      <c r="AI285" s="13"/>
      <c r="AJ285" s="14"/>
      <c r="AK285" s="38"/>
      <c r="AL285" s="47"/>
      <c r="AM285" s="25"/>
      <c r="AN285" s="41"/>
      <c r="AO285" s="46"/>
      <c r="AP285" s="46"/>
      <c r="AQ285" s="21">
        <f t="shared" si="91"/>
        <v>0</v>
      </c>
      <c r="AR285" s="13"/>
      <c r="AS285" s="13"/>
      <c r="AT285" s="13"/>
      <c r="AU285" s="13"/>
      <c r="AV285" s="14"/>
      <c r="AW285" s="38"/>
      <c r="AX285" s="47"/>
      <c r="AY285" s="25"/>
      <c r="AZ285" s="41"/>
      <c r="BA285" s="46"/>
      <c r="BB285" s="46"/>
      <c r="BC285" s="21">
        <f t="shared" si="92"/>
        <v>0</v>
      </c>
      <c r="BD285" s="13"/>
      <c r="BE285" s="13"/>
      <c r="BF285" s="13"/>
      <c r="BG285" s="13"/>
      <c r="BH285" s="14"/>
      <c r="BI285" s="38"/>
      <c r="BJ285" s="47"/>
      <c r="BK285" s="25"/>
      <c r="BL285" s="41"/>
      <c r="BM285" s="46"/>
      <c r="BN285" s="46"/>
      <c r="BO285" s="21">
        <f t="shared" si="93"/>
        <v>0</v>
      </c>
      <c r="BP285" s="13"/>
      <c r="BQ285" s="13"/>
      <c r="BR285" s="13"/>
      <c r="BS285" s="13"/>
      <c r="BT285" s="14"/>
      <c r="BU285" s="107"/>
      <c r="BV285" s="107"/>
      <c r="BW285" s="107"/>
      <c r="BX285" s="107"/>
      <c r="BY285" s="107"/>
      <c r="BZ285" s="107"/>
      <c r="CA285" s="111"/>
      <c r="CB285" s="107"/>
      <c r="CC285" s="107"/>
      <c r="CD285" s="107"/>
      <c r="CE285" s="107"/>
      <c r="CF285" s="107"/>
      <c r="CG285" s="107"/>
      <c r="CH285" s="107"/>
      <c r="CI285" s="107"/>
      <c r="CJ285" s="107"/>
    </row>
    <row r="286">
      <c r="A286" s="105"/>
      <c r="B286" s="32"/>
      <c r="C286" s="25"/>
      <c r="D286" s="41"/>
      <c r="E286" s="46"/>
      <c r="F286" s="46"/>
      <c r="G286" s="21">
        <f t="shared" si="88"/>
        <v>0</v>
      </c>
      <c r="H286" s="95"/>
      <c r="I286" s="95"/>
      <c r="J286" s="95"/>
      <c r="K286" s="95">
        <f>J276+K284</f>
        <v>78634.8</v>
      </c>
      <c r="L286" s="95"/>
      <c r="M286" s="38"/>
      <c r="N286" s="32"/>
      <c r="O286" s="25"/>
      <c r="P286" s="41"/>
      <c r="Q286" s="46"/>
      <c r="R286" s="46"/>
      <c r="S286" s="21">
        <f t="shared" si="89"/>
        <v>0</v>
      </c>
      <c r="T286" s="13"/>
      <c r="U286" s="13"/>
      <c r="V286" s="13"/>
      <c r="W286" s="13"/>
      <c r="X286" s="14"/>
      <c r="Y286" s="38"/>
      <c r="Z286" s="32"/>
      <c r="AA286" s="25"/>
      <c r="AB286" s="41"/>
      <c r="AC286" s="46"/>
      <c r="AD286" s="46"/>
      <c r="AE286" s="21">
        <f t="shared" si="90"/>
        <v>0</v>
      </c>
      <c r="AF286" s="13"/>
      <c r="AG286" s="13"/>
      <c r="AH286" s="13"/>
      <c r="AI286" s="13"/>
      <c r="AJ286" s="14"/>
      <c r="AK286" s="38"/>
      <c r="AL286" s="32"/>
      <c r="AM286" s="25"/>
      <c r="AN286" s="41"/>
      <c r="AO286" s="46"/>
      <c r="AP286" s="46"/>
      <c r="AQ286" s="21">
        <f t="shared" si="91"/>
        <v>0</v>
      </c>
      <c r="AR286" s="13"/>
      <c r="AS286" s="13"/>
      <c r="AT286" s="13"/>
      <c r="AU286" s="13"/>
      <c r="AV286" s="14"/>
      <c r="AW286" s="38"/>
      <c r="AX286" s="32"/>
      <c r="AY286" s="25"/>
      <c r="AZ286" s="41"/>
      <c r="BA286" s="46"/>
      <c r="BB286" s="46"/>
      <c r="BC286" s="21">
        <f t="shared" si="92"/>
        <v>0</v>
      </c>
      <c r="BD286" s="13"/>
      <c r="BE286" s="13"/>
      <c r="BF286" s="13"/>
      <c r="BG286" s="13"/>
      <c r="BH286" s="14"/>
      <c r="BI286" s="38"/>
      <c r="BJ286" s="32"/>
      <c r="BK286" s="25"/>
      <c r="BL286" s="41"/>
      <c r="BM286" s="46"/>
      <c r="BN286" s="46"/>
      <c r="BO286" s="21">
        <f t="shared" si="93"/>
        <v>0</v>
      </c>
      <c r="BP286" s="13"/>
      <c r="BQ286" s="13"/>
      <c r="BR286" s="13"/>
      <c r="BS286" s="13"/>
      <c r="BT286" s="14"/>
      <c r="BU286" s="107"/>
      <c r="BV286" s="107"/>
      <c r="BW286" s="107"/>
      <c r="BX286" s="107"/>
      <c r="BY286" s="107"/>
      <c r="BZ286" s="107"/>
      <c r="CA286" s="111"/>
      <c r="CB286" s="107"/>
      <c r="CC286" s="107"/>
      <c r="CD286" s="107"/>
      <c r="CE286" s="107"/>
      <c r="CF286" s="107"/>
      <c r="CG286" s="107"/>
      <c r="CH286" s="107"/>
      <c r="CI286" s="107"/>
      <c r="CJ286" s="107"/>
    </row>
    <row r="287">
      <c r="A287" s="105"/>
      <c r="B287" s="47"/>
      <c r="C287" s="25"/>
      <c r="D287" s="41"/>
      <c r="E287" s="46"/>
      <c r="F287" s="46"/>
      <c r="G287" s="21">
        <f t="shared" si="88"/>
        <v>0</v>
      </c>
      <c r="H287" s="13"/>
      <c r="I287" s="13"/>
      <c r="J287" s="13"/>
      <c r="K287" s="13"/>
      <c r="L287" s="14"/>
      <c r="M287" s="38"/>
      <c r="N287" s="47"/>
      <c r="O287" s="25"/>
      <c r="P287" s="41"/>
      <c r="Q287" s="46"/>
      <c r="R287" s="46"/>
      <c r="S287" s="21">
        <f t="shared" si="89"/>
        <v>0</v>
      </c>
      <c r="T287" s="13"/>
      <c r="U287" s="116"/>
      <c r="V287" s="117" t="s">
        <v>78</v>
      </c>
      <c r="W287" s="116"/>
      <c r="X287" s="14"/>
      <c r="Y287" s="38"/>
      <c r="Z287" s="47"/>
      <c r="AA287" s="25"/>
      <c r="AB287" s="41"/>
      <c r="AC287" s="46"/>
      <c r="AD287" s="46"/>
      <c r="AE287" s="21">
        <f t="shared" si="90"/>
        <v>0</v>
      </c>
      <c r="AF287" s="13"/>
      <c r="AG287" s="116"/>
      <c r="AH287" s="117" t="s">
        <v>59</v>
      </c>
      <c r="AI287" s="116"/>
      <c r="AJ287" s="14"/>
      <c r="AK287" s="38"/>
      <c r="AL287" s="47"/>
      <c r="AM287" s="25"/>
      <c r="AN287" s="41"/>
      <c r="AO287" s="46"/>
      <c r="AP287" s="46"/>
      <c r="AQ287" s="21">
        <f t="shared" si="91"/>
        <v>0</v>
      </c>
      <c r="AR287" s="13"/>
      <c r="AS287" s="116"/>
      <c r="AT287" s="117" t="s">
        <v>60</v>
      </c>
      <c r="AU287" s="116"/>
      <c r="AV287" s="14"/>
      <c r="AW287" s="38"/>
      <c r="AX287" s="47"/>
      <c r="AY287" s="25"/>
      <c r="AZ287" s="41"/>
      <c r="BA287" s="46"/>
      <c r="BB287" s="46"/>
      <c r="BC287" s="21">
        <f t="shared" si="92"/>
        <v>0</v>
      </c>
      <c r="BD287" s="13"/>
      <c r="BE287" s="116"/>
      <c r="BF287" s="117" t="s">
        <v>79</v>
      </c>
      <c r="BG287" s="116"/>
      <c r="BH287" s="14"/>
      <c r="BI287" s="38"/>
      <c r="BJ287" s="47"/>
      <c r="BK287" s="25"/>
      <c r="BL287" s="41"/>
      <c r="BM287" s="46"/>
      <c r="BN287" s="46"/>
      <c r="BO287" s="21">
        <f t="shared" si="93"/>
        <v>0</v>
      </c>
      <c r="BP287" s="13"/>
      <c r="BQ287" s="116"/>
      <c r="BR287" s="117" t="s">
        <v>59</v>
      </c>
      <c r="BS287" s="116"/>
      <c r="BT287" s="14"/>
      <c r="BU287" s="107"/>
      <c r="BV287" s="107"/>
      <c r="BW287" s="107"/>
      <c r="BX287" s="107"/>
      <c r="BY287" s="107"/>
      <c r="BZ287" s="107"/>
      <c r="CA287" s="111"/>
      <c r="CB287" s="107"/>
      <c r="CC287" s="107"/>
      <c r="CD287" s="107"/>
      <c r="CE287" s="107"/>
      <c r="CF287" s="107"/>
      <c r="CG287" s="107"/>
      <c r="CH287" s="107"/>
      <c r="CI287" s="107"/>
      <c r="CJ287" s="107"/>
    </row>
    <row r="288">
      <c r="A288" s="38"/>
      <c r="B288" s="47"/>
      <c r="C288" s="25"/>
      <c r="D288" s="41"/>
      <c r="E288" s="46"/>
      <c r="F288" s="46"/>
      <c r="G288" s="21">
        <f t="shared" si="88"/>
        <v>0</v>
      </c>
      <c r="H288" s="116"/>
      <c r="I288" s="117" t="s">
        <v>61</v>
      </c>
      <c r="J288" s="116"/>
      <c r="K288" s="13"/>
      <c r="L288" s="14"/>
      <c r="M288" s="38"/>
      <c r="N288" s="47"/>
      <c r="O288" s="25"/>
      <c r="P288" s="41"/>
      <c r="Q288" s="46"/>
      <c r="R288" s="46"/>
      <c r="S288" s="21">
        <f t="shared" si="89"/>
        <v>0</v>
      </c>
      <c r="T288" s="13"/>
      <c r="U288" s="118">
        <v>0.01</v>
      </c>
      <c r="V288" s="118">
        <v>0.01</v>
      </c>
      <c r="W288" s="117" t="s">
        <v>80</v>
      </c>
      <c r="X288" s="14"/>
      <c r="Y288" s="38"/>
      <c r="Z288" s="47"/>
      <c r="AA288" s="25"/>
      <c r="AB288" s="41"/>
      <c r="AC288" s="46"/>
      <c r="AD288" s="46"/>
      <c r="AE288" s="21">
        <f t="shared" si="90"/>
        <v>0</v>
      </c>
      <c r="AF288" s="13"/>
      <c r="AG288" s="118">
        <v>0.02</v>
      </c>
      <c r="AH288" s="118">
        <v>0.04</v>
      </c>
      <c r="AI288" s="118">
        <v>0.06</v>
      </c>
      <c r="AJ288" s="14"/>
      <c r="AK288" s="38"/>
      <c r="AL288" s="47"/>
      <c r="AM288" s="25"/>
      <c r="AN288" s="41"/>
      <c r="AO288" s="46"/>
      <c r="AP288" s="46"/>
      <c r="AQ288" s="21">
        <f t="shared" si="91"/>
        <v>0</v>
      </c>
      <c r="AR288" s="13"/>
      <c r="AS288" s="118">
        <v>0.02</v>
      </c>
      <c r="AT288" s="118">
        <v>0.04</v>
      </c>
      <c r="AU288" s="118">
        <v>0.06</v>
      </c>
      <c r="AV288" s="14"/>
      <c r="AW288" s="38"/>
      <c r="AX288" s="47"/>
      <c r="AY288" s="25"/>
      <c r="AZ288" s="41"/>
      <c r="BA288" s="46"/>
      <c r="BB288" s="46"/>
      <c r="BC288" s="21">
        <f t="shared" si="92"/>
        <v>0</v>
      </c>
      <c r="BD288" s="13"/>
      <c r="BE288" s="118">
        <v>0.01</v>
      </c>
      <c r="BF288" s="118">
        <v>0.01</v>
      </c>
      <c r="BG288" s="117" t="s">
        <v>80</v>
      </c>
      <c r="BH288" s="14"/>
      <c r="BI288" s="38"/>
      <c r="BJ288" s="47"/>
      <c r="BK288" s="25"/>
      <c r="BL288" s="41"/>
      <c r="BM288" s="46"/>
      <c r="BN288" s="46"/>
      <c r="BO288" s="21">
        <f t="shared" si="93"/>
        <v>0</v>
      </c>
      <c r="BP288" s="13"/>
      <c r="BQ288" s="118">
        <v>0.03</v>
      </c>
      <c r="BR288" s="118">
        <v>0.05</v>
      </c>
      <c r="BS288" s="118">
        <v>0.07</v>
      </c>
      <c r="BT288" s="14"/>
      <c r="BU288" s="107"/>
      <c r="BV288" s="107"/>
      <c r="BW288" s="107"/>
      <c r="BX288" s="107"/>
      <c r="BY288" s="107"/>
      <c r="BZ288" s="107"/>
      <c r="CA288" s="111"/>
      <c r="CB288" s="107"/>
      <c r="CC288" s="107"/>
      <c r="CD288" s="107"/>
      <c r="CE288" s="107"/>
      <c r="CF288" s="107"/>
      <c r="CG288" s="107"/>
      <c r="CH288" s="107"/>
      <c r="CI288" s="107"/>
      <c r="CJ288" s="107"/>
    </row>
    <row r="289">
      <c r="A289" s="38"/>
      <c r="B289" s="47"/>
      <c r="C289" s="25"/>
      <c r="D289" s="41"/>
      <c r="E289" s="46"/>
      <c r="F289" s="46"/>
      <c r="G289" s="21">
        <f t="shared" si="88"/>
        <v>0</v>
      </c>
      <c r="H289" s="118">
        <v>0.03</v>
      </c>
      <c r="I289" s="118">
        <v>0.05</v>
      </c>
      <c r="J289" s="118">
        <v>0.07</v>
      </c>
      <c r="K289" s="13"/>
      <c r="L289" s="14"/>
      <c r="M289" s="38"/>
      <c r="N289" s="47"/>
      <c r="O289" s="25"/>
      <c r="P289" s="41"/>
      <c r="Q289" s="46"/>
      <c r="R289" s="46"/>
      <c r="S289" s="21">
        <f t="shared" si="89"/>
        <v>0</v>
      </c>
      <c r="T289" s="13"/>
      <c r="U289" s="117">
        <v>20.0</v>
      </c>
      <c r="V289" s="117">
        <v>30.0</v>
      </c>
      <c r="W289" s="117">
        <v>40.0</v>
      </c>
      <c r="X289" s="14"/>
      <c r="Y289" s="38"/>
      <c r="Z289" s="47"/>
      <c r="AA289" s="25"/>
      <c r="AB289" s="41"/>
      <c r="AC289" s="46"/>
      <c r="AD289" s="46"/>
      <c r="AE289" s="21">
        <f t="shared" si="90"/>
        <v>0</v>
      </c>
      <c r="AF289" s="13"/>
      <c r="AG289" s="117">
        <v>5.0</v>
      </c>
      <c r="AH289" s="117">
        <v>10.0</v>
      </c>
      <c r="AI289" s="117">
        <v>15.0</v>
      </c>
      <c r="AJ289" s="14"/>
      <c r="AK289" s="38"/>
      <c r="AL289" s="47"/>
      <c r="AM289" s="25"/>
      <c r="AN289" s="41"/>
      <c r="AO289" s="46"/>
      <c r="AP289" s="46"/>
      <c r="AQ289" s="21">
        <f t="shared" si="91"/>
        <v>0</v>
      </c>
      <c r="AR289" s="13"/>
      <c r="AS289" s="117">
        <v>5.0</v>
      </c>
      <c r="AT289" s="117">
        <v>10.0</v>
      </c>
      <c r="AU289" s="117">
        <v>15.0</v>
      </c>
      <c r="AV289" s="14"/>
      <c r="AW289" s="38"/>
      <c r="AX289" s="47"/>
      <c r="AY289" s="25"/>
      <c r="AZ289" s="41"/>
      <c r="BA289" s="46"/>
      <c r="BB289" s="46"/>
      <c r="BC289" s="21">
        <f t="shared" si="92"/>
        <v>0</v>
      </c>
      <c r="BD289" s="13"/>
      <c r="BE289" s="117">
        <v>20.0</v>
      </c>
      <c r="BF289" s="117">
        <v>30.0</v>
      </c>
      <c r="BG289" s="117">
        <v>40.0</v>
      </c>
      <c r="BH289" s="14"/>
      <c r="BI289" s="38"/>
      <c r="BJ289" s="47"/>
      <c r="BK289" s="25"/>
      <c r="BL289" s="41"/>
      <c r="BM289" s="46"/>
      <c r="BN289" s="46"/>
      <c r="BO289" s="21">
        <f t="shared" si="93"/>
        <v>0</v>
      </c>
      <c r="BP289" s="13"/>
      <c r="BQ289" s="117">
        <v>4.0</v>
      </c>
      <c r="BR289" s="117">
        <v>7.0</v>
      </c>
      <c r="BS289" s="117">
        <v>10.0</v>
      </c>
      <c r="BT289" s="14"/>
      <c r="BU289" s="107"/>
      <c r="BV289" s="107"/>
      <c r="BW289" s="107"/>
      <c r="BX289" s="107"/>
      <c r="BY289" s="107"/>
      <c r="BZ289" s="107"/>
      <c r="CA289" s="111"/>
      <c r="CB289" s="107"/>
      <c r="CC289" s="107"/>
      <c r="CD289" s="107"/>
      <c r="CE289" s="107"/>
      <c r="CF289" s="107"/>
      <c r="CG289" s="107"/>
      <c r="CH289" s="107"/>
      <c r="CI289" s="107"/>
      <c r="CJ289" s="107"/>
    </row>
    <row r="290">
      <c r="A290" s="38"/>
      <c r="B290" s="32"/>
      <c r="C290" s="25"/>
      <c r="D290" s="41"/>
      <c r="E290" s="49"/>
      <c r="F290" s="49"/>
      <c r="G290" s="21">
        <f t="shared" si="88"/>
        <v>0</v>
      </c>
      <c r="H290" s="117">
        <v>5.0</v>
      </c>
      <c r="I290" s="117">
        <v>10.0</v>
      </c>
      <c r="J290" s="117">
        <v>15.0</v>
      </c>
      <c r="K290" s="13"/>
      <c r="L290" s="14"/>
      <c r="M290" s="38"/>
      <c r="N290" s="32"/>
      <c r="O290" s="25"/>
      <c r="P290" s="41"/>
      <c r="Q290" s="49"/>
      <c r="R290" s="49"/>
      <c r="S290" s="21">
        <f t="shared" si="89"/>
        <v>0</v>
      </c>
      <c r="T290" s="13"/>
      <c r="U290" s="13"/>
      <c r="V290" s="13"/>
      <c r="W290" s="13"/>
      <c r="X290" s="14"/>
      <c r="Y290" s="38"/>
      <c r="Z290" s="32"/>
      <c r="AA290" s="25"/>
      <c r="AB290" s="41"/>
      <c r="AC290" s="49"/>
      <c r="AD290" s="49"/>
      <c r="AE290" s="21">
        <f t="shared" si="90"/>
        <v>0</v>
      </c>
      <c r="AF290" s="13"/>
      <c r="AG290" s="13"/>
      <c r="AH290" s="13"/>
      <c r="AI290" s="13"/>
      <c r="AJ290" s="14"/>
      <c r="AK290" s="38"/>
      <c r="AL290" s="32"/>
      <c r="AM290" s="25"/>
      <c r="AN290" s="41"/>
      <c r="AO290" s="49"/>
      <c r="AP290" s="49"/>
      <c r="AQ290" s="21">
        <f t="shared" si="91"/>
        <v>0</v>
      </c>
      <c r="AR290" s="13"/>
      <c r="AS290" s="13"/>
      <c r="AT290" s="13"/>
      <c r="AU290" s="13"/>
      <c r="AV290" s="14"/>
      <c r="AW290" s="38"/>
      <c r="AX290" s="32"/>
      <c r="AY290" s="25"/>
      <c r="AZ290" s="41"/>
      <c r="BA290" s="49"/>
      <c r="BB290" s="49"/>
      <c r="BC290" s="21">
        <f t="shared" si="92"/>
        <v>0</v>
      </c>
      <c r="BD290" s="13"/>
      <c r="BE290" s="13"/>
      <c r="BF290" s="13"/>
      <c r="BG290" s="13"/>
      <c r="BH290" s="14"/>
      <c r="BI290" s="38"/>
      <c r="BJ290" s="32"/>
      <c r="BK290" s="25"/>
      <c r="BL290" s="41"/>
      <c r="BM290" s="49"/>
      <c r="BN290" s="49"/>
      <c r="BO290" s="21">
        <f t="shared" si="93"/>
        <v>0</v>
      </c>
      <c r="BP290" s="13"/>
      <c r="BQ290" s="13"/>
      <c r="BR290" s="13"/>
      <c r="BS290" s="13"/>
      <c r="BT290" s="14"/>
      <c r="BU290" s="107"/>
      <c r="BV290" s="107"/>
      <c r="BW290" s="107"/>
      <c r="BX290" s="107"/>
      <c r="BY290" s="107"/>
      <c r="BZ290" s="107"/>
      <c r="CA290" s="111"/>
      <c r="CB290" s="107"/>
      <c r="CC290" s="107"/>
      <c r="CD290" s="107"/>
      <c r="CE290" s="107"/>
      <c r="CF290" s="107"/>
      <c r="CG290" s="107"/>
      <c r="CH290" s="107"/>
      <c r="CI290" s="107"/>
      <c r="CJ290" s="107"/>
    </row>
    <row r="291">
      <c r="A291" s="38"/>
      <c r="B291" s="32"/>
      <c r="C291" s="25"/>
      <c r="D291" s="41"/>
      <c r="E291" s="49"/>
      <c r="F291" s="49"/>
      <c r="G291" s="21">
        <f t="shared" si="88"/>
        <v>0</v>
      </c>
      <c r="H291" s="13"/>
      <c r="I291" s="13"/>
      <c r="J291" s="13"/>
      <c r="K291" s="13"/>
      <c r="L291" s="14"/>
      <c r="M291" s="38"/>
      <c r="N291" s="32"/>
      <c r="O291" s="25"/>
      <c r="P291" s="41"/>
      <c r="Q291" s="49"/>
      <c r="R291" s="49"/>
      <c r="S291" s="21">
        <f t="shared" si="89"/>
        <v>0</v>
      </c>
      <c r="T291" s="13"/>
      <c r="U291" s="13"/>
      <c r="V291" s="13"/>
      <c r="W291" s="13"/>
      <c r="X291" s="14"/>
      <c r="Y291" s="38"/>
      <c r="Z291" s="32"/>
      <c r="AA291" s="25"/>
      <c r="AB291" s="41"/>
      <c r="AC291" s="49"/>
      <c r="AD291" s="49"/>
      <c r="AE291" s="21">
        <f t="shared" si="90"/>
        <v>0</v>
      </c>
      <c r="AF291" s="13"/>
      <c r="AG291" s="13"/>
      <c r="AH291" s="13"/>
      <c r="AI291" s="13"/>
      <c r="AJ291" s="14"/>
      <c r="AK291" s="38"/>
      <c r="AL291" s="32"/>
      <c r="AM291" s="25"/>
      <c r="AN291" s="41"/>
      <c r="AO291" s="49"/>
      <c r="AP291" s="49"/>
      <c r="AQ291" s="21">
        <f t="shared" si="91"/>
        <v>0</v>
      </c>
      <c r="AR291" s="13"/>
      <c r="AS291" s="13"/>
      <c r="AT291" s="13"/>
      <c r="AU291" s="13"/>
      <c r="AV291" s="14"/>
      <c r="AW291" s="38"/>
      <c r="AX291" s="32"/>
      <c r="AY291" s="25"/>
      <c r="AZ291" s="41"/>
      <c r="BA291" s="49"/>
      <c r="BB291" s="49"/>
      <c r="BC291" s="21">
        <f t="shared" si="92"/>
        <v>0</v>
      </c>
      <c r="BD291" s="13"/>
      <c r="BE291" s="13"/>
      <c r="BF291" s="13"/>
      <c r="BG291" s="13"/>
      <c r="BH291" s="14"/>
      <c r="BI291" s="38"/>
      <c r="BJ291" s="32"/>
      <c r="BK291" s="25"/>
      <c r="BL291" s="41"/>
      <c r="BM291" s="49"/>
      <c r="BN291" s="49"/>
      <c r="BO291" s="21">
        <f t="shared" si="93"/>
        <v>0</v>
      </c>
      <c r="BP291" s="13"/>
      <c r="BQ291" s="13"/>
      <c r="BR291" s="13"/>
      <c r="BS291" s="13"/>
      <c r="BT291" s="14"/>
      <c r="BU291" s="107"/>
      <c r="BV291" s="107"/>
      <c r="BW291" s="107"/>
      <c r="BX291" s="107"/>
      <c r="BY291" s="107"/>
      <c r="BZ291" s="107"/>
      <c r="CA291" s="111"/>
      <c r="CB291" s="107"/>
      <c r="CC291" s="107"/>
      <c r="CD291" s="107"/>
      <c r="CE291" s="107"/>
      <c r="CF291" s="107"/>
      <c r="CG291" s="107"/>
      <c r="CH291" s="107"/>
      <c r="CI291" s="107"/>
      <c r="CJ291" s="107"/>
    </row>
    <row r="292">
      <c r="A292" s="38"/>
      <c r="B292" s="32"/>
      <c r="C292" s="25"/>
      <c r="D292" s="41"/>
      <c r="E292" s="49"/>
      <c r="F292" s="49"/>
      <c r="G292" s="21">
        <f t="shared" si="88"/>
        <v>0</v>
      </c>
      <c r="H292" s="13"/>
      <c r="I292" s="13"/>
      <c r="J292" s="67"/>
      <c r="K292" s="13"/>
      <c r="L292" s="14"/>
      <c r="M292" s="38"/>
      <c r="N292" s="32"/>
      <c r="O292" s="25"/>
      <c r="P292" s="41"/>
      <c r="Q292" s="49"/>
      <c r="R292" s="49"/>
      <c r="S292" s="21">
        <f t="shared" si="89"/>
        <v>0</v>
      </c>
      <c r="T292" s="13"/>
      <c r="U292" s="13"/>
      <c r="V292" s="13"/>
      <c r="W292" s="13"/>
      <c r="X292" s="14"/>
      <c r="Y292" s="38"/>
      <c r="Z292" s="32"/>
      <c r="AA292" s="25"/>
      <c r="AB292" s="41"/>
      <c r="AC292" s="49"/>
      <c r="AD292" s="49"/>
      <c r="AE292" s="21">
        <f t="shared" si="90"/>
        <v>0</v>
      </c>
      <c r="AF292" s="13"/>
      <c r="AG292" s="13"/>
      <c r="AH292" s="13"/>
      <c r="AI292" s="13"/>
      <c r="AJ292" s="14"/>
      <c r="AK292" s="38"/>
      <c r="AL292" s="32"/>
      <c r="AM292" s="25"/>
      <c r="AN292" s="41"/>
      <c r="AO292" s="49"/>
      <c r="AP292" s="49"/>
      <c r="AQ292" s="21">
        <f t="shared" si="91"/>
        <v>0</v>
      </c>
      <c r="AR292" s="13"/>
      <c r="AS292" s="13"/>
      <c r="AT292" s="13"/>
      <c r="AU292" s="13"/>
      <c r="AV292" s="14"/>
      <c r="AW292" s="38"/>
      <c r="AX292" s="32"/>
      <c r="AY292" s="25"/>
      <c r="AZ292" s="41"/>
      <c r="BA292" s="49"/>
      <c r="BB292" s="49"/>
      <c r="BC292" s="21">
        <f t="shared" si="92"/>
        <v>0</v>
      </c>
      <c r="BD292" s="13"/>
      <c r="BE292" s="13"/>
      <c r="BF292" s="13"/>
      <c r="BG292" s="13"/>
      <c r="BH292" s="14"/>
      <c r="BI292" s="38"/>
      <c r="BJ292" s="32"/>
      <c r="BK292" s="25"/>
      <c r="BL292" s="41"/>
      <c r="BM292" s="49"/>
      <c r="BN292" s="49"/>
      <c r="BO292" s="21">
        <f t="shared" si="93"/>
        <v>0</v>
      </c>
      <c r="BP292" s="13"/>
      <c r="BQ292" s="13"/>
      <c r="BR292" s="13"/>
      <c r="BS292" s="13"/>
      <c r="BT292" s="14"/>
      <c r="BU292" s="107"/>
      <c r="BV292" s="107"/>
      <c r="BW292" s="107"/>
      <c r="BX292" s="107"/>
      <c r="BY292" s="107"/>
      <c r="BZ292" s="107"/>
      <c r="CA292" s="111"/>
      <c r="CB292" s="107"/>
      <c r="CC292" s="107"/>
      <c r="CD292" s="107"/>
      <c r="CE292" s="107"/>
      <c r="CF292" s="107"/>
      <c r="CG292" s="107"/>
      <c r="CH292" s="107"/>
      <c r="CI292" s="107"/>
      <c r="CJ292" s="107"/>
    </row>
    <row r="293">
      <c r="A293" s="38"/>
      <c r="B293" s="32"/>
      <c r="C293" s="25"/>
      <c r="D293" s="41"/>
      <c r="E293" s="46"/>
      <c r="F293" s="46"/>
      <c r="G293" s="21">
        <f t="shared" si="88"/>
        <v>0</v>
      </c>
      <c r="H293" s="13"/>
      <c r="I293" s="67" t="s">
        <v>73</v>
      </c>
      <c r="J293" s="13"/>
      <c r="K293" s="13"/>
      <c r="L293" s="14"/>
      <c r="M293" s="38"/>
      <c r="N293" s="32"/>
      <c r="O293" s="25"/>
      <c r="P293" s="41"/>
      <c r="Q293" s="46"/>
      <c r="R293" s="46"/>
      <c r="S293" s="21">
        <f t="shared" si="89"/>
        <v>0</v>
      </c>
      <c r="T293" s="13"/>
      <c r="U293" s="13"/>
      <c r="V293" s="13"/>
      <c r="W293" s="13"/>
      <c r="X293" s="14"/>
      <c r="Y293" s="38"/>
      <c r="Z293" s="32"/>
      <c r="AA293" s="25"/>
      <c r="AB293" s="41"/>
      <c r="AC293" s="46"/>
      <c r="AD293" s="46"/>
      <c r="AE293" s="21">
        <f t="shared" si="90"/>
        <v>0</v>
      </c>
      <c r="AF293" s="13"/>
      <c r="AG293" s="13"/>
      <c r="AH293" s="13"/>
      <c r="AI293" s="13"/>
      <c r="AJ293" s="14"/>
      <c r="AK293" s="38"/>
      <c r="AL293" s="32"/>
      <c r="AM293" s="25"/>
      <c r="AN293" s="41"/>
      <c r="AO293" s="46"/>
      <c r="AP293" s="46"/>
      <c r="AQ293" s="21">
        <f t="shared" si="91"/>
        <v>0</v>
      </c>
      <c r="AR293" s="13"/>
      <c r="AS293" s="13"/>
      <c r="AT293" s="13"/>
      <c r="AU293" s="13"/>
      <c r="AV293" s="14"/>
      <c r="AW293" s="38"/>
      <c r="AX293" s="32"/>
      <c r="AY293" s="25"/>
      <c r="AZ293" s="41"/>
      <c r="BA293" s="46"/>
      <c r="BB293" s="46"/>
      <c r="BC293" s="21">
        <f t="shared" si="92"/>
        <v>0</v>
      </c>
      <c r="BD293" s="13"/>
      <c r="BE293" s="13"/>
      <c r="BF293" s="13"/>
      <c r="BG293" s="13"/>
      <c r="BH293" s="14"/>
      <c r="BI293" s="38"/>
      <c r="BJ293" s="32"/>
      <c r="BK293" s="25"/>
      <c r="BL293" s="41"/>
      <c r="BM293" s="46"/>
      <c r="BN293" s="46"/>
      <c r="BO293" s="21">
        <f t="shared" si="93"/>
        <v>0</v>
      </c>
      <c r="BP293" s="13"/>
      <c r="BQ293" s="13"/>
      <c r="BR293" s="13"/>
      <c r="BS293" s="13"/>
      <c r="BT293" s="14"/>
      <c r="BU293" s="107"/>
      <c r="BV293" s="107"/>
      <c r="BW293" s="107"/>
      <c r="BX293" s="107"/>
      <c r="BY293" s="107"/>
      <c r="BZ293" s="107"/>
      <c r="CA293" s="111"/>
      <c r="CB293" s="107"/>
      <c r="CC293" s="107"/>
      <c r="CD293" s="107"/>
      <c r="CE293" s="107"/>
      <c r="CF293" s="107"/>
      <c r="CG293" s="107"/>
      <c r="CH293" s="107"/>
      <c r="CI293" s="107"/>
      <c r="CJ293" s="107"/>
    </row>
    <row r="294">
      <c r="A294" s="38"/>
      <c r="B294" s="47"/>
      <c r="C294" s="25"/>
      <c r="D294" s="41"/>
      <c r="E294" s="49"/>
      <c r="F294" s="49"/>
      <c r="G294" s="21">
        <f t="shared" si="88"/>
        <v>0</v>
      </c>
      <c r="H294" s="13"/>
      <c r="I294" s="142">
        <v>40363.0</v>
      </c>
      <c r="J294" s="13"/>
      <c r="K294" s="13"/>
      <c r="L294" s="14"/>
      <c r="M294" s="38"/>
      <c r="N294" s="47"/>
      <c r="O294" s="25"/>
      <c r="P294" s="41"/>
      <c r="Q294" s="49"/>
      <c r="R294" s="49"/>
      <c r="S294" s="21">
        <f t="shared" si="89"/>
        <v>0</v>
      </c>
      <c r="T294" s="13"/>
      <c r="U294" s="67" t="s">
        <v>81</v>
      </c>
      <c r="V294" s="67" t="s">
        <v>82</v>
      </c>
      <c r="W294" s="13"/>
      <c r="X294" s="14"/>
      <c r="Y294" s="38"/>
      <c r="Z294" s="47"/>
      <c r="AA294" s="25"/>
      <c r="AB294" s="41"/>
      <c r="AC294" s="49"/>
      <c r="AD294" s="49"/>
      <c r="AE294" s="21">
        <f t="shared" si="90"/>
        <v>0</v>
      </c>
      <c r="AF294" s="13"/>
      <c r="AG294" s="13"/>
      <c r="AH294" s="13"/>
      <c r="AI294" s="13"/>
      <c r="AJ294" s="14"/>
      <c r="AK294" s="38"/>
      <c r="AL294" s="47"/>
      <c r="AM294" s="25"/>
      <c r="AN294" s="41"/>
      <c r="AO294" s="49"/>
      <c r="AP294" s="49"/>
      <c r="AQ294" s="21">
        <f t="shared" si="91"/>
        <v>0</v>
      </c>
      <c r="AR294" s="13"/>
      <c r="AS294" s="13"/>
      <c r="AT294" s="13"/>
      <c r="AU294" s="13"/>
      <c r="AV294" s="14"/>
      <c r="AW294" s="38"/>
      <c r="AX294" s="47"/>
      <c r="AY294" s="25"/>
      <c r="AZ294" s="41"/>
      <c r="BA294" s="49"/>
      <c r="BB294" s="49"/>
      <c r="BC294" s="21">
        <f t="shared" si="92"/>
        <v>0</v>
      </c>
      <c r="BD294" s="13"/>
      <c r="BE294" s="13"/>
      <c r="BF294" s="13"/>
      <c r="BG294" s="13"/>
      <c r="BH294" s="14"/>
      <c r="BI294" s="38"/>
      <c r="BJ294" s="47"/>
      <c r="BK294" s="25"/>
      <c r="BL294" s="41"/>
      <c r="BM294" s="49"/>
      <c r="BN294" s="49"/>
      <c r="BO294" s="21">
        <f t="shared" si="93"/>
        <v>0</v>
      </c>
      <c r="BP294" s="13"/>
      <c r="BQ294" s="13"/>
      <c r="BR294" s="13"/>
      <c r="BS294" s="13"/>
      <c r="BT294" s="14"/>
      <c r="BU294" s="107"/>
      <c r="BV294" s="107"/>
      <c r="BW294" s="107"/>
      <c r="BX294" s="107"/>
      <c r="BY294" s="107"/>
      <c r="BZ294" s="107"/>
      <c r="CA294" s="111"/>
      <c r="CB294" s="107"/>
      <c r="CC294" s="107"/>
      <c r="CD294" s="107"/>
      <c r="CE294" s="107"/>
      <c r="CF294" s="107"/>
      <c r="CG294" s="107"/>
      <c r="CH294" s="107"/>
      <c r="CI294" s="107"/>
      <c r="CJ294" s="107"/>
    </row>
    <row r="295">
      <c r="A295" s="38"/>
      <c r="B295" s="32"/>
      <c r="C295" s="25"/>
      <c r="D295" s="41"/>
      <c r="E295" s="49"/>
      <c r="F295" s="49"/>
      <c r="G295" s="21">
        <f t="shared" si="88"/>
        <v>0</v>
      </c>
      <c r="H295" s="13"/>
      <c r="I295" s="67"/>
      <c r="J295" s="13"/>
      <c r="K295" s="13"/>
      <c r="L295" s="14"/>
      <c r="M295" s="38"/>
      <c r="N295" s="32"/>
      <c r="O295" s="25"/>
      <c r="P295" s="41"/>
      <c r="Q295" s="49"/>
      <c r="R295" s="49"/>
      <c r="S295" s="21">
        <f t="shared" si="89"/>
        <v>0</v>
      </c>
      <c r="T295" s="13"/>
      <c r="U295" s="13"/>
      <c r="V295" s="13"/>
      <c r="W295" s="13"/>
      <c r="X295" s="14"/>
      <c r="Y295" s="38"/>
      <c r="Z295" s="32"/>
      <c r="AA295" s="25"/>
      <c r="AB295" s="41"/>
      <c r="AC295" s="49"/>
      <c r="AD295" s="49"/>
      <c r="AE295" s="21">
        <f t="shared" si="90"/>
        <v>0</v>
      </c>
      <c r="AF295" s="13"/>
      <c r="AG295" s="13"/>
      <c r="AH295" s="13"/>
      <c r="AI295" s="13"/>
      <c r="AJ295" s="14"/>
      <c r="AK295" s="38"/>
      <c r="AL295" s="32"/>
      <c r="AM295" s="25"/>
      <c r="AN295" s="41"/>
      <c r="AO295" s="49"/>
      <c r="AP295" s="49"/>
      <c r="AQ295" s="21">
        <f t="shared" si="91"/>
        <v>0</v>
      </c>
      <c r="AR295" s="13"/>
      <c r="AS295" s="13"/>
      <c r="AT295" s="13"/>
      <c r="AU295" s="13"/>
      <c r="AV295" s="14"/>
      <c r="AW295" s="38"/>
      <c r="AX295" s="32"/>
      <c r="AY295" s="25"/>
      <c r="AZ295" s="41"/>
      <c r="BA295" s="49"/>
      <c r="BB295" s="49"/>
      <c r="BC295" s="21">
        <f t="shared" si="92"/>
        <v>0</v>
      </c>
      <c r="BD295" s="13"/>
      <c r="BE295" s="13"/>
      <c r="BF295" s="13"/>
      <c r="BG295" s="13"/>
      <c r="BH295" s="14"/>
      <c r="BI295" s="38"/>
      <c r="BJ295" s="32"/>
      <c r="BK295" s="25"/>
      <c r="BL295" s="41"/>
      <c r="BM295" s="49"/>
      <c r="BN295" s="49"/>
      <c r="BO295" s="21">
        <f t="shared" si="93"/>
        <v>0</v>
      </c>
      <c r="BP295" s="13"/>
      <c r="BQ295" s="13"/>
      <c r="BR295" s="13"/>
      <c r="BS295" s="13"/>
      <c r="BT295" s="14"/>
      <c r="BU295" s="107"/>
      <c r="BV295" s="107"/>
      <c r="BW295" s="107"/>
      <c r="BX295" s="107"/>
      <c r="BY295" s="107"/>
      <c r="BZ295" s="107"/>
      <c r="CA295" s="111"/>
      <c r="CB295" s="107"/>
      <c r="CC295" s="107"/>
      <c r="CD295" s="107"/>
      <c r="CE295" s="107"/>
      <c r="CF295" s="107"/>
      <c r="CG295" s="107"/>
      <c r="CH295" s="107"/>
      <c r="CI295" s="107"/>
      <c r="CJ295" s="107"/>
    </row>
    <row r="296">
      <c r="A296" s="38"/>
      <c r="B296" s="32"/>
      <c r="C296" s="25"/>
      <c r="D296" s="41"/>
      <c r="E296" s="49"/>
      <c r="F296" s="49"/>
      <c r="G296" s="21">
        <f t="shared" si="88"/>
        <v>0</v>
      </c>
      <c r="H296" s="13"/>
      <c r="I296" s="67"/>
      <c r="J296" s="13"/>
      <c r="K296" s="13"/>
      <c r="L296" s="14"/>
      <c r="M296" s="38"/>
      <c r="N296" s="32"/>
      <c r="O296" s="25"/>
      <c r="P296" s="41"/>
      <c r="Q296" s="49"/>
      <c r="R296" s="49"/>
      <c r="S296" s="21">
        <f t="shared" si="89"/>
        <v>0</v>
      </c>
      <c r="T296" s="13"/>
      <c r="U296" s="13"/>
      <c r="V296" s="13"/>
      <c r="W296" s="13"/>
      <c r="X296" s="14"/>
      <c r="Y296" s="38"/>
      <c r="Z296" s="32"/>
      <c r="AA296" s="25"/>
      <c r="AB296" s="41"/>
      <c r="AC296" s="49"/>
      <c r="AD296" s="49"/>
      <c r="AE296" s="21">
        <f t="shared" si="90"/>
        <v>0</v>
      </c>
      <c r="AF296" s="13"/>
      <c r="AG296" s="13"/>
      <c r="AH296" s="13"/>
      <c r="AI296" s="13"/>
      <c r="AJ296" s="14"/>
      <c r="AK296" s="38"/>
      <c r="AL296" s="32"/>
      <c r="AM296" s="25"/>
      <c r="AN296" s="41"/>
      <c r="AO296" s="49"/>
      <c r="AP296" s="49"/>
      <c r="AQ296" s="21">
        <f t="shared" si="91"/>
        <v>0</v>
      </c>
      <c r="AR296" s="13"/>
      <c r="AS296" s="13"/>
      <c r="AT296" s="13"/>
      <c r="AU296" s="13"/>
      <c r="AV296" s="14"/>
      <c r="AW296" s="38"/>
      <c r="AX296" s="32"/>
      <c r="AY296" s="25"/>
      <c r="AZ296" s="41"/>
      <c r="BA296" s="49"/>
      <c r="BB296" s="49"/>
      <c r="BC296" s="21">
        <f t="shared" si="92"/>
        <v>0</v>
      </c>
      <c r="BD296" s="13"/>
      <c r="BE296" s="13"/>
      <c r="BF296" s="13"/>
      <c r="BG296" s="13"/>
      <c r="BH296" s="14"/>
      <c r="BI296" s="38"/>
      <c r="BJ296" s="32"/>
      <c r="BK296" s="25"/>
      <c r="BL296" s="41"/>
      <c r="BM296" s="49"/>
      <c r="BN296" s="49"/>
      <c r="BO296" s="21">
        <f t="shared" si="93"/>
        <v>0</v>
      </c>
      <c r="BP296" s="13"/>
      <c r="BQ296" s="13"/>
      <c r="BR296" s="13"/>
      <c r="BS296" s="13"/>
      <c r="BT296" s="14"/>
      <c r="BU296" s="107"/>
      <c r="BV296" s="107"/>
      <c r="BW296" s="107"/>
      <c r="BX296" s="107"/>
      <c r="BY296" s="107"/>
      <c r="BZ296" s="107"/>
      <c r="CA296" s="111"/>
      <c r="CB296" s="107"/>
      <c r="CC296" s="107"/>
      <c r="CD296" s="107"/>
      <c r="CE296" s="107"/>
      <c r="CF296" s="107"/>
      <c r="CG296" s="107"/>
      <c r="CH296" s="107"/>
      <c r="CI296" s="107"/>
      <c r="CJ296" s="107"/>
    </row>
    <row r="297">
      <c r="A297" s="50"/>
      <c r="B297" s="32"/>
      <c r="C297" s="25"/>
      <c r="D297" s="41"/>
      <c r="E297" s="49"/>
      <c r="F297" s="49"/>
      <c r="G297" s="88">
        <f t="shared" si="88"/>
        <v>0</v>
      </c>
      <c r="H297" s="89"/>
      <c r="I297" s="104"/>
      <c r="J297" s="89"/>
      <c r="K297" s="89"/>
      <c r="L297" s="90"/>
      <c r="M297" s="50"/>
      <c r="N297" s="32"/>
      <c r="O297" s="25"/>
      <c r="P297" s="41"/>
      <c r="Q297" s="49"/>
      <c r="R297" s="49"/>
      <c r="S297" s="21">
        <f t="shared" si="89"/>
        <v>0</v>
      </c>
      <c r="T297" s="89"/>
      <c r="U297" s="89"/>
      <c r="V297" s="89"/>
      <c r="W297" s="89"/>
      <c r="X297" s="90"/>
      <c r="Y297" s="50"/>
      <c r="Z297" s="32"/>
      <c r="AA297" s="25"/>
      <c r="AB297" s="41"/>
      <c r="AC297" s="49"/>
      <c r="AD297" s="49"/>
      <c r="AE297" s="21">
        <f t="shared" si="90"/>
        <v>0</v>
      </c>
      <c r="AF297" s="89"/>
      <c r="AG297" s="89"/>
      <c r="AH297" s="89"/>
      <c r="AI297" s="89"/>
      <c r="AJ297" s="90"/>
      <c r="AK297" s="50"/>
      <c r="AL297" s="32"/>
      <c r="AM297" s="25"/>
      <c r="AN297" s="41"/>
      <c r="AO297" s="49"/>
      <c r="AP297" s="49"/>
      <c r="AQ297" s="21">
        <f t="shared" si="91"/>
        <v>0</v>
      </c>
      <c r="AR297" s="89"/>
      <c r="AS297" s="89"/>
      <c r="AT297" s="89"/>
      <c r="AU297" s="89"/>
      <c r="AV297" s="90"/>
      <c r="AW297" s="50"/>
      <c r="AX297" s="32"/>
      <c r="AY297" s="25"/>
      <c r="AZ297" s="41"/>
      <c r="BA297" s="49"/>
      <c r="BB297" s="49"/>
      <c r="BC297" s="21">
        <f t="shared" si="92"/>
        <v>0</v>
      </c>
      <c r="BD297" s="89"/>
      <c r="BE297" s="89"/>
      <c r="BF297" s="89"/>
      <c r="BG297" s="89"/>
      <c r="BH297" s="90"/>
      <c r="BI297" s="50"/>
      <c r="BJ297" s="32"/>
      <c r="BK297" s="25"/>
      <c r="BL297" s="41"/>
      <c r="BM297" s="49"/>
      <c r="BN297" s="49"/>
      <c r="BO297" s="21">
        <f t="shared" si="93"/>
        <v>0</v>
      </c>
      <c r="BP297" s="89"/>
      <c r="BQ297" s="89"/>
      <c r="BR297" s="89"/>
      <c r="BS297" s="89"/>
      <c r="BT297" s="90"/>
      <c r="BU297" s="107"/>
      <c r="BV297" s="107"/>
      <c r="BW297" s="107"/>
      <c r="BX297" s="107"/>
      <c r="BY297" s="107"/>
      <c r="BZ297" s="107"/>
      <c r="CA297" s="111"/>
      <c r="CB297" s="107"/>
      <c r="CC297" s="107"/>
      <c r="CD297" s="107"/>
      <c r="CE297" s="107"/>
      <c r="CF297" s="107"/>
      <c r="CG297" s="107"/>
      <c r="CH297" s="107"/>
      <c r="CI297" s="107"/>
      <c r="CJ297" s="107"/>
    </row>
    <row r="298">
      <c r="A298" s="1" t="s">
        <v>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1" t="s">
        <v>62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3"/>
      <c r="Y298" s="1" t="s">
        <v>1</v>
      </c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3"/>
      <c r="AK298" s="1" t="s">
        <v>2</v>
      </c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3"/>
      <c r="AW298" s="1" t="s">
        <v>74</v>
      </c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3"/>
      <c r="BI298" s="1" t="s">
        <v>74</v>
      </c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3"/>
      <c r="BU298" s="4"/>
      <c r="CG298" s="107"/>
      <c r="CH298" s="107"/>
      <c r="CI298" s="107"/>
      <c r="CJ298" s="107"/>
    </row>
    <row r="299">
      <c r="A299" s="5" t="s">
        <v>83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5" t="s">
        <v>83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5" t="s">
        <v>83</v>
      </c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5" t="s">
        <v>83</v>
      </c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5" t="s">
        <v>83</v>
      </c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5" t="s">
        <v>83</v>
      </c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108"/>
      <c r="CG299" s="107"/>
      <c r="CH299" s="107"/>
      <c r="CI299" s="107"/>
      <c r="CJ299" s="107"/>
    </row>
    <row r="300">
      <c r="A300" s="7" t="s">
        <v>5</v>
      </c>
      <c r="B300" s="8" t="s">
        <v>6</v>
      </c>
      <c r="C300" s="9" t="s">
        <v>7</v>
      </c>
      <c r="D300" s="10" t="s">
        <v>8</v>
      </c>
      <c r="E300" s="11" t="s">
        <v>9</v>
      </c>
      <c r="F300" s="11" t="s">
        <v>10</v>
      </c>
      <c r="G300" s="12" t="s">
        <v>11</v>
      </c>
      <c r="H300" s="12" t="s">
        <v>12</v>
      </c>
      <c r="I300" s="12" t="s">
        <v>13</v>
      </c>
      <c r="J300" s="13" t="s">
        <v>14</v>
      </c>
      <c r="K300" s="67" t="s">
        <v>15</v>
      </c>
      <c r="L300" s="14" t="s">
        <v>16</v>
      </c>
      <c r="M300" s="7" t="s">
        <v>5</v>
      </c>
      <c r="N300" s="8" t="s">
        <v>6</v>
      </c>
      <c r="O300" s="9" t="s">
        <v>7</v>
      </c>
      <c r="P300" s="10" t="s">
        <v>8</v>
      </c>
      <c r="Q300" s="11" t="s">
        <v>9</v>
      </c>
      <c r="R300" s="11" t="s">
        <v>10</v>
      </c>
      <c r="S300" s="12" t="s">
        <v>11</v>
      </c>
      <c r="T300" s="12" t="s">
        <v>12</v>
      </c>
      <c r="U300" s="12" t="s">
        <v>13</v>
      </c>
      <c r="V300" s="13" t="s">
        <v>14</v>
      </c>
      <c r="W300" s="13" t="s">
        <v>15</v>
      </c>
      <c r="X300" s="14" t="s">
        <v>16</v>
      </c>
      <c r="Y300" s="7" t="s">
        <v>5</v>
      </c>
      <c r="Z300" s="8" t="s">
        <v>6</v>
      </c>
      <c r="AA300" s="9" t="s">
        <v>7</v>
      </c>
      <c r="AB300" s="10" t="s">
        <v>8</v>
      </c>
      <c r="AC300" s="11" t="s">
        <v>9</v>
      </c>
      <c r="AD300" s="11" t="s">
        <v>10</v>
      </c>
      <c r="AE300" s="12" t="s">
        <v>11</v>
      </c>
      <c r="AF300" s="12" t="s">
        <v>12</v>
      </c>
      <c r="AG300" s="12" t="s">
        <v>13</v>
      </c>
      <c r="AH300" s="13" t="s">
        <v>14</v>
      </c>
      <c r="AI300" s="13" t="s">
        <v>15</v>
      </c>
      <c r="AJ300" s="14" t="s">
        <v>16</v>
      </c>
      <c r="AK300" s="7" t="s">
        <v>5</v>
      </c>
      <c r="AL300" s="8" t="s">
        <v>84</v>
      </c>
      <c r="AM300" s="9" t="s">
        <v>7</v>
      </c>
      <c r="AN300" s="10" t="s">
        <v>8</v>
      </c>
      <c r="AO300" s="11" t="s">
        <v>9</v>
      </c>
      <c r="AP300" s="11" t="s">
        <v>10</v>
      </c>
      <c r="AQ300" s="12" t="s">
        <v>11</v>
      </c>
      <c r="AR300" s="12" t="s">
        <v>12</v>
      </c>
      <c r="AS300" s="12" t="s">
        <v>13</v>
      </c>
      <c r="AT300" s="13" t="s">
        <v>14</v>
      </c>
      <c r="AU300" s="13" t="s">
        <v>15</v>
      </c>
      <c r="AV300" s="14" t="s">
        <v>16</v>
      </c>
      <c r="AW300" s="7" t="s">
        <v>5</v>
      </c>
      <c r="AX300" s="8" t="s">
        <v>84</v>
      </c>
      <c r="AY300" s="9" t="s">
        <v>7</v>
      </c>
      <c r="AZ300" s="10" t="s">
        <v>8</v>
      </c>
      <c r="BA300" s="11" t="s">
        <v>9</v>
      </c>
      <c r="BB300" s="11" t="s">
        <v>10</v>
      </c>
      <c r="BC300" s="12" t="s">
        <v>11</v>
      </c>
      <c r="BD300" s="12" t="s">
        <v>12</v>
      </c>
      <c r="BE300" s="12" t="s">
        <v>13</v>
      </c>
      <c r="BF300" s="13" t="s">
        <v>14</v>
      </c>
      <c r="BG300" s="13" t="s">
        <v>15</v>
      </c>
      <c r="BH300" s="14" t="s">
        <v>16</v>
      </c>
      <c r="BI300" s="7" t="s">
        <v>5</v>
      </c>
      <c r="BJ300" s="8" t="s">
        <v>6</v>
      </c>
      <c r="BK300" s="9" t="s">
        <v>7</v>
      </c>
      <c r="BL300" s="10" t="s">
        <v>8</v>
      </c>
      <c r="BM300" s="11" t="s">
        <v>9</v>
      </c>
      <c r="BN300" s="11" t="s">
        <v>10</v>
      </c>
      <c r="BO300" s="12" t="s">
        <v>11</v>
      </c>
      <c r="BP300" s="12" t="s">
        <v>12</v>
      </c>
      <c r="BQ300" s="12" t="s">
        <v>13</v>
      </c>
      <c r="BR300" s="13" t="s">
        <v>14</v>
      </c>
      <c r="BS300" s="13" t="s">
        <v>15</v>
      </c>
      <c r="BT300" s="14" t="s">
        <v>16</v>
      </c>
      <c r="BU300" s="109"/>
      <c r="BV300" s="108"/>
      <c r="BW300" s="108"/>
      <c r="BX300" s="108"/>
      <c r="BY300" s="108"/>
      <c r="BZ300" s="108"/>
      <c r="CA300" s="109"/>
      <c r="CB300" s="109"/>
      <c r="CC300" s="109"/>
      <c r="CD300" s="107"/>
      <c r="CE300" s="107"/>
      <c r="CF300" s="107"/>
      <c r="CG300" s="107"/>
      <c r="CH300" s="107"/>
      <c r="CI300" s="107"/>
      <c r="CJ300" s="107"/>
    </row>
    <row r="301">
      <c r="A301" s="60">
        <v>45789.0</v>
      </c>
      <c r="B301" s="16">
        <v>290000.0</v>
      </c>
      <c r="C301" s="17"/>
      <c r="D301" s="18"/>
      <c r="E301" s="20"/>
      <c r="F301" s="20"/>
      <c r="G301" s="21">
        <f t="shared" ref="G301:G324" si="101">SUM(B301)-(B301*15%)+(C301)-(C301*20.8%)+(D301)+(E301)-(E301*0.95%)+(F301)-(F301*15.5%)</f>
        <v>246500</v>
      </c>
      <c r="H301" s="22">
        <f>SUM(B301:F324)</f>
        <v>2090000</v>
      </c>
      <c r="I301" s="21">
        <f>SUM(G301:G324)</f>
        <v>1811150</v>
      </c>
      <c r="J301" s="21">
        <f>SUM(I301)-(I301*97%)</f>
        <v>54334.5</v>
      </c>
      <c r="K301" s="21">
        <f>SUM(I301)-(I301*95%)</f>
        <v>90557.5</v>
      </c>
      <c r="L301" s="23">
        <f>SUM(I301)-(I301*93%)</f>
        <v>126780.5</v>
      </c>
      <c r="M301" s="15">
        <v>17.0</v>
      </c>
      <c r="N301" s="24">
        <v>475000.0</v>
      </c>
      <c r="O301" s="25"/>
      <c r="P301" s="18"/>
      <c r="Q301" s="20"/>
      <c r="R301" s="20"/>
      <c r="S301" s="21">
        <f t="shared" ref="S301:S324" si="102">SUM(N301)-(N301*15%)+(O301)-(O301*20.8%)+(P301)+(Q301)-(Q301*0.95%)+(R301)-(R301*15.5%)</f>
        <v>403750</v>
      </c>
      <c r="T301" s="22">
        <f>SUM(N301:R324)</f>
        <v>475000</v>
      </c>
      <c r="U301" s="21">
        <f>SUM(S301:S324)</f>
        <v>403750</v>
      </c>
      <c r="V301" s="21">
        <f>SUM(U301)-(U301*97%)</f>
        <v>12112.5</v>
      </c>
      <c r="W301" s="21">
        <f>SUM(U301)-(U301*95%)</f>
        <v>20187.5</v>
      </c>
      <c r="X301" s="23">
        <f>SUM(U301)-(U301*93%)</f>
        <v>28262.5</v>
      </c>
      <c r="Y301" s="60"/>
      <c r="Z301" s="24"/>
      <c r="AA301" s="25"/>
      <c r="AB301" s="18"/>
      <c r="AC301" s="20"/>
      <c r="AD301" s="20"/>
      <c r="AE301" s="21">
        <f t="shared" ref="AE301:AE324" si="103">SUM(Z301)-(Z301*15%)+(AA301)-(AA301*20.8%)+(AB301)+(AC301)-(AC301*0.95%)+(AD301)-(AD301*15.5%)</f>
        <v>0</v>
      </c>
      <c r="AF301" s="22">
        <f>SUM(Z301:AD324)</f>
        <v>0</v>
      </c>
      <c r="AG301" s="21">
        <f>SUM(AE301:AE324)</f>
        <v>0</v>
      </c>
      <c r="AH301" s="21">
        <f>SUM(AG301)-(AG301*97%)</f>
        <v>0</v>
      </c>
      <c r="AI301" s="21">
        <f>SUM(AG301)-(AG301*95%)</f>
        <v>0</v>
      </c>
      <c r="AJ301" s="23">
        <f>SUM(AG301)-(AG301*93%)</f>
        <v>0</v>
      </c>
      <c r="AK301" s="15">
        <v>11.0</v>
      </c>
      <c r="AL301" s="24"/>
      <c r="AM301" s="25"/>
      <c r="AN301" s="18"/>
      <c r="AO301" s="20">
        <v>200000.0</v>
      </c>
      <c r="AP301" s="20"/>
      <c r="AQ301" s="21">
        <f t="shared" ref="AQ301:AQ324" si="104">SUM(AL301)-(AL301*15%)+(AM301)-(AM301*20.8%)+(AN301)+(AO301)-(AO301*0.95%)+(AP301)-(AP301*15.5%)</f>
        <v>198100</v>
      </c>
      <c r="AR301" s="22">
        <f>SUM(AL301:AP324)</f>
        <v>2950000</v>
      </c>
      <c r="AS301" s="21">
        <f>SUM(AQ301:AQ324)</f>
        <v>2739325</v>
      </c>
      <c r="AT301" s="21">
        <f>SUM(AS301)-(AS301*97%)</f>
        <v>82179.75</v>
      </c>
      <c r="AU301" s="21">
        <f>SUM(AS301)-(AS301*95%)</f>
        <v>136966.25</v>
      </c>
      <c r="AV301" s="23">
        <f>SUM(AS301)-(AS301*93%)</f>
        <v>191752.75</v>
      </c>
      <c r="AW301" s="15">
        <v>31.0</v>
      </c>
      <c r="AX301" s="24">
        <v>900000.0</v>
      </c>
      <c r="AY301" s="25"/>
      <c r="AZ301" s="18"/>
      <c r="BA301" s="20"/>
      <c r="BB301" s="20"/>
      <c r="BC301" s="21">
        <f t="shared" ref="BC301:BC324" si="105">SUM(AX301)-(AX301*15%)+(AY301)-(AY301*20.8%)+(AZ301)+(BA301)-(BA301*0.95%)+(BB301)-(BB301*15.5%)</f>
        <v>765000</v>
      </c>
      <c r="BD301" s="22">
        <f>SUM(AX301:BB324)</f>
        <v>900000</v>
      </c>
      <c r="BE301" s="21">
        <f>SUM(BC301:BC324)</f>
        <v>765000</v>
      </c>
      <c r="BF301" s="21">
        <f>SUM(BE301)-(BE301*97%)</f>
        <v>22950</v>
      </c>
      <c r="BG301" s="21">
        <f>SUM(BE301)-(BE301*95%)</f>
        <v>38250</v>
      </c>
      <c r="BH301" s="23">
        <f>SUM(BE301)-(BE301*93%)</f>
        <v>53550</v>
      </c>
      <c r="BI301" s="15"/>
      <c r="BJ301" s="24"/>
      <c r="BK301" s="25"/>
      <c r="BL301" s="18"/>
      <c r="BM301" s="20"/>
      <c r="BN301" s="20"/>
      <c r="BO301" s="21">
        <f t="shared" ref="BO301:BO324" si="106">SUM(BJ301)-(BJ301*15%)+(BK301)-(BK301*20.8%)+(BL301)+(BM301)-(BM301*0.95%)+(BN301)-(BN301*15.5%)</f>
        <v>0</v>
      </c>
      <c r="BP301" s="22">
        <f>SUM(BJ301:BN324)</f>
        <v>0</v>
      </c>
      <c r="BQ301" s="21">
        <f>SUM(BO301:BO324)</f>
        <v>0</v>
      </c>
      <c r="BR301" s="21">
        <f>SUM(BQ301)-(BQ301*97%)</f>
        <v>0</v>
      </c>
      <c r="BS301" s="21">
        <f>SUM(BQ301)-(BQ301*95%)</f>
        <v>0</v>
      </c>
      <c r="BT301" s="23">
        <f>SUM(BQ301)-(BQ301*93%)</f>
        <v>0</v>
      </c>
      <c r="BU301" s="110"/>
      <c r="BV301" s="107"/>
      <c r="BW301" s="107"/>
      <c r="BX301" s="107"/>
      <c r="BY301" s="107"/>
      <c r="BZ301" s="107"/>
      <c r="CA301" s="111"/>
      <c r="CB301" s="112"/>
      <c r="CC301" s="111"/>
      <c r="CD301" s="111"/>
      <c r="CE301" s="111"/>
      <c r="CF301" s="111"/>
      <c r="CG301" s="107"/>
      <c r="CH301" s="107"/>
      <c r="CI301" s="107"/>
      <c r="CJ301" s="107"/>
    </row>
    <row r="302">
      <c r="A302" s="60"/>
      <c r="B302" s="27"/>
      <c r="C302" s="17"/>
      <c r="D302" s="40"/>
      <c r="E302" s="20">
        <v>300000.0</v>
      </c>
      <c r="F302" s="30">
        <v>1500000.0</v>
      </c>
      <c r="G302" s="21">
        <f t="shared" si="101"/>
        <v>1564650</v>
      </c>
      <c r="H302" s="31" t="s">
        <v>20</v>
      </c>
      <c r="I302" s="13"/>
      <c r="J302" s="13" t="s">
        <v>21</v>
      </c>
      <c r="K302" s="13" t="s">
        <v>22</v>
      </c>
      <c r="L302" s="14" t="s">
        <v>23</v>
      </c>
      <c r="M302" s="15"/>
      <c r="N302" s="32"/>
      <c r="O302" s="25"/>
      <c r="P302" s="33"/>
      <c r="Q302" s="30"/>
      <c r="R302" s="30"/>
      <c r="S302" s="21">
        <f t="shared" si="102"/>
        <v>0</v>
      </c>
      <c r="T302" s="31" t="s">
        <v>20</v>
      </c>
      <c r="U302" s="13"/>
      <c r="V302" s="13" t="s">
        <v>21</v>
      </c>
      <c r="W302" s="13" t="s">
        <v>22</v>
      </c>
      <c r="X302" s="14" t="s">
        <v>23</v>
      </c>
      <c r="Y302" s="60"/>
      <c r="Z302" s="32"/>
      <c r="AA302" s="25"/>
      <c r="AB302" s="33"/>
      <c r="AC302" s="30"/>
      <c r="AD302" s="30"/>
      <c r="AE302" s="21">
        <f t="shared" si="103"/>
        <v>0</v>
      </c>
      <c r="AF302" s="31" t="s">
        <v>20</v>
      </c>
      <c r="AG302" s="13"/>
      <c r="AH302" s="13" t="s">
        <v>21</v>
      </c>
      <c r="AI302" s="13" t="s">
        <v>22</v>
      </c>
      <c r="AJ302" s="14" t="s">
        <v>23</v>
      </c>
      <c r="AK302" s="15">
        <v>23.0</v>
      </c>
      <c r="AL302" s="32"/>
      <c r="AM302" s="25"/>
      <c r="AN302" s="33"/>
      <c r="AO302" s="30">
        <v>1450000.0</v>
      </c>
      <c r="AP302" s="30"/>
      <c r="AQ302" s="21">
        <f t="shared" si="104"/>
        <v>1436225</v>
      </c>
      <c r="AR302" s="31" t="s">
        <v>20</v>
      </c>
      <c r="AS302" s="13"/>
      <c r="AT302" s="13" t="s">
        <v>21</v>
      </c>
      <c r="AU302" s="13" t="s">
        <v>22</v>
      </c>
      <c r="AV302" s="14" t="s">
        <v>23</v>
      </c>
      <c r="AW302" s="60"/>
      <c r="AX302" s="32"/>
      <c r="AY302" s="25"/>
      <c r="AZ302" s="33"/>
      <c r="BA302" s="30"/>
      <c r="BB302" s="30"/>
      <c r="BC302" s="21">
        <f t="shared" si="105"/>
        <v>0</v>
      </c>
      <c r="BD302" s="31" t="s">
        <v>20</v>
      </c>
      <c r="BE302" s="13"/>
      <c r="BF302" s="13" t="s">
        <v>21</v>
      </c>
      <c r="BG302" s="13" t="s">
        <v>22</v>
      </c>
      <c r="BH302" s="14" t="s">
        <v>23</v>
      </c>
      <c r="BI302" s="60"/>
      <c r="BJ302" s="32"/>
      <c r="BK302" s="25"/>
      <c r="BL302" s="33"/>
      <c r="BM302" s="30"/>
      <c r="BN302" s="30"/>
      <c r="BO302" s="21">
        <f t="shared" si="106"/>
        <v>0</v>
      </c>
      <c r="BP302" s="31" t="s">
        <v>20</v>
      </c>
      <c r="BQ302" s="13"/>
      <c r="BR302" s="13" t="s">
        <v>21</v>
      </c>
      <c r="BS302" s="13" t="s">
        <v>22</v>
      </c>
      <c r="BT302" s="14" t="s">
        <v>23</v>
      </c>
      <c r="BU302" s="110"/>
      <c r="BV302" s="107"/>
      <c r="BW302" s="107"/>
      <c r="BX302" s="107"/>
      <c r="BY302" s="107"/>
      <c r="BZ302" s="107"/>
      <c r="CA302" s="111"/>
      <c r="CB302" s="113"/>
      <c r="CC302" s="107"/>
      <c r="CD302" s="107"/>
      <c r="CE302" s="107"/>
      <c r="CF302" s="107"/>
      <c r="CG302" s="107"/>
      <c r="CH302" s="107"/>
      <c r="CI302" s="107"/>
      <c r="CJ302" s="107"/>
    </row>
    <row r="303">
      <c r="A303" s="60"/>
      <c r="B303" s="39"/>
      <c r="C303" s="17"/>
      <c r="D303" s="18"/>
      <c r="E303" s="20"/>
      <c r="F303" s="20"/>
      <c r="G303" s="21">
        <f t="shared" si="101"/>
        <v>0</v>
      </c>
      <c r="H303" s="36"/>
      <c r="I303" s="13"/>
      <c r="J303" s="21">
        <f t="shared" ref="J303:L303" si="107">SUM(J301)-(J301*10%)</f>
        <v>48901.05</v>
      </c>
      <c r="K303" s="21">
        <f t="shared" si="107"/>
        <v>81501.75</v>
      </c>
      <c r="L303" s="23">
        <f t="shared" si="107"/>
        <v>114102.45</v>
      </c>
      <c r="M303" s="15"/>
      <c r="N303" s="37"/>
      <c r="O303" s="25"/>
      <c r="P303" s="33"/>
      <c r="Q303" s="20"/>
      <c r="R303" s="20"/>
      <c r="S303" s="21">
        <f t="shared" si="102"/>
        <v>0</v>
      </c>
      <c r="T303" s="36"/>
      <c r="U303" s="13"/>
      <c r="V303" s="21">
        <f t="shared" ref="V303:X303" si="108">SUM(V301)-(V301*10%)</f>
        <v>10901.25</v>
      </c>
      <c r="W303" s="21">
        <f t="shared" si="108"/>
        <v>18168.75</v>
      </c>
      <c r="X303" s="23">
        <f t="shared" si="108"/>
        <v>25436.25</v>
      </c>
      <c r="Y303" s="60"/>
      <c r="Z303" s="32"/>
      <c r="AA303" s="25"/>
      <c r="AB303" s="33"/>
      <c r="AC303" s="20"/>
      <c r="AD303" s="20"/>
      <c r="AE303" s="21">
        <f t="shared" si="103"/>
        <v>0</v>
      </c>
      <c r="AF303" s="36"/>
      <c r="AG303" s="13"/>
      <c r="AH303" s="21">
        <f t="shared" ref="AH303:AJ303" si="109">SUM(AH301)-(AH301*10%)</f>
        <v>0</v>
      </c>
      <c r="AI303" s="21">
        <f t="shared" si="109"/>
        <v>0</v>
      </c>
      <c r="AJ303" s="23">
        <f t="shared" si="109"/>
        <v>0</v>
      </c>
      <c r="AK303" s="15">
        <v>31.0</v>
      </c>
      <c r="AL303" s="37">
        <v>1300000.0</v>
      </c>
      <c r="AM303" s="25"/>
      <c r="AN303" s="33"/>
      <c r="AO303" s="20"/>
      <c r="AP303" s="20"/>
      <c r="AQ303" s="21">
        <f t="shared" si="104"/>
        <v>1105000</v>
      </c>
      <c r="AR303" s="36"/>
      <c r="AS303" s="13"/>
      <c r="AT303" s="21">
        <f t="shared" ref="AT303:AV303" si="110">SUM(AT301)-(AT301*10%)</f>
        <v>73961.775</v>
      </c>
      <c r="AU303" s="21">
        <f t="shared" si="110"/>
        <v>123269.625</v>
      </c>
      <c r="AV303" s="23">
        <f t="shared" si="110"/>
        <v>172577.475</v>
      </c>
      <c r="AW303" s="60"/>
      <c r="AX303" s="32"/>
      <c r="AY303" s="25"/>
      <c r="AZ303" s="33"/>
      <c r="BA303" s="20"/>
      <c r="BB303" s="20"/>
      <c r="BC303" s="21">
        <f t="shared" si="105"/>
        <v>0</v>
      </c>
      <c r="BD303" s="36"/>
      <c r="BE303" s="13"/>
      <c r="BF303" s="21">
        <f t="shared" ref="BF303:BH303" si="111">SUM(BF301)-(BF301*10%)</f>
        <v>20655</v>
      </c>
      <c r="BG303" s="21">
        <f t="shared" si="111"/>
        <v>34425</v>
      </c>
      <c r="BH303" s="23">
        <f t="shared" si="111"/>
        <v>48195</v>
      </c>
      <c r="BI303" s="60"/>
      <c r="BJ303" s="32"/>
      <c r="BK303" s="25"/>
      <c r="BL303" s="33"/>
      <c r="BM303" s="20"/>
      <c r="BN303" s="20"/>
      <c r="BO303" s="21">
        <f t="shared" si="106"/>
        <v>0</v>
      </c>
      <c r="BP303" s="36"/>
      <c r="BQ303" s="13"/>
      <c r="BR303" s="21">
        <f t="shared" ref="BR303:BT303" si="112">SUM(BR301)-(BR301*10%)</f>
        <v>0</v>
      </c>
      <c r="BS303" s="21">
        <f t="shared" si="112"/>
        <v>0</v>
      </c>
      <c r="BT303" s="23">
        <f t="shared" si="112"/>
        <v>0</v>
      </c>
      <c r="BU303" s="110"/>
      <c r="BV303" s="107"/>
      <c r="BW303" s="107"/>
      <c r="BX303" s="107"/>
      <c r="BY303" s="107"/>
      <c r="BZ303" s="107"/>
      <c r="CA303" s="111"/>
      <c r="CB303" s="107"/>
      <c r="CC303" s="107"/>
      <c r="CD303" s="111"/>
      <c r="CE303" s="111"/>
      <c r="CF303" s="111"/>
      <c r="CG303" s="107"/>
      <c r="CH303" s="107"/>
      <c r="CI303" s="107"/>
      <c r="CJ303" s="107"/>
    </row>
    <row r="304">
      <c r="A304" s="60"/>
      <c r="B304" s="27"/>
      <c r="C304" s="17"/>
      <c r="D304" s="18"/>
      <c r="E304" s="20"/>
      <c r="F304" s="20"/>
      <c r="G304" s="21">
        <f t="shared" si="101"/>
        <v>0</v>
      </c>
      <c r="H304" s="13"/>
      <c r="I304" s="13"/>
      <c r="J304" s="13"/>
      <c r="K304" s="13"/>
      <c r="L304" s="14"/>
      <c r="M304" s="60"/>
      <c r="N304" s="37"/>
      <c r="O304" s="93"/>
      <c r="P304" s="33"/>
      <c r="Q304" s="20"/>
      <c r="R304" s="20"/>
      <c r="S304" s="21">
        <f t="shared" si="102"/>
        <v>0</v>
      </c>
      <c r="T304" s="13"/>
      <c r="U304" s="13"/>
      <c r="V304" s="13"/>
      <c r="W304" s="13"/>
      <c r="X304" s="14"/>
      <c r="Y304" s="60"/>
      <c r="Z304" s="32"/>
      <c r="AA304" s="93"/>
      <c r="AB304" s="33"/>
      <c r="AC304" s="20"/>
      <c r="AD304" s="20"/>
      <c r="AE304" s="21">
        <f t="shared" si="103"/>
        <v>0</v>
      </c>
      <c r="AF304" s="13"/>
      <c r="AG304" s="13"/>
      <c r="AH304" s="13"/>
      <c r="AI304" s="13"/>
      <c r="AJ304" s="14"/>
      <c r="AK304" s="15"/>
      <c r="AL304" s="32"/>
      <c r="AM304" s="93"/>
      <c r="AN304" s="33"/>
      <c r="AO304" s="20"/>
      <c r="AP304" s="20"/>
      <c r="AQ304" s="21">
        <f t="shared" si="104"/>
        <v>0</v>
      </c>
      <c r="AR304" s="13"/>
      <c r="AS304" s="13"/>
      <c r="AT304" s="13"/>
      <c r="AU304" s="13"/>
      <c r="AV304" s="14"/>
      <c r="AW304" s="60"/>
      <c r="AX304" s="32"/>
      <c r="AY304" s="93"/>
      <c r="AZ304" s="33"/>
      <c r="BA304" s="20"/>
      <c r="BB304" s="20"/>
      <c r="BC304" s="21">
        <f t="shared" si="105"/>
        <v>0</v>
      </c>
      <c r="BD304" s="13"/>
      <c r="BE304" s="13"/>
      <c r="BF304" s="13"/>
      <c r="BG304" s="13"/>
      <c r="BH304" s="14"/>
      <c r="BI304" s="60"/>
      <c r="BJ304" s="32"/>
      <c r="BK304" s="93"/>
      <c r="BL304" s="33"/>
      <c r="BM304" s="20"/>
      <c r="BN304" s="20"/>
      <c r="BO304" s="21">
        <f t="shared" si="106"/>
        <v>0</v>
      </c>
      <c r="BP304" s="13"/>
      <c r="BQ304" s="13"/>
      <c r="BR304" s="13"/>
      <c r="BS304" s="13"/>
      <c r="BT304" s="14"/>
      <c r="BU304" s="110"/>
      <c r="BV304" s="107"/>
      <c r="BW304" s="107"/>
      <c r="BX304" s="107"/>
      <c r="BY304" s="107"/>
      <c r="BZ304" s="107"/>
      <c r="CA304" s="111"/>
      <c r="CB304" s="107"/>
      <c r="CC304" s="107"/>
      <c r="CD304" s="107"/>
      <c r="CE304" s="107"/>
      <c r="CF304" s="107"/>
      <c r="CG304" s="107"/>
      <c r="CH304" s="107"/>
      <c r="CI304" s="107"/>
      <c r="CJ304" s="107"/>
    </row>
    <row r="305">
      <c r="A305" s="15"/>
      <c r="B305" s="35"/>
      <c r="C305" s="17"/>
      <c r="D305" s="18"/>
      <c r="E305" s="20"/>
      <c r="F305" s="20"/>
      <c r="G305" s="21">
        <f t="shared" si="101"/>
        <v>0</v>
      </c>
      <c r="H305" s="13"/>
      <c r="I305" s="13"/>
      <c r="J305" s="13"/>
      <c r="K305" s="13"/>
      <c r="L305" s="14"/>
      <c r="M305" s="60"/>
      <c r="N305" s="37"/>
      <c r="O305" s="25"/>
      <c r="P305" s="33"/>
      <c r="Q305" s="20"/>
      <c r="R305" s="20"/>
      <c r="S305" s="21">
        <f t="shared" si="102"/>
        <v>0</v>
      </c>
      <c r="T305" s="13"/>
      <c r="U305" s="13"/>
      <c r="V305" s="13"/>
      <c r="W305" s="13"/>
      <c r="X305" s="14"/>
      <c r="Y305" s="60"/>
      <c r="Z305" s="32"/>
      <c r="AA305" s="25"/>
      <c r="AB305" s="33"/>
      <c r="AC305" s="20"/>
      <c r="AD305" s="20"/>
      <c r="AE305" s="21">
        <f t="shared" si="103"/>
        <v>0</v>
      </c>
      <c r="AF305" s="13"/>
      <c r="AG305" s="13"/>
      <c r="AH305" s="13"/>
      <c r="AI305" s="13"/>
      <c r="AJ305" s="14"/>
      <c r="AK305" s="15"/>
      <c r="AL305" s="32"/>
      <c r="AM305" s="25"/>
      <c r="AN305" s="33"/>
      <c r="AO305" s="20"/>
      <c r="AP305" s="20"/>
      <c r="AQ305" s="21">
        <f t="shared" si="104"/>
        <v>0</v>
      </c>
      <c r="AR305" s="13"/>
      <c r="AS305" s="13"/>
      <c r="AT305" s="13"/>
      <c r="AU305" s="13"/>
      <c r="AV305" s="14"/>
      <c r="AW305" s="60"/>
      <c r="AX305" s="32"/>
      <c r="AY305" s="25"/>
      <c r="AZ305" s="33"/>
      <c r="BA305" s="20"/>
      <c r="BB305" s="20"/>
      <c r="BC305" s="21">
        <f t="shared" si="105"/>
        <v>0</v>
      </c>
      <c r="BD305" s="13"/>
      <c r="BE305" s="13"/>
      <c r="BF305" s="13"/>
      <c r="BG305" s="13"/>
      <c r="BH305" s="14"/>
      <c r="BI305" s="60"/>
      <c r="BJ305" s="32"/>
      <c r="BK305" s="25"/>
      <c r="BL305" s="33"/>
      <c r="BM305" s="20"/>
      <c r="BN305" s="20"/>
      <c r="BO305" s="21">
        <f t="shared" si="106"/>
        <v>0</v>
      </c>
      <c r="BP305" s="13"/>
      <c r="BQ305" s="13"/>
      <c r="BR305" s="13"/>
      <c r="BS305" s="13"/>
      <c r="BT305" s="14"/>
      <c r="BU305" s="110"/>
      <c r="BV305" s="107"/>
      <c r="BW305" s="107"/>
      <c r="BX305" s="107"/>
      <c r="BY305" s="107"/>
      <c r="BZ305" s="107"/>
      <c r="CA305" s="111"/>
      <c r="CB305" s="107"/>
      <c r="CC305" s="107"/>
      <c r="CD305" s="107"/>
      <c r="CE305" s="107"/>
      <c r="CF305" s="107"/>
      <c r="CG305" s="107"/>
      <c r="CH305" s="107"/>
      <c r="CI305" s="107"/>
      <c r="CJ305" s="107"/>
    </row>
    <row r="306">
      <c r="A306" s="60"/>
      <c r="B306" s="39"/>
      <c r="C306" s="43"/>
      <c r="D306" s="18"/>
      <c r="E306" s="20"/>
      <c r="F306" s="20"/>
      <c r="G306" s="21">
        <f t="shared" si="101"/>
        <v>0</v>
      </c>
      <c r="H306" s="13"/>
      <c r="I306" s="13"/>
      <c r="J306" s="13"/>
      <c r="K306" s="13">
        <f>H308</f>
        <v>5719225</v>
      </c>
      <c r="L306" s="14"/>
      <c r="M306" s="60"/>
      <c r="N306" s="32"/>
      <c r="O306" s="93"/>
      <c r="P306" s="33"/>
      <c r="Q306" s="20"/>
      <c r="R306" s="20"/>
      <c r="S306" s="21">
        <f t="shared" si="102"/>
        <v>0</v>
      </c>
      <c r="T306" s="13"/>
      <c r="U306" s="13"/>
      <c r="V306" s="13"/>
      <c r="W306" s="13"/>
      <c r="X306" s="14"/>
      <c r="Y306" s="60"/>
      <c r="Z306" s="32"/>
      <c r="AA306" s="25"/>
      <c r="AB306" s="33"/>
      <c r="AC306" s="20"/>
      <c r="AD306" s="20"/>
      <c r="AE306" s="21">
        <f t="shared" si="103"/>
        <v>0</v>
      </c>
      <c r="AF306" s="13"/>
      <c r="AG306" s="13"/>
      <c r="AH306" s="13"/>
      <c r="AI306" s="13"/>
      <c r="AJ306" s="14"/>
      <c r="AK306" s="15"/>
      <c r="AL306" s="32"/>
      <c r="AM306" s="25"/>
      <c r="AN306" s="33"/>
      <c r="AO306" s="20"/>
      <c r="AP306" s="20"/>
      <c r="AQ306" s="21">
        <f t="shared" si="104"/>
        <v>0</v>
      </c>
      <c r="AR306" s="13"/>
      <c r="AS306" s="13"/>
      <c r="AT306" s="13"/>
      <c r="AU306" s="13"/>
      <c r="AV306" s="14"/>
      <c r="AW306" s="60"/>
      <c r="AX306" s="32"/>
      <c r="AY306" s="25"/>
      <c r="AZ306" s="33"/>
      <c r="BA306" s="20"/>
      <c r="BB306" s="20"/>
      <c r="BC306" s="21">
        <f t="shared" si="105"/>
        <v>0</v>
      </c>
      <c r="BD306" s="13"/>
      <c r="BE306" s="13"/>
      <c r="BF306" s="13"/>
      <c r="BG306" s="13"/>
      <c r="BH306" s="14"/>
      <c r="BI306" s="60"/>
      <c r="BJ306" s="32"/>
      <c r="BK306" s="25"/>
      <c r="BL306" s="33"/>
      <c r="BM306" s="20"/>
      <c r="BN306" s="20"/>
      <c r="BO306" s="21">
        <f t="shared" si="106"/>
        <v>0</v>
      </c>
      <c r="BP306" s="13"/>
      <c r="BQ306" s="13"/>
      <c r="BR306" s="13"/>
      <c r="BS306" s="13"/>
      <c r="BT306" s="14"/>
      <c r="BU306" s="110"/>
      <c r="BV306" s="107"/>
      <c r="BW306" s="107"/>
      <c r="BX306" s="107"/>
      <c r="BY306" s="107"/>
      <c r="BZ306" s="107"/>
      <c r="CA306" s="111"/>
      <c r="CB306" s="107"/>
      <c r="CC306" s="107"/>
      <c r="CD306" s="107"/>
      <c r="CE306" s="107"/>
      <c r="CF306" s="107"/>
      <c r="CG306" s="107"/>
      <c r="CH306" s="107"/>
      <c r="CI306" s="107"/>
      <c r="CJ306" s="107"/>
    </row>
    <row r="307">
      <c r="A307" s="60"/>
      <c r="B307" s="35"/>
      <c r="C307" s="17"/>
      <c r="D307" s="18"/>
      <c r="E307" s="20"/>
      <c r="F307" s="20"/>
      <c r="G307" s="21">
        <f t="shared" si="101"/>
        <v>0</v>
      </c>
      <c r="H307" s="94" t="s">
        <v>13</v>
      </c>
      <c r="I307" s="86" t="s">
        <v>57</v>
      </c>
      <c r="J307" s="86" t="s">
        <v>57</v>
      </c>
      <c r="K307" s="86" t="s">
        <v>65</v>
      </c>
      <c r="L307" s="95"/>
      <c r="M307" s="60"/>
      <c r="N307" s="32"/>
      <c r="O307" s="25"/>
      <c r="P307" s="33"/>
      <c r="Q307" s="20"/>
      <c r="R307" s="20"/>
      <c r="S307" s="21">
        <f t="shared" si="102"/>
        <v>0</v>
      </c>
      <c r="T307" s="13"/>
      <c r="U307" s="13"/>
      <c r="V307" s="13"/>
      <c r="W307" s="13"/>
      <c r="X307" s="14"/>
      <c r="Y307" s="38"/>
      <c r="Z307" s="32"/>
      <c r="AA307" s="25"/>
      <c r="AB307" s="33"/>
      <c r="AC307" s="20"/>
      <c r="AD307" s="20"/>
      <c r="AE307" s="21">
        <f t="shared" si="103"/>
        <v>0</v>
      </c>
      <c r="AF307" s="13"/>
      <c r="AG307" s="13"/>
      <c r="AH307" s="13"/>
      <c r="AI307" s="13"/>
      <c r="AJ307" s="14"/>
      <c r="AK307" s="15"/>
      <c r="AL307" s="32"/>
      <c r="AM307" s="25"/>
      <c r="AN307" s="33"/>
      <c r="AO307" s="20"/>
      <c r="AP307" s="20"/>
      <c r="AQ307" s="21">
        <f t="shared" si="104"/>
        <v>0</v>
      </c>
      <c r="AR307" s="13"/>
      <c r="AS307" s="13"/>
      <c r="AT307" s="13"/>
      <c r="AU307" s="13"/>
      <c r="AV307" s="14"/>
      <c r="AW307" s="38"/>
      <c r="AX307" s="32"/>
      <c r="AY307" s="25"/>
      <c r="AZ307" s="33"/>
      <c r="BA307" s="20"/>
      <c r="BB307" s="20"/>
      <c r="BC307" s="21">
        <f t="shared" si="105"/>
        <v>0</v>
      </c>
      <c r="BD307" s="13"/>
      <c r="BE307" s="13"/>
      <c r="BF307" s="13"/>
      <c r="BG307" s="13"/>
      <c r="BH307" s="14"/>
      <c r="BI307" s="38"/>
      <c r="BJ307" s="32"/>
      <c r="BK307" s="25"/>
      <c r="BL307" s="33"/>
      <c r="BM307" s="20"/>
      <c r="BN307" s="20"/>
      <c r="BO307" s="21">
        <f t="shared" si="106"/>
        <v>0</v>
      </c>
      <c r="BP307" s="13"/>
      <c r="BQ307" s="13"/>
      <c r="BR307" s="13"/>
      <c r="BS307" s="13"/>
      <c r="BT307" s="14"/>
      <c r="BU307" s="110"/>
      <c r="BV307" s="107"/>
      <c r="BW307" s="107"/>
      <c r="BX307" s="107"/>
      <c r="BY307" s="107"/>
      <c r="BZ307" s="107"/>
      <c r="CA307" s="111"/>
      <c r="CB307" s="107"/>
      <c r="CC307" s="107"/>
      <c r="CD307" s="107"/>
      <c r="CE307" s="107"/>
      <c r="CF307" s="107"/>
      <c r="CG307" s="107"/>
      <c r="CH307" s="107"/>
      <c r="CI307" s="107"/>
      <c r="CJ307" s="107"/>
    </row>
    <row r="308">
      <c r="A308" s="60"/>
      <c r="B308" s="16"/>
      <c r="C308" s="17"/>
      <c r="D308" s="42"/>
      <c r="E308" s="30"/>
      <c r="F308" s="30"/>
      <c r="G308" s="21">
        <f t="shared" si="101"/>
        <v>0</v>
      </c>
      <c r="H308" s="95">
        <f>AG301+I301+U301+AS301+BE301+BQ301+CC301</f>
        <v>5719225</v>
      </c>
      <c r="I308" s="102" t="s">
        <v>52</v>
      </c>
      <c r="J308" s="102" t="s">
        <v>44</v>
      </c>
      <c r="K308" s="102" t="s">
        <v>52</v>
      </c>
      <c r="L308" s="102" t="s">
        <v>44</v>
      </c>
      <c r="M308" s="60"/>
      <c r="N308" s="37"/>
      <c r="O308" s="25"/>
      <c r="P308" s="41"/>
      <c r="Q308" s="20"/>
      <c r="R308" s="20"/>
      <c r="S308" s="21">
        <f t="shared" si="102"/>
        <v>0</v>
      </c>
      <c r="T308" s="67" t="s">
        <v>76</v>
      </c>
      <c r="U308" s="67">
        <v>1500.0</v>
      </c>
      <c r="V308" s="67">
        <v>37500.0</v>
      </c>
      <c r="W308" s="13"/>
      <c r="X308" s="14"/>
      <c r="Y308" s="38"/>
      <c r="Z308" s="37"/>
      <c r="AA308" s="25"/>
      <c r="AB308" s="41"/>
      <c r="AC308" s="20"/>
      <c r="AD308" s="20"/>
      <c r="AE308" s="21">
        <f t="shared" si="103"/>
        <v>0</v>
      </c>
      <c r="AF308" s="13"/>
      <c r="AG308" s="13"/>
      <c r="AH308" s="13"/>
      <c r="AI308" s="13"/>
      <c r="AJ308" s="14"/>
      <c r="AK308" s="15"/>
      <c r="AL308" s="37"/>
      <c r="AM308" s="25"/>
      <c r="AN308" s="41"/>
      <c r="AO308" s="20"/>
      <c r="AP308" s="20"/>
      <c r="AQ308" s="21">
        <f t="shared" si="104"/>
        <v>0</v>
      </c>
      <c r="AR308" s="13"/>
      <c r="AS308" s="13"/>
      <c r="AT308" s="13"/>
      <c r="AU308" s="13"/>
      <c r="AV308" s="14"/>
      <c r="AW308" s="38"/>
      <c r="AX308" s="37"/>
      <c r="AY308" s="25"/>
      <c r="AZ308" s="41"/>
      <c r="BA308" s="20"/>
      <c r="BB308" s="20"/>
      <c r="BC308" s="21">
        <f t="shared" si="105"/>
        <v>0</v>
      </c>
      <c r="BD308" s="13"/>
      <c r="BE308" s="13"/>
      <c r="BF308" s="13"/>
      <c r="BG308" s="13"/>
      <c r="BH308" s="14"/>
      <c r="BI308" s="38"/>
      <c r="BJ308" s="37"/>
      <c r="BK308" s="25"/>
      <c r="BL308" s="41"/>
      <c r="BM308" s="20"/>
      <c r="BN308" s="20"/>
      <c r="BO308" s="21">
        <f t="shared" si="106"/>
        <v>0</v>
      </c>
      <c r="BP308" s="13"/>
      <c r="BQ308" s="13"/>
      <c r="BR308" s="13"/>
      <c r="BS308" s="13"/>
      <c r="BT308" s="14"/>
      <c r="BU308" s="107"/>
      <c r="BV308" s="107"/>
      <c r="BW308" s="107"/>
      <c r="BX308" s="107"/>
      <c r="BY308" s="107"/>
      <c r="BZ308" s="107"/>
      <c r="CA308" s="111"/>
      <c r="CB308" s="107"/>
      <c r="CC308" s="107"/>
      <c r="CD308" s="107"/>
      <c r="CE308" s="107"/>
      <c r="CF308" s="107"/>
      <c r="CG308" s="107"/>
      <c r="CH308" s="107"/>
      <c r="CI308" s="107"/>
      <c r="CJ308" s="107"/>
    </row>
    <row r="309">
      <c r="A309" s="60"/>
      <c r="B309" s="35"/>
      <c r="C309" s="17"/>
      <c r="D309" s="18"/>
      <c r="E309" s="20"/>
      <c r="F309" s="20"/>
      <c r="G309" s="21">
        <f t="shared" si="101"/>
        <v>0</v>
      </c>
      <c r="H309" s="95"/>
      <c r="I309" s="115">
        <f>SUM(H308)-(H308*99%)</f>
        <v>57192.25</v>
      </c>
      <c r="J309" s="87">
        <f>SUM(H308)-(H308*98.5%)</f>
        <v>85788.375</v>
      </c>
      <c r="K309" s="87">
        <f>SUM(K306)-(K306*99%)</f>
        <v>57192.25</v>
      </c>
      <c r="L309" s="87">
        <f>SUM(K306)-(K306*98.5%)</f>
        <v>85788.375</v>
      </c>
      <c r="M309" s="60"/>
      <c r="N309" s="24"/>
      <c r="O309" s="25"/>
      <c r="P309" s="41"/>
      <c r="Q309" s="30"/>
      <c r="R309" s="30"/>
      <c r="S309" s="21">
        <f t="shared" si="102"/>
        <v>0</v>
      </c>
      <c r="T309" s="13"/>
      <c r="U309" s="13"/>
      <c r="V309" s="13"/>
      <c r="W309" s="13"/>
      <c r="X309" s="14"/>
      <c r="Y309" s="38"/>
      <c r="Z309" s="24"/>
      <c r="AA309" s="25"/>
      <c r="AB309" s="41"/>
      <c r="AC309" s="30"/>
      <c r="AD309" s="30"/>
      <c r="AE309" s="21">
        <f t="shared" si="103"/>
        <v>0</v>
      </c>
      <c r="AF309" s="13"/>
      <c r="AG309" s="13"/>
      <c r="AH309" s="13"/>
      <c r="AI309" s="13"/>
      <c r="AJ309" s="14"/>
      <c r="AK309" s="38"/>
      <c r="AL309" s="24"/>
      <c r="AM309" s="25"/>
      <c r="AN309" s="41"/>
      <c r="AO309" s="30"/>
      <c r="AP309" s="30"/>
      <c r="AQ309" s="21">
        <f t="shared" si="104"/>
        <v>0</v>
      </c>
      <c r="AR309" s="13"/>
      <c r="AS309" s="13"/>
      <c r="AT309" s="13"/>
      <c r="AU309" s="13"/>
      <c r="AV309" s="14"/>
      <c r="AW309" s="38"/>
      <c r="AX309" s="24"/>
      <c r="AY309" s="25"/>
      <c r="AZ309" s="41"/>
      <c r="BA309" s="30"/>
      <c r="BB309" s="30"/>
      <c r="BC309" s="21">
        <f t="shared" si="105"/>
        <v>0</v>
      </c>
      <c r="BD309" s="67"/>
      <c r="BE309" s="67"/>
      <c r="BF309" s="13"/>
      <c r="BG309" s="13"/>
      <c r="BH309" s="14"/>
      <c r="BI309" s="38"/>
      <c r="BJ309" s="24"/>
      <c r="BK309" s="25"/>
      <c r="BL309" s="41"/>
      <c r="BM309" s="30"/>
      <c r="BN309" s="30"/>
      <c r="BO309" s="21">
        <f t="shared" si="106"/>
        <v>0</v>
      </c>
      <c r="BP309" s="13"/>
      <c r="BQ309" s="13"/>
      <c r="BR309" s="13"/>
      <c r="BS309" s="13"/>
      <c r="BT309" s="14"/>
      <c r="BU309" s="107"/>
      <c r="BV309" s="107"/>
      <c r="BW309" s="107"/>
      <c r="BX309" s="107"/>
      <c r="BY309" s="107"/>
      <c r="BZ309" s="107"/>
      <c r="CA309" s="111"/>
      <c r="CB309" s="107"/>
      <c r="CC309" s="107"/>
      <c r="CD309" s="107"/>
      <c r="CE309" s="107"/>
      <c r="CF309" s="107"/>
      <c r="CG309" s="107"/>
      <c r="CH309" s="107"/>
      <c r="CI309" s="107"/>
      <c r="CJ309" s="107"/>
    </row>
    <row r="310">
      <c r="A310" s="60"/>
      <c r="B310" s="24"/>
      <c r="C310" s="25"/>
      <c r="D310" s="41"/>
      <c r="E310" s="46"/>
      <c r="F310" s="46"/>
      <c r="G310" s="21">
        <f t="shared" si="101"/>
        <v>0</v>
      </c>
      <c r="H310" s="95"/>
      <c r="I310" s="86" t="s">
        <v>53</v>
      </c>
      <c r="J310" s="86" t="s">
        <v>36</v>
      </c>
      <c r="K310" s="86" t="s">
        <v>53</v>
      </c>
      <c r="L310" s="86" t="s">
        <v>36</v>
      </c>
      <c r="M310" s="38"/>
      <c r="N310" s="37"/>
      <c r="O310" s="25"/>
      <c r="P310" s="41"/>
      <c r="Q310" s="20"/>
      <c r="R310" s="20"/>
      <c r="S310" s="21">
        <f t="shared" si="102"/>
        <v>0</v>
      </c>
      <c r="T310" s="13"/>
      <c r="U310" s="13"/>
      <c r="V310" s="13"/>
      <c r="W310" s="13"/>
      <c r="X310" s="14"/>
      <c r="Y310" s="38"/>
      <c r="Z310" s="37"/>
      <c r="AA310" s="25"/>
      <c r="AB310" s="41"/>
      <c r="AC310" s="20"/>
      <c r="AD310" s="20"/>
      <c r="AE310" s="21">
        <f t="shared" si="103"/>
        <v>0</v>
      </c>
      <c r="AF310" s="13"/>
      <c r="AG310" s="13"/>
      <c r="AH310" s="13"/>
      <c r="AI310" s="13"/>
      <c r="AJ310" s="14"/>
      <c r="AK310" s="38"/>
      <c r="AL310" s="37"/>
      <c r="AM310" s="25"/>
      <c r="AN310" s="41"/>
      <c r="AO310" s="20"/>
      <c r="AP310" s="20"/>
      <c r="AQ310" s="21">
        <f t="shared" si="104"/>
        <v>0</v>
      </c>
      <c r="AR310" s="13"/>
      <c r="AS310" s="13"/>
      <c r="AT310" s="13"/>
      <c r="AU310" s="13"/>
      <c r="AV310" s="14"/>
      <c r="AW310" s="38"/>
      <c r="AX310" s="37"/>
      <c r="AY310" s="25"/>
      <c r="AZ310" s="41"/>
      <c r="BA310" s="20"/>
      <c r="BB310" s="20"/>
      <c r="BC310" s="21">
        <f t="shared" si="105"/>
        <v>0</v>
      </c>
      <c r="BD310" s="13"/>
      <c r="BE310" s="13"/>
      <c r="BF310" s="13"/>
      <c r="BG310" s="13"/>
      <c r="BH310" s="14"/>
      <c r="BI310" s="38"/>
      <c r="BJ310" s="37"/>
      <c r="BK310" s="25"/>
      <c r="BL310" s="41"/>
      <c r="BM310" s="20"/>
      <c r="BN310" s="20"/>
      <c r="BO310" s="21">
        <f t="shared" si="106"/>
        <v>0</v>
      </c>
      <c r="BP310" s="13"/>
      <c r="BQ310" s="13"/>
      <c r="BR310" s="13"/>
      <c r="BS310" s="13"/>
      <c r="BT310" s="14"/>
      <c r="BU310" s="107"/>
      <c r="BV310" s="107"/>
      <c r="BW310" s="107"/>
      <c r="BX310" s="107"/>
      <c r="BY310" s="107"/>
      <c r="BZ310" s="107"/>
      <c r="CA310" s="111"/>
      <c r="CB310" s="107"/>
      <c r="CC310" s="107"/>
      <c r="CD310" s="107"/>
      <c r="CE310" s="107"/>
      <c r="CF310" s="107"/>
      <c r="CG310" s="107"/>
      <c r="CH310" s="107"/>
      <c r="CI310" s="107"/>
      <c r="CJ310" s="107"/>
    </row>
    <row r="311">
      <c r="A311" s="60"/>
      <c r="B311" s="47"/>
      <c r="C311" s="25"/>
      <c r="D311" s="33"/>
      <c r="E311" s="46"/>
      <c r="F311" s="46"/>
      <c r="G311" s="21">
        <f t="shared" si="101"/>
        <v>0</v>
      </c>
      <c r="H311" s="94" t="s">
        <v>12</v>
      </c>
      <c r="I311" s="87">
        <f t="shared" ref="I311:L311" si="113">SUM(I309)-(I309*10%)</f>
        <v>51473.025</v>
      </c>
      <c r="J311" s="87">
        <f t="shared" si="113"/>
        <v>77209.5375</v>
      </c>
      <c r="K311" s="87">
        <f t="shared" si="113"/>
        <v>51473.025</v>
      </c>
      <c r="L311" s="87">
        <f t="shared" si="113"/>
        <v>77209.5375</v>
      </c>
      <c r="M311" s="38"/>
      <c r="N311" s="24"/>
      <c r="O311" s="25"/>
      <c r="P311" s="41"/>
      <c r="Q311" s="46"/>
      <c r="R311" s="46"/>
      <c r="S311" s="21">
        <f t="shared" si="102"/>
        <v>0</v>
      </c>
      <c r="T311" s="13"/>
      <c r="U311" s="13"/>
      <c r="V311" s="13"/>
      <c r="W311" s="13"/>
      <c r="X311" s="14"/>
      <c r="Y311" s="38"/>
      <c r="Z311" s="24"/>
      <c r="AA311" s="25"/>
      <c r="AB311" s="41"/>
      <c r="AC311" s="46"/>
      <c r="AD311" s="46"/>
      <c r="AE311" s="21">
        <f t="shared" si="103"/>
        <v>0</v>
      </c>
      <c r="AF311" s="13"/>
      <c r="AG311" s="13"/>
      <c r="AH311" s="13"/>
      <c r="AI311" s="13"/>
      <c r="AJ311" s="14"/>
      <c r="AK311" s="38"/>
      <c r="AL311" s="24"/>
      <c r="AM311" s="25"/>
      <c r="AN311" s="41"/>
      <c r="AO311" s="46"/>
      <c r="AP311" s="46"/>
      <c r="AQ311" s="21">
        <f t="shared" si="104"/>
        <v>0</v>
      </c>
      <c r="AR311" s="13"/>
      <c r="AS311" s="13"/>
      <c r="AT311" s="13"/>
      <c r="AU311" s="13"/>
      <c r="AV311" s="14"/>
      <c r="AW311" s="38"/>
      <c r="AX311" s="24"/>
      <c r="AY311" s="25"/>
      <c r="AZ311" s="41"/>
      <c r="BA311" s="46"/>
      <c r="BB311" s="46"/>
      <c r="BC311" s="21">
        <f t="shared" si="105"/>
        <v>0</v>
      </c>
      <c r="BD311" s="13"/>
      <c r="BE311" s="13"/>
      <c r="BF311" s="13"/>
      <c r="BG311" s="13"/>
      <c r="BH311" s="14"/>
      <c r="BI311" s="38"/>
      <c r="BJ311" s="24"/>
      <c r="BK311" s="25"/>
      <c r="BL311" s="41"/>
      <c r="BM311" s="46"/>
      <c r="BN311" s="46"/>
      <c r="BO311" s="21">
        <f t="shared" si="106"/>
        <v>0</v>
      </c>
      <c r="BP311" s="13"/>
      <c r="BQ311" s="13"/>
      <c r="BR311" s="13"/>
      <c r="BS311" s="13"/>
      <c r="BT311" s="14"/>
      <c r="BU311" s="107"/>
      <c r="BV311" s="107"/>
      <c r="BW311" s="107"/>
      <c r="BX311" s="107"/>
      <c r="BY311" s="107"/>
      <c r="BZ311" s="107"/>
      <c r="CA311" s="111"/>
      <c r="CB311" s="107"/>
      <c r="CC311" s="107"/>
      <c r="CD311" s="107"/>
      <c r="CE311" s="107"/>
      <c r="CF311" s="107"/>
      <c r="CG311" s="107"/>
      <c r="CH311" s="107"/>
      <c r="CI311" s="107"/>
      <c r="CJ311" s="107"/>
    </row>
    <row r="312">
      <c r="A312" s="105"/>
      <c r="B312" s="47"/>
      <c r="C312" s="25"/>
      <c r="D312" s="33"/>
      <c r="E312" s="46"/>
      <c r="F312" s="46"/>
      <c r="G312" s="21">
        <f t="shared" si="101"/>
        <v>0</v>
      </c>
      <c r="H312" s="95">
        <f>H301+T301+AF301+AR301+BD301+BP301+CB301</f>
        <v>6415000</v>
      </c>
      <c r="I312" s="95"/>
      <c r="J312" s="95"/>
      <c r="K312" s="86" t="s">
        <v>66</v>
      </c>
      <c r="L312" s="95"/>
      <c r="M312" s="38"/>
      <c r="N312" s="47"/>
      <c r="O312" s="25"/>
      <c r="P312" s="41"/>
      <c r="Q312" s="46"/>
      <c r="R312" s="46"/>
      <c r="S312" s="21">
        <f t="shared" si="102"/>
        <v>0</v>
      </c>
      <c r="T312" s="13"/>
      <c r="U312" s="13"/>
      <c r="V312" s="13"/>
      <c r="W312" s="13"/>
      <c r="X312" s="14"/>
      <c r="Y312" s="38"/>
      <c r="Z312" s="47"/>
      <c r="AA312" s="25"/>
      <c r="AB312" s="41"/>
      <c r="AC312" s="46"/>
      <c r="AD312" s="46"/>
      <c r="AE312" s="21">
        <f t="shared" si="103"/>
        <v>0</v>
      </c>
      <c r="AF312" s="13"/>
      <c r="AG312" s="13"/>
      <c r="AH312" s="13"/>
      <c r="AI312" s="13"/>
      <c r="AJ312" s="14"/>
      <c r="AK312" s="38"/>
      <c r="AL312" s="47"/>
      <c r="AM312" s="25"/>
      <c r="AN312" s="41"/>
      <c r="AO312" s="46"/>
      <c r="AP312" s="46"/>
      <c r="AQ312" s="21">
        <f t="shared" si="104"/>
        <v>0</v>
      </c>
      <c r="AR312" s="13"/>
      <c r="AS312" s="13"/>
      <c r="AT312" s="13"/>
      <c r="AU312" s="13"/>
      <c r="AV312" s="14"/>
      <c r="AW312" s="38"/>
      <c r="AX312" s="47"/>
      <c r="AY312" s="25"/>
      <c r="AZ312" s="41"/>
      <c r="BA312" s="46"/>
      <c r="BB312" s="46"/>
      <c r="BC312" s="21">
        <f t="shared" si="105"/>
        <v>0</v>
      </c>
      <c r="BD312" s="13"/>
      <c r="BE312" s="13"/>
      <c r="BF312" s="13"/>
      <c r="BG312" s="13"/>
      <c r="BH312" s="14"/>
      <c r="BI312" s="38"/>
      <c r="BJ312" s="47"/>
      <c r="BK312" s="25"/>
      <c r="BL312" s="41"/>
      <c r="BM312" s="46"/>
      <c r="BN312" s="46"/>
      <c r="BO312" s="21">
        <f t="shared" si="106"/>
        <v>0</v>
      </c>
      <c r="BP312" s="13"/>
      <c r="BQ312" s="13"/>
      <c r="BR312" s="13"/>
      <c r="BS312" s="13"/>
      <c r="BT312" s="14"/>
      <c r="BU312" s="107"/>
      <c r="BV312" s="107"/>
      <c r="BW312" s="107"/>
      <c r="BX312" s="107"/>
      <c r="BY312" s="107"/>
      <c r="BZ312" s="107"/>
      <c r="CA312" s="111"/>
      <c r="CB312" s="107"/>
      <c r="CC312" s="107"/>
      <c r="CD312" s="107"/>
      <c r="CE312" s="107"/>
      <c r="CF312" s="107"/>
      <c r="CG312" s="107"/>
      <c r="CH312" s="107"/>
      <c r="CI312" s="107"/>
      <c r="CJ312" s="107"/>
    </row>
    <row r="313">
      <c r="A313" s="105"/>
      <c r="B313" s="32"/>
      <c r="C313" s="25"/>
      <c r="D313" s="41"/>
      <c r="E313" s="46"/>
      <c r="F313" s="46"/>
      <c r="G313" s="21">
        <f t="shared" si="101"/>
        <v>0</v>
      </c>
      <c r="H313" s="95"/>
      <c r="I313" s="95"/>
      <c r="J313" s="95"/>
      <c r="K313" s="95">
        <f>J303+K311</f>
        <v>100374.075</v>
      </c>
      <c r="L313" s="95"/>
      <c r="M313" s="38"/>
      <c r="N313" s="32"/>
      <c r="O313" s="25"/>
      <c r="P313" s="41"/>
      <c r="Q313" s="46"/>
      <c r="R313" s="46"/>
      <c r="S313" s="21">
        <f t="shared" si="102"/>
        <v>0</v>
      </c>
      <c r="T313" s="13"/>
      <c r="U313" s="13"/>
      <c r="V313" s="13"/>
      <c r="W313" s="13"/>
      <c r="X313" s="14"/>
      <c r="Y313" s="38"/>
      <c r="Z313" s="32"/>
      <c r="AA313" s="25"/>
      <c r="AB313" s="41"/>
      <c r="AC313" s="46"/>
      <c r="AD313" s="46"/>
      <c r="AE313" s="21">
        <f t="shared" si="103"/>
        <v>0</v>
      </c>
      <c r="AF313" s="13"/>
      <c r="AG313" s="13"/>
      <c r="AH313" s="13"/>
      <c r="AI313" s="13"/>
      <c r="AJ313" s="14"/>
      <c r="AK313" s="38"/>
      <c r="AL313" s="32"/>
      <c r="AM313" s="25"/>
      <c r="AN313" s="41"/>
      <c r="AO313" s="46"/>
      <c r="AP313" s="46"/>
      <c r="AQ313" s="21">
        <f t="shared" si="104"/>
        <v>0</v>
      </c>
      <c r="AR313" s="13"/>
      <c r="AS313" s="13"/>
      <c r="AT313" s="13"/>
      <c r="AU313" s="13"/>
      <c r="AV313" s="14"/>
      <c r="AW313" s="38"/>
      <c r="AX313" s="32"/>
      <c r="AY313" s="25"/>
      <c r="AZ313" s="41"/>
      <c r="BA313" s="46"/>
      <c r="BB313" s="46"/>
      <c r="BC313" s="21">
        <f t="shared" si="105"/>
        <v>0</v>
      </c>
      <c r="BD313" s="13"/>
      <c r="BE313" s="13"/>
      <c r="BF313" s="13"/>
      <c r="BG313" s="13"/>
      <c r="BH313" s="14"/>
      <c r="BI313" s="38"/>
      <c r="BJ313" s="32"/>
      <c r="BK313" s="25"/>
      <c r="BL313" s="41"/>
      <c r="BM313" s="46"/>
      <c r="BN313" s="46"/>
      <c r="BO313" s="21">
        <f t="shared" si="106"/>
        <v>0</v>
      </c>
      <c r="BP313" s="13"/>
      <c r="BQ313" s="13"/>
      <c r="BR313" s="13"/>
      <c r="BS313" s="13"/>
      <c r="BT313" s="14"/>
      <c r="BU313" s="107"/>
      <c r="BV313" s="107"/>
      <c r="BW313" s="107"/>
      <c r="BX313" s="107"/>
      <c r="BY313" s="107"/>
      <c r="BZ313" s="107"/>
      <c r="CA313" s="111"/>
      <c r="CB313" s="107"/>
      <c r="CC313" s="107"/>
      <c r="CD313" s="107"/>
      <c r="CE313" s="107"/>
      <c r="CF313" s="107"/>
      <c r="CG313" s="107"/>
      <c r="CH313" s="107"/>
      <c r="CI313" s="107"/>
      <c r="CJ313" s="107"/>
    </row>
    <row r="314">
      <c r="A314" s="105"/>
      <c r="B314" s="47"/>
      <c r="C314" s="25"/>
      <c r="D314" s="41"/>
      <c r="E314" s="46"/>
      <c r="F314" s="46"/>
      <c r="G314" s="21">
        <f t="shared" si="101"/>
        <v>0</v>
      </c>
      <c r="H314" s="13"/>
      <c r="I314" s="13"/>
      <c r="J314" s="13"/>
      <c r="K314" s="13"/>
      <c r="L314" s="14"/>
      <c r="M314" s="38"/>
      <c r="N314" s="47"/>
      <c r="O314" s="25"/>
      <c r="P314" s="41"/>
      <c r="Q314" s="46"/>
      <c r="R314" s="46"/>
      <c r="S314" s="21">
        <f t="shared" si="102"/>
        <v>0</v>
      </c>
      <c r="T314" s="13"/>
      <c r="U314" s="116"/>
      <c r="V314" s="117" t="s">
        <v>78</v>
      </c>
      <c r="W314" s="116"/>
      <c r="X314" s="14"/>
      <c r="Y314" s="38"/>
      <c r="Z314" s="47"/>
      <c r="AA314" s="25"/>
      <c r="AB314" s="41"/>
      <c r="AC314" s="46"/>
      <c r="AD314" s="46"/>
      <c r="AE314" s="21">
        <f t="shared" si="103"/>
        <v>0</v>
      </c>
      <c r="AF314" s="13"/>
      <c r="AG314" s="116"/>
      <c r="AH314" s="117" t="s">
        <v>59</v>
      </c>
      <c r="AI314" s="116"/>
      <c r="AJ314" s="14"/>
      <c r="AK314" s="38"/>
      <c r="AL314" s="47"/>
      <c r="AM314" s="25"/>
      <c r="AN314" s="41"/>
      <c r="AO314" s="46"/>
      <c r="AP314" s="46"/>
      <c r="AQ314" s="21">
        <f t="shared" si="104"/>
        <v>0</v>
      </c>
      <c r="AR314" s="13"/>
      <c r="AS314" s="116"/>
      <c r="AT314" s="117" t="s">
        <v>60</v>
      </c>
      <c r="AU314" s="116"/>
      <c r="AV314" s="14"/>
      <c r="AW314" s="38"/>
      <c r="AX314" s="47"/>
      <c r="AY314" s="25"/>
      <c r="AZ314" s="41"/>
      <c r="BA314" s="46"/>
      <c r="BB314" s="46"/>
      <c r="BC314" s="21">
        <f t="shared" si="105"/>
        <v>0</v>
      </c>
      <c r="BD314" s="13"/>
      <c r="BE314" s="116"/>
      <c r="BF314" s="117"/>
      <c r="BG314" s="116"/>
      <c r="BH314" s="14"/>
      <c r="BI314" s="38"/>
      <c r="BJ314" s="47"/>
      <c r="BK314" s="25"/>
      <c r="BL314" s="41"/>
      <c r="BM314" s="46"/>
      <c r="BN314" s="46"/>
      <c r="BO314" s="21">
        <f t="shared" si="106"/>
        <v>0</v>
      </c>
      <c r="BP314" s="13"/>
      <c r="BQ314" s="116"/>
      <c r="BR314" s="117" t="s">
        <v>59</v>
      </c>
      <c r="BS314" s="116"/>
      <c r="BT314" s="14"/>
      <c r="BU314" s="107"/>
      <c r="BV314" s="107"/>
      <c r="BW314" s="107"/>
      <c r="BX314" s="107"/>
      <c r="BY314" s="107"/>
      <c r="BZ314" s="107"/>
      <c r="CA314" s="111"/>
      <c r="CB314" s="107"/>
      <c r="CC314" s="107"/>
      <c r="CD314" s="107"/>
      <c r="CE314" s="107"/>
      <c r="CF314" s="107"/>
      <c r="CG314" s="107"/>
      <c r="CH314" s="107"/>
      <c r="CI314" s="107"/>
      <c r="CJ314" s="107"/>
    </row>
    <row r="315">
      <c r="A315" s="38"/>
      <c r="B315" s="47"/>
      <c r="C315" s="25"/>
      <c r="D315" s="41"/>
      <c r="E315" s="46"/>
      <c r="F315" s="46"/>
      <c r="G315" s="21">
        <f t="shared" si="101"/>
        <v>0</v>
      </c>
      <c r="H315" s="116"/>
      <c r="I315" s="117" t="s">
        <v>61</v>
      </c>
      <c r="J315" s="116"/>
      <c r="K315" s="13"/>
      <c r="L315" s="14"/>
      <c r="M315" s="38"/>
      <c r="N315" s="47"/>
      <c r="O315" s="25"/>
      <c r="P315" s="41"/>
      <c r="Q315" s="46"/>
      <c r="R315" s="46"/>
      <c r="S315" s="21">
        <f t="shared" si="102"/>
        <v>0</v>
      </c>
      <c r="T315" s="13"/>
      <c r="U315" s="118">
        <v>0.01</v>
      </c>
      <c r="V315" s="118">
        <v>0.01</v>
      </c>
      <c r="W315" s="117" t="s">
        <v>80</v>
      </c>
      <c r="X315" s="14"/>
      <c r="Y315" s="38"/>
      <c r="Z315" s="47"/>
      <c r="AA315" s="25"/>
      <c r="AB315" s="41"/>
      <c r="AC315" s="46"/>
      <c r="AD315" s="46"/>
      <c r="AE315" s="21">
        <f t="shared" si="103"/>
        <v>0</v>
      </c>
      <c r="AF315" s="13"/>
      <c r="AG315" s="118">
        <v>0.02</v>
      </c>
      <c r="AH315" s="118">
        <v>0.04</v>
      </c>
      <c r="AI315" s="118">
        <v>0.06</v>
      </c>
      <c r="AJ315" s="14"/>
      <c r="AK315" s="38"/>
      <c r="AL315" s="47"/>
      <c r="AM315" s="25"/>
      <c r="AN315" s="41"/>
      <c r="AO315" s="46"/>
      <c r="AP315" s="46"/>
      <c r="AQ315" s="21">
        <f t="shared" si="104"/>
        <v>0</v>
      </c>
      <c r="AR315" s="13"/>
      <c r="AS315" s="118">
        <v>0.03</v>
      </c>
      <c r="AT315" s="118">
        <v>0.05</v>
      </c>
      <c r="AU315" s="118">
        <v>0.07</v>
      </c>
      <c r="AV315" s="14"/>
      <c r="AW315" s="38"/>
      <c r="AX315" s="47"/>
      <c r="AY315" s="25"/>
      <c r="AZ315" s="41"/>
      <c r="BA315" s="46"/>
      <c r="BB315" s="46"/>
      <c r="BC315" s="21">
        <f t="shared" si="105"/>
        <v>0</v>
      </c>
      <c r="BD315" s="13"/>
      <c r="BE315" s="118"/>
      <c r="BF315" s="118"/>
      <c r="BG315" s="117"/>
      <c r="BH315" s="14"/>
      <c r="BI315" s="38"/>
      <c r="BJ315" s="47"/>
      <c r="BK315" s="25"/>
      <c r="BL315" s="41"/>
      <c r="BM315" s="46"/>
      <c r="BN315" s="46"/>
      <c r="BO315" s="21">
        <f t="shared" si="106"/>
        <v>0</v>
      </c>
      <c r="BP315" s="13"/>
      <c r="BQ315" s="118">
        <v>0.03</v>
      </c>
      <c r="BR315" s="118">
        <v>0.05</v>
      </c>
      <c r="BS315" s="118">
        <v>0.07</v>
      </c>
      <c r="BT315" s="14"/>
      <c r="BU315" s="107"/>
      <c r="BV315" s="107"/>
      <c r="BW315" s="107"/>
      <c r="BX315" s="107"/>
      <c r="BY315" s="107"/>
      <c r="BZ315" s="107"/>
      <c r="CA315" s="111"/>
      <c r="CB315" s="107"/>
      <c r="CC315" s="107"/>
      <c r="CD315" s="107"/>
      <c r="CE315" s="107"/>
      <c r="CF315" s="107"/>
      <c r="CG315" s="107"/>
      <c r="CH315" s="107"/>
      <c r="CI315" s="107"/>
      <c r="CJ315" s="107"/>
    </row>
    <row r="316">
      <c r="A316" s="38"/>
      <c r="B316" s="47"/>
      <c r="C316" s="25"/>
      <c r="D316" s="41"/>
      <c r="E316" s="46"/>
      <c r="F316" s="46"/>
      <c r="G316" s="21">
        <f t="shared" si="101"/>
        <v>0</v>
      </c>
      <c r="H316" s="118">
        <v>0.03</v>
      </c>
      <c r="I316" s="118">
        <v>0.05</v>
      </c>
      <c r="J316" s="118">
        <v>0.07</v>
      </c>
      <c r="K316" s="13"/>
      <c r="L316" s="14"/>
      <c r="M316" s="38"/>
      <c r="N316" s="47"/>
      <c r="O316" s="25"/>
      <c r="P316" s="41"/>
      <c r="Q316" s="46"/>
      <c r="R316" s="46"/>
      <c r="S316" s="21">
        <f t="shared" si="102"/>
        <v>0</v>
      </c>
      <c r="T316" s="13"/>
      <c r="U316" s="117">
        <v>20.0</v>
      </c>
      <c r="V316" s="117">
        <v>30.0</v>
      </c>
      <c r="W316" s="117">
        <v>40.0</v>
      </c>
      <c r="X316" s="14"/>
      <c r="Y316" s="38"/>
      <c r="Z316" s="47"/>
      <c r="AA316" s="25"/>
      <c r="AB316" s="41"/>
      <c r="AC316" s="46"/>
      <c r="AD316" s="46"/>
      <c r="AE316" s="21">
        <f t="shared" si="103"/>
        <v>0</v>
      </c>
      <c r="AF316" s="13"/>
      <c r="AG316" s="117">
        <v>5.0</v>
      </c>
      <c r="AH316" s="117">
        <v>10.0</v>
      </c>
      <c r="AI316" s="117">
        <v>15.0</v>
      </c>
      <c r="AJ316" s="14"/>
      <c r="AK316" s="38"/>
      <c r="AL316" s="47"/>
      <c r="AM316" s="25"/>
      <c r="AN316" s="41"/>
      <c r="AO316" s="46"/>
      <c r="AP316" s="46"/>
      <c r="AQ316" s="21">
        <f t="shared" si="104"/>
        <v>0</v>
      </c>
      <c r="AR316" s="13"/>
      <c r="AS316" s="117">
        <v>5.0</v>
      </c>
      <c r="AT316" s="117">
        <v>10.0</v>
      </c>
      <c r="AU316" s="117">
        <v>15.0</v>
      </c>
      <c r="AV316" s="14"/>
      <c r="AW316" s="38"/>
      <c r="AX316" s="47"/>
      <c r="AY316" s="25"/>
      <c r="AZ316" s="41"/>
      <c r="BA316" s="46"/>
      <c r="BB316" s="46"/>
      <c r="BC316" s="21">
        <f t="shared" si="105"/>
        <v>0</v>
      </c>
      <c r="BD316" s="13"/>
      <c r="BE316" s="117"/>
      <c r="BF316" s="117"/>
      <c r="BG316" s="117"/>
      <c r="BH316" s="14"/>
      <c r="BI316" s="38"/>
      <c r="BJ316" s="47"/>
      <c r="BK316" s="25"/>
      <c r="BL316" s="41"/>
      <c r="BM316" s="46"/>
      <c r="BN316" s="46"/>
      <c r="BO316" s="21">
        <f t="shared" si="106"/>
        <v>0</v>
      </c>
      <c r="BP316" s="13"/>
      <c r="BQ316" s="117">
        <v>4.0</v>
      </c>
      <c r="BR316" s="117">
        <v>7.0</v>
      </c>
      <c r="BS316" s="117">
        <v>10.0</v>
      </c>
      <c r="BT316" s="14"/>
      <c r="BU316" s="107"/>
      <c r="BV316" s="107"/>
      <c r="BW316" s="107"/>
      <c r="BX316" s="107"/>
      <c r="BY316" s="107"/>
      <c r="BZ316" s="107"/>
      <c r="CA316" s="111"/>
      <c r="CB316" s="107"/>
      <c r="CC316" s="107"/>
      <c r="CD316" s="107"/>
      <c r="CE316" s="107"/>
      <c r="CF316" s="107"/>
      <c r="CG316" s="107"/>
      <c r="CH316" s="107"/>
      <c r="CI316" s="107"/>
      <c r="CJ316" s="107"/>
    </row>
    <row r="317">
      <c r="A317" s="38"/>
      <c r="B317" s="32"/>
      <c r="C317" s="25"/>
      <c r="D317" s="41"/>
      <c r="E317" s="49"/>
      <c r="F317" s="49"/>
      <c r="G317" s="21">
        <f t="shared" si="101"/>
        <v>0</v>
      </c>
      <c r="H317" s="117">
        <v>5.0</v>
      </c>
      <c r="I317" s="117">
        <v>10.0</v>
      </c>
      <c r="J317" s="117">
        <v>15.0</v>
      </c>
      <c r="K317" s="13"/>
      <c r="L317" s="14"/>
      <c r="M317" s="38"/>
      <c r="N317" s="32"/>
      <c r="O317" s="25"/>
      <c r="P317" s="41"/>
      <c r="Q317" s="49"/>
      <c r="R317" s="49"/>
      <c r="S317" s="21">
        <f t="shared" si="102"/>
        <v>0</v>
      </c>
      <c r="T317" s="13"/>
      <c r="U317" s="13"/>
      <c r="V317" s="13"/>
      <c r="W317" s="13"/>
      <c r="X317" s="14"/>
      <c r="Y317" s="38"/>
      <c r="Z317" s="32"/>
      <c r="AA317" s="25"/>
      <c r="AB317" s="41"/>
      <c r="AC317" s="49"/>
      <c r="AD317" s="49"/>
      <c r="AE317" s="21">
        <f t="shared" si="103"/>
        <v>0</v>
      </c>
      <c r="AF317" s="13"/>
      <c r="AG317" s="13"/>
      <c r="AH317" s="13"/>
      <c r="AI317" s="13"/>
      <c r="AJ317" s="14"/>
      <c r="AK317" s="38"/>
      <c r="AL317" s="32"/>
      <c r="AM317" s="25"/>
      <c r="AN317" s="41"/>
      <c r="AO317" s="49"/>
      <c r="AP317" s="49"/>
      <c r="AQ317" s="21">
        <f t="shared" si="104"/>
        <v>0</v>
      </c>
      <c r="AR317" s="13"/>
      <c r="AS317" s="13"/>
      <c r="AT317" s="13"/>
      <c r="AU317" s="13"/>
      <c r="AV317" s="14"/>
      <c r="AW317" s="38"/>
      <c r="AX317" s="32"/>
      <c r="AY317" s="25"/>
      <c r="AZ317" s="41"/>
      <c r="BA317" s="49"/>
      <c r="BB317" s="49"/>
      <c r="BC317" s="21">
        <f t="shared" si="105"/>
        <v>0</v>
      </c>
      <c r="BD317" s="13"/>
      <c r="BE317" s="13"/>
      <c r="BF317" s="13"/>
      <c r="BG317" s="13"/>
      <c r="BH317" s="14"/>
      <c r="BI317" s="38"/>
      <c r="BJ317" s="32"/>
      <c r="BK317" s="25"/>
      <c r="BL317" s="41"/>
      <c r="BM317" s="49"/>
      <c r="BN317" s="49"/>
      <c r="BO317" s="21">
        <f t="shared" si="106"/>
        <v>0</v>
      </c>
      <c r="BP317" s="13"/>
      <c r="BQ317" s="13"/>
      <c r="BR317" s="13"/>
      <c r="BS317" s="13"/>
      <c r="BT317" s="14"/>
      <c r="BU317" s="107"/>
      <c r="BV317" s="107"/>
      <c r="BW317" s="107"/>
      <c r="BX317" s="107"/>
      <c r="BY317" s="107"/>
      <c r="BZ317" s="107"/>
      <c r="CA317" s="111"/>
      <c r="CB317" s="107"/>
      <c r="CC317" s="107"/>
      <c r="CD317" s="107"/>
      <c r="CE317" s="107"/>
      <c r="CF317" s="107"/>
      <c r="CG317" s="107"/>
      <c r="CH317" s="107"/>
      <c r="CI317" s="107"/>
      <c r="CJ317" s="107"/>
    </row>
    <row r="318">
      <c r="A318" s="38"/>
      <c r="B318" s="32"/>
      <c r="C318" s="25"/>
      <c r="D318" s="41"/>
      <c r="E318" s="49"/>
      <c r="F318" s="49"/>
      <c r="G318" s="21">
        <f t="shared" si="101"/>
        <v>0</v>
      </c>
      <c r="H318" s="13"/>
      <c r="I318" s="13"/>
      <c r="J318" s="13"/>
      <c r="K318" s="13"/>
      <c r="L318" s="14"/>
      <c r="M318" s="38"/>
      <c r="N318" s="32"/>
      <c r="O318" s="25"/>
      <c r="P318" s="41"/>
      <c r="Q318" s="49"/>
      <c r="R318" s="49"/>
      <c r="S318" s="21">
        <f t="shared" si="102"/>
        <v>0</v>
      </c>
      <c r="T318" s="13"/>
      <c r="U318" s="13"/>
      <c r="V318" s="13"/>
      <c r="W318" s="13"/>
      <c r="X318" s="14"/>
      <c r="Y318" s="38"/>
      <c r="Z318" s="32"/>
      <c r="AA318" s="25"/>
      <c r="AB318" s="41"/>
      <c r="AC318" s="49"/>
      <c r="AD318" s="49"/>
      <c r="AE318" s="21">
        <f t="shared" si="103"/>
        <v>0</v>
      </c>
      <c r="AF318" s="13"/>
      <c r="AG318" s="13"/>
      <c r="AH318" s="13"/>
      <c r="AI318" s="13"/>
      <c r="AJ318" s="14"/>
      <c r="AK318" s="38"/>
      <c r="AL318" s="32"/>
      <c r="AM318" s="25"/>
      <c r="AN318" s="41"/>
      <c r="AO318" s="49"/>
      <c r="AP318" s="49"/>
      <c r="AQ318" s="21">
        <f t="shared" si="104"/>
        <v>0</v>
      </c>
      <c r="AR318" s="13"/>
      <c r="AS318" s="13"/>
      <c r="AT318" s="13"/>
      <c r="AU318" s="13"/>
      <c r="AV318" s="14"/>
      <c r="AW318" s="38"/>
      <c r="AX318" s="32"/>
      <c r="AY318" s="25"/>
      <c r="AZ318" s="41"/>
      <c r="BA318" s="49"/>
      <c r="BB318" s="49"/>
      <c r="BC318" s="21">
        <f t="shared" si="105"/>
        <v>0</v>
      </c>
      <c r="BD318" s="13"/>
      <c r="BE318" s="13"/>
      <c r="BF318" s="13"/>
      <c r="BG318" s="13"/>
      <c r="BH318" s="14"/>
      <c r="BI318" s="38"/>
      <c r="BJ318" s="32"/>
      <c r="BK318" s="25"/>
      <c r="BL318" s="41"/>
      <c r="BM318" s="49"/>
      <c r="BN318" s="49"/>
      <c r="BO318" s="21">
        <f t="shared" si="106"/>
        <v>0</v>
      </c>
      <c r="BP318" s="13"/>
      <c r="BQ318" s="13"/>
      <c r="BR318" s="13"/>
      <c r="BS318" s="13"/>
      <c r="BT318" s="14"/>
      <c r="BU318" s="107"/>
      <c r="BV318" s="107"/>
      <c r="BW318" s="107"/>
      <c r="BX318" s="107"/>
      <c r="BY318" s="107"/>
      <c r="BZ318" s="107"/>
      <c r="CA318" s="111"/>
      <c r="CB318" s="107"/>
      <c r="CC318" s="107"/>
      <c r="CD318" s="107"/>
      <c r="CE318" s="107"/>
      <c r="CF318" s="107"/>
      <c r="CG318" s="107"/>
      <c r="CH318" s="107"/>
      <c r="CI318" s="107"/>
      <c r="CJ318" s="107"/>
    </row>
    <row r="319">
      <c r="A319" s="38"/>
      <c r="B319" s="32"/>
      <c r="C319" s="25"/>
      <c r="D319" s="41"/>
      <c r="E319" s="49"/>
      <c r="F319" s="49"/>
      <c r="G319" s="21">
        <f t="shared" si="101"/>
        <v>0</v>
      </c>
      <c r="H319" s="13"/>
      <c r="I319" s="13"/>
      <c r="J319" s="67"/>
      <c r="K319" s="13"/>
      <c r="L319" s="14"/>
      <c r="M319" s="38"/>
      <c r="N319" s="32"/>
      <c r="O319" s="25"/>
      <c r="P319" s="41"/>
      <c r="Q319" s="49"/>
      <c r="R319" s="49"/>
      <c r="S319" s="21">
        <f t="shared" si="102"/>
        <v>0</v>
      </c>
      <c r="T319" s="13"/>
      <c r="U319" s="13"/>
      <c r="V319" s="13"/>
      <c r="W319" s="13"/>
      <c r="X319" s="14"/>
      <c r="Y319" s="38"/>
      <c r="Z319" s="32"/>
      <c r="AA319" s="25"/>
      <c r="AB319" s="41"/>
      <c r="AC319" s="49"/>
      <c r="AD319" s="49"/>
      <c r="AE319" s="21">
        <f t="shared" si="103"/>
        <v>0</v>
      </c>
      <c r="AF319" s="13"/>
      <c r="AG319" s="13"/>
      <c r="AH319" s="13"/>
      <c r="AI319" s="13"/>
      <c r="AJ319" s="14"/>
      <c r="AK319" s="38"/>
      <c r="AL319" s="32"/>
      <c r="AM319" s="25"/>
      <c r="AN319" s="41"/>
      <c r="AO319" s="49"/>
      <c r="AP319" s="49"/>
      <c r="AQ319" s="21">
        <f t="shared" si="104"/>
        <v>0</v>
      </c>
      <c r="AR319" s="13"/>
      <c r="AS319" s="13"/>
      <c r="AT319" s="13"/>
      <c r="AU319" s="13"/>
      <c r="AV319" s="14"/>
      <c r="AW319" s="38"/>
      <c r="AX319" s="32"/>
      <c r="AY319" s="25"/>
      <c r="AZ319" s="41"/>
      <c r="BA319" s="49"/>
      <c r="BB319" s="49"/>
      <c r="BC319" s="21">
        <f t="shared" si="105"/>
        <v>0</v>
      </c>
      <c r="BD319" s="13"/>
      <c r="BE319" s="13"/>
      <c r="BF319" s="13"/>
      <c r="BG319" s="13"/>
      <c r="BH319" s="14"/>
      <c r="BI319" s="38"/>
      <c r="BJ319" s="32"/>
      <c r="BK319" s="25"/>
      <c r="BL319" s="41"/>
      <c r="BM319" s="49"/>
      <c r="BN319" s="49"/>
      <c r="BO319" s="21">
        <f t="shared" si="106"/>
        <v>0</v>
      </c>
      <c r="BP319" s="13"/>
      <c r="BQ319" s="13"/>
      <c r="BR319" s="13"/>
      <c r="BS319" s="13"/>
      <c r="BT319" s="14"/>
      <c r="BU319" s="107"/>
      <c r="BV319" s="107"/>
      <c r="BW319" s="107"/>
      <c r="BX319" s="107"/>
      <c r="BY319" s="107"/>
      <c r="BZ319" s="107"/>
      <c r="CA319" s="111"/>
      <c r="CB319" s="107"/>
      <c r="CC319" s="107"/>
      <c r="CD319" s="107"/>
      <c r="CE319" s="107"/>
      <c r="CF319" s="107"/>
      <c r="CG319" s="107"/>
      <c r="CH319" s="107"/>
      <c r="CI319" s="107"/>
      <c r="CJ319" s="107"/>
    </row>
    <row r="320">
      <c r="A320" s="38"/>
      <c r="B320" s="32"/>
      <c r="C320" s="25"/>
      <c r="D320" s="41"/>
      <c r="E320" s="46"/>
      <c r="F320" s="46"/>
      <c r="G320" s="21">
        <f t="shared" si="101"/>
        <v>0</v>
      </c>
      <c r="H320" s="13"/>
      <c r="I320" s="67" t="s">
        <v>73</v>
      </c>
      <c r="J320" s="13"/>
      <c r="K320" s="13"/>
      <c r="L320" s="14"/>
      <c r="M320" s="38"/>
      <c r="N320" s="32"/>
      <c r="O320" s="25"/>
      <c r="P320" s="41"/>
      <c r="Q320" s="46"/>
      <c r="R320" s="46"/>
      <c r="S320" s="21">
        <f t="shared" si="102"/>
        <v>0</v>
      </c>
      <c r="T320" s="13"/>
      <c r="U320" s="13"/>
      <c r="V320" s="13"/>
      <c r="W320" s="13"/>
      <c r="X320" s="14"/>
      <c r="Y320" s="38"/>
      <c r="Z320" s="32"/>
      <c r="AA320" s="25"/>
      <c r="AB320" s="41"/>
      <c r="AC320" s="46"/>
      <c r="AD320" s="46"/>
      <c r="AE320" s="21">
        <f t="shared" si="103"/>
        <v>0</v>
      </c>
      <c r="AF320" s="13"/>
      <c r="AG320" s="13"/>
      <c r="AH320" s="13"/>
      <c r="AI320" s="13"/>
      <c r="AJ320" s="14"/>
      <c r="AK320" s="38"/>
      <c r="AL320" s="32"/>
      <c r="AM320" s="25"/>
      <c r="AN320" s="41"/>
      <c r="AO320" s="46"/>
      <c r="AP320" s="46"/>
      <c r="AQ320" s="21">
        <f t="shared" si="104"/>
        <v>0</v>
      </c>
      <c r="AR320" s="13"/>
      <c r="AS320" s="13"/>
      <c r="AT320" s="13"/>
      <c r="AU320" s="13"/>
      <c r="AV320" s="14"/>
      <c r="AW320" s="38"/>
      <c r="AX320" s="32"/>
      <c r="AY320" s="25"/>
      <c r="AZ320" s="41"/>
      <c r="BA320" s="46"/>
      <c r="BB320" s="46"/>
      <c r="BC320" s="21">
        <f t="shared" si="105"/>
        <v>0</v>
      </c>
      <c r="BD320" s="13"/>
      <c r="BE320" s="13"/>
      <c r="BF320" s="13"/>
      <c r="BG320" s="13"/>
      <c r="BH320" s="14"/>
      <c r="BI320" s="38"/>
      <c r="BJ320" s="32"/>
      <c r="BK320" s="25"/>
      <c r="BL320" s="41"/>
      <c r="BM320" s="46"/>
      <c r="BN320" s="46"/>
      <c r="BO320" s="21">
        <f t="shared" si="106"/>
        <v>0</v>
      </c>
      <c r="BP320" s="13"/>
      <c r="BQ320" s="13"/>
      <c r="BR320" s="13"/>
      <c r="BS320" s="13"/>
      <c r="BT320" s="14"/>
      <c r="BU320" s="107"/>
      <c r="BV320" s="107"/>
      <c r="BW320" s="107"/>
      <c r="BX320" s="107"/>
      <c r="BY320" s="107"/>
      <c r="BZ320" s="107"/>
      <c r="CA320" s="111"/>
      <c r="CB320" s="107"/>
      <c r="CC320" s="107"/>
      <c r="CD320" s="107"/>
      <c r="CE320" s="107"/>
      <c r="CF320" s="107"/>
      <c r="CG320" s="107"/>
      <c r="CH320" s="107"/>
      <c r="CI320" s="107"/>
      <c r="CJ320" s="107"/>
    </row>
    <row r="321">
      <c r="A321" s="38"/>
      <c r="B321" s="47"/>
      <c r="C321" s="25"/>
      <c r="D321" s="41"/>
      <c r="E321" s="49"/>
      <c r="F321" s="49"/>
      <c r="G321" s="21">
        <f t="shared" si="101"/>
        <v>0</v>
      </c>
      <c r="H321" s="13"/>
      <c r="I321" s="142">
        <v>40363.0</v>
      </c>
      <c r="J321" s="13"/>
      <c r="K321" s="13"/>
      <c r="L321" s="14"/>
      <c r="M321" s="38"/>
      <c r="N321" s="47"/>
      <c r="O321" s="25"/>
      <c r="P321" s="41"/>
      <c r="Q321" s="49"/>
      <c r="R321" s="49"/>
      <c r="S321" s="21">
        <f t="shared" si="102"/>
        <v>0</v>
      </c>
      <c r="T321" s="13"/>
      <c r="U321" s="67" t="s">
        <v>81</v>
      </c>
      <c r="V321" s="67" t="s">
        <v>82</v>
      </c>
      <c r="W321" s="13"/>
      <c r="X321" s="14"/>
      <c r="Y321" s="38"/>
      <c r="Z321" s="47"/>
      <c r="AA321" s="25"/>
      <c r="AB321" s="41"/>
      <c r="AC321" s="49"/>
      <c r="AD321" s="49"/>
      <c r="AE321" s="21">
        <f t="shared" si="103"/>
        <v>0</v>
      </c>
      <c r="AF321" s="13"/>
      <c r="AG321" s="13"/>
      <c r="AH321" s="13"/>
      <c r="AI321" s="13"/>
      <c r="AJ321" s="14"/>
      <c r="AK321" s="38"/>
      <c r="AL321" s="47"/>
      <c r="AM321" s="25"/>
      <c r="AN321" s="41"/>
      <c r="AO321" s="49"/>
      <c r="AP321" s="49"/>
      <c r="AQ321" s="21">
        <f t="shared" si="104"/>
        <v>0</v>
      </c>
      <c r="AR321" s="13"/>
      <c r="AS321" s="13"/>
      <c r="AT321" s="13"/>
      <c r="AU321" s="13"/>
      <c r="AV321" s="14"/>
      <c r="AW321" s="38"/>
      <c r="AX321" s="47"/>
      <c r="AY321" s="25"/>
      <c r="AZ321" s="41"/>
      <c r="BA321" s="49"/>
      <c r="BB321" s="49"/>
      <c r="BC321" s="21">
        <f t="shared" si="105"/>
        <v>0</v>
      </c>
      <c r="BD321" s="13"/>
      <c r="BE321" s="13"/>
      <c r="BF321" s="13"/>
      <c r="BG321" s="13"/>
      <c r="BH321" s="14"/>
      <c r="BI321" s="38"/>
      <c r="BJ321" s="47"/>
      <c r="BK321" s="25"/>
      <c r="BL321" s="41"/>
      <c r="BM321" s="49"/>
      <c r="BN321" s="49"/>
      <c r="BO321" s="21">
        <f t="shared" si="106"/>
        <v>0</v>
      </c>
      <c r="BP321" s="13"/>
      <c r="BQ321" s="13"/>
      <c r="BR321" s="13"/>
      <c r="BS321" s="13"/>
      <c r="BT321" s="14"/>
      <c r="BU321" s="107"/>
      <c r="BV321" s="107"/>
      <c r="BW321" s="107"/>
      <c r="BX321" s="107"/>
      <c r="BY321" s="107"/>
      <c r="BZ321" s="107"/>
      <c r="CA321" s="111"/>
      <c r="CB321" s="107"/>
      <c r="CC321" s="107"/>
      <c r="CD321" s="107"/>
      <c r="CE321" s="107"/>
      <c r="CF321" s="107"/>
      <c r="CG321" s="107"/>
      <c r="CH321" s="107"/>
      <c r="CI321" s="107"/>
      <c r="CJ321" s="107"/>
    </row>
    <row r="322">
      <c r="A322" s="38"/>
      <c r="B322" s="32"/>
      <c r="C322" s="25"/>
      <c r="D322" s="41"/>
      <c r="E322" s="49"/>
      <c r="F322" s="49"/>
      <c r="G322" s="21">
        <f t="shared" si="101"/>
        <v>0</v>
      </c>
      <c r="H322" s="13"/>
      <c r="I322" s="67"/>
      <c r="J322" s="13"/>
      <c r="K322" s="13"/>
      <c r="L322" s="14"/>
      <c r="M322" s="38"/>
      <c r="N322" s="32"/>
      <c r="O322" s="25"/>
      <c r="P322" s="41"/>
      <c r="Q322" s="49"/>
      <c r="R322" s="49"/>
      <c r="S322" s="21">
        <f t="shared" si="102"/>
        <v>0</v>
      </c>
      <c r="T322" s="13"/>
      <c r="U322" s="13"/>
      <c r="V322" s="13"/>
      <c r="W322" s="13"/>
      <c r="X322" s="14"/>
      <c r="Y322" s="38"/>
      <c r="Z322" s="32"/>
      <c r="AA322" s="25"/>
      <c r="AB322" s="41"/>
      <c r="AC322" s="49"/>
      <c r="AD322" s="49"/>
      <c r="AE322" s="21">
        <f t="shared" si="103"/>
        <v>0</v>
      </c>
      <c r="AF322" s="13"/>
      <c r="AG322" s="13"/>
      <c r="AH322" s="13"/>
      <c r="AI322" s="13"/>
      <c r="AJ322" s="14"/>
      <c r="AK322" s="38"/>
      <c r="AL322" s="32"/>
      <c r="AM322" s="25"/>
      <c r="AN322" s="41"/>
      <c r="AO322" s="49"/>
      <c r="AP322" s="49"/>
      <c r="AQ322" s="21">
        <f t="shared" si="104"/>
        <v>0</v>
      </c>
      <c r="AR322" s="13"/>
      <c r="AS322" s="13"/>
      <c r="AT322" s="13"/>
      <c r="AU322" s="13"/>
      <c r="AV322" s="14"/>
      <c r="AW322" s="38"/>
      <c r="AX322" s="32"/>
      <c r="AY322" s="25"/>
      <c r="AZ322" s="41"/>
      <c r="BA322" s="49"/>
      <c r="BB322" s="49"/>
      <c r="BC322" s="21">
        <f t="shared" si="105"/>
        <v>0</v>
      </c>
      <c r="BD322" s="13"/>
      <c r="BE322" s="13"/>
      <c r="BF322" s="13"/>
      <c r="BG322" s="13"/>
      <c r="BH322" s="14"/>
      <c r="BI322" s="38"/>
      <c r="BJ322" s="32"/>
      <c r="BK322" s="25"/>
      <c r="BL322" s="41"/>
      <c r="BM322" s="49"/>
      <c r="BN322" s="49"/>
      <c r="BO322" s="21">
        <f t="shared" si="106"/>
        <v>0</v>
      </c>
      <c r="BP322" s="13"/>
      <c r="BQ322" s="13"/>
      <c r="BR322" s="13"/>
      <c r="BS322" s="13"/>
      <c r="BT322" s="14"/>
      <c r="BU322" s="107"/>
      <c r="BV322" s="107"/>
      <c r="BW322" s="107"/>
      <c r="BX322" s="107"/>
      <c r="BY322" s="107"/>
      <c r="BZ322" s="107"/>
      <c r="CA322" s="111"/>
      <c r="CB322" s="107"/>
      <c r="CC322" s="107"/>
      <c r="CD322" s="107"/>
      <c r="CE322" s="107"/>
      <c r="CF322" s="107"/>
      <c r="CG322" s="107"/>
      <c r="CH322" s="107"/>
      <c r="CI322" s="107"/>
      <c r="CJ322" s="107"/>
    </row>
    <row r="323">
      <c r="A323" s="38"/>
      <c r="B323" s="32"/>
      <c r="C323" s="25"/>
      <c r="D323" s="41"/>
      <c r="E323" s="49"/>
      <c r="F323" s="49"/>
      <c r="G323" s="21">
        <f t="shared" si="101"/>
        <v>0</v>
      </c>
      <c r="H323" s="13"/>
      <c r="I323" s="67"/>
      <c r="J323" s="13"/>
      <c r="K323" s="13"/>
      <c r="L323" s="14"/>
      <c r="M323" s="38"/>
      <c r="N323" s="32"/>
      <c r="O323" s="25"/>
      <c r="P323" s="41"/>
      <c r="Q323" s="49"/>
      <c r="R323" s="49"/>
      <c r="S323" s="21">
        <f t="shared" si="102"/>
        <v>0</v>
      </c>
      <c r="T323" s="13"/>
      <c r="U323" s="13"/>
      <c r="V323" s="13"/>
      <c r="W323" s="13"/>
      <c r="X323" s="14"/>
      <c r="Y323" s="38"/>
      <c r="Z323" s="32"/>
      <c r="AA323" s="25"/>
      <c r="AB323" s="41"/>
      <c r="AC323" s="49"/>
      <c r="AD323" s="49"/>
      <c r="AE323" s="21">
        <f t="shared" si="103"/>
        <v>0</v>
      </c>
      <c r="AF323" s="13"/>
      <c r="AG323" s="13"/>
      <c r="AH323" s="13"/>
      <c r="AI323" s="13"/>
      <c r="AJ323" s="14"/>
      <c r="AK323" s="38"/>
      <c r="AL323" s="32"/>
      <c r="AM323" s="25"/>
      <c r="AN323" s="41"/>
      <c r="AO323" s="49"/>
      <c r="AP323" s="49"/>
      <c r="AQ323" s="21">
        <f t="shared" si="104"/>
        <v>0</v>
      </c>
      <c r="AR323" s="13"/>
      <c r="AS323" s="13"/>
      <c r="AT323" s="13"/>
      <c r="AU323" s="13"/>
      <c r="AV323" s="14"/>
      <c r="AW323" s="38"/>
      <c r="AX323" s="32"/>
      <c r="AY323" s="25"/>
      <c r="AZ323" s="41"/>
      <c r="BA323" s="49"/>
      <c r="BB323" s="49"/>
      <c r="BC323" s="21">
        <f t="shared" si="105"/>
        <v>0</v>
      </c>
      <c r="BD323" s="13"/>
      <c r="BE323" s="13"/>
      <c r="BF323" s="13"/>
      <c r="BG323" s="13"/>
      <c r="BH323" s="14"/>
      <c r="BI323" s="38"/>
      <c r="BJ323" s="32"/>
      <c r="BK323" s="25"/>
      <c r="BL323" s="41"/>
      <c r="BM323" s="49"/>
      <c r="BN323" s="49"/>
      <c r="BO323" s="21">
        <f t="shared" si="106"/>
        <v>0</v>
      </c>
      <c r="BP323" s="13"/>
      <c r="BQ323" s="13"/>
      <c r="BR323" s="13"/>
      <c r="BS323" s="13"/>
      <c r="BT323" s="14"/>
      <c r="BU323" s="107"/>
      <c r="BV323" s="107"/>
      <c r="BW323" s="107"/>
      <c r="BX323" s="107"/>
      <c r="BY323" s="107"/>
      <c r="BZ323" s="107"/>
      <c r="CA323" s="111"/>
      <c r="CB323" s="107"/>
      <c r="CC323" s="107"/>
      <c r="CD323" s="107"/>
      <c r="CE323" s="107"/>
      <c r="CF323" s="107"/>
      <c r="CG323" s="107"/>
      <c r="CH323" s="107"/>
      <c r="CI323" s="107"/>
      <c r="CJ323" s="107"/>
    </row>
    <row r="324">
      <c r="A324" s="50"/>
      <c r="B324" s="32"/>
      <c r="C324" s="25"/>
      <c r="D324" s="41"/>
      <c r="E324" s="49"/>
      <c r="F324" s="49"/>
      <c r="G324" s="88">
        <f t="shared" si="101"/>
        <v>0</v>
      </c>
      <c r="H324" s="89"/>
      <c r="I324" s="104"/>
      <c r="J324" s="89"/>
      <c r="K324" s="89"/>
      <c r="L324" s="90"/>
      <c r="M324" s="50"/>
      <c r="N324" s="32"/>
      <c r="O324" s="25"/>
      <c r="P324" s="41"/>
      <c r="Q324" s="49"/>
      <c r="R324" s="49"/>
      <c r="S324" s="21">
        <f t="shared" si="102"/>
        <v>0</v>
      </c>
      <c r="T324" s="89"/>
      <c r="U324" s="89"/>
      <c r="V324" s="89"/>
      <c r="W324" s="89"/>
      <c r="X324" s="90"/>
      <c r="Y324" s="50"/>
      <c r="Z324" s="32"/>
      <c r="AA324" s="25"/>
      <c r="AB324" s="41"/>
      <c r="AC324" s="49"/>
      <c r="AD324" s="49"/>
      <c r="AE324" s="21">
        <f t="shared" si="103"/>
        <v>0</v>
      </c>
      <c r="AF324" s="89"/>
      <c r="AG324" s="89"/>
      <c r="AH324" s="89"/>
      <c r="AI324" s="89"/>
      <c r="AJ324" s="90"/>
      <c r="AK324" s="50"/>
      <c r="AL324" s="32"/>
      <c r="AM324" s="25"/>
      <c r="AN324" s="41"/>
      <c r="AO324" s="49"/>
      <c r="AP324" s="49"/>
      <c r="AQ324" s="21">
        <f t="shared" si="104"/>
        <v>0</v>
      </c>
      <c r="AR324" s="89"/>
      <c r="AS324" s="89"/>
      <c r="AT324" s="89"/>
      <c r="AU324" s="89"/>
      <c r="AV324" s="90"/>
      <c r="AW324" s="50"/>
      <c r="AX324" s="32"/>
      <c r="AY324" s="25"/>
      <c r="AZ324" s="41"/>
      <c r="BA324" s="49"/>
      <c r="BB324" s="49"/>
      <c r="BC324" s="21">
        <f t="shared" si="105"/>
        <v>0</v>
      </c>
      <c r="BD324" s="89"/>
      <c r="BE324" s="89"/>
      <c r="BF324" s="89"/>
      <c r="BG324" s="89"/>
      <c r="BH324" s="90"/>
      <c r="BI324" s="50"/>
      <c r="BJ324" s="32"/>
      <c r="BK324" s="25"/>
      <c r="BL324" s="41"/>
      <c r="BM324" s="49"/>
      <c r="BN324" s="49"/>
      <c r="BO324" s="21">
        <f t="shared" si="106"/>
        <v>0</v>
      </c>
      <c r="BP324" s="89"/>
      <c r="BQ324" s="89"/>
      <c r="BR324" s="89"/>
      <c r="BS324" s="89"/>
      <c r="BT324" s="90"/>
      <c r="BU324" s="107"/>
      <c r="BV324" s="107"/>
      <c r="BW324" s="107"/>
      <c r="BX324" s="107"/>
      <c r="BY324" s="107"/>
      <c r="BZ324" s="107"/>
      <c r="CA324" s="111"/>
      <c r="CB324" s="107"/>
      <c r="CC324" s="107"/>
      <c r="CD324" s="107"/>
      <c r="CE324" s="107"/>
      <c r="CF324" s="107"/>
      <c r="CG324" s="107"/>
      <c r="CH324" s="107"/>
      <c r="CI324" s="107"/>
      <c r="CJ324" s="107"/>
    </row>
    <row r="325">
      <c r="A325" s="1" t="s">
        <v>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1" t="s">
        <v>62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3"/>
      <c r="Y325" s="1" t="s">
        <v>1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3"/>
      <c r="AK325" s="1" t="s">
        <v>2</v>
      </c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3"/>
      <c r="AW325" s="1" t="s">
        <v>74</v>
      </c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3"/>
      <c r="BI325" s="1" t="s">
        <v>74</v>
      </c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3"/>
      <c r="BU325" s="4"/>
      <c r="CG325" s="107"/>
      <c r="CH325" s="107"/>
      <c r="CI325" s="107"/>
      <c r="CJ325" s="107"/>
    </row>
    <row r="326">
      <c r="A326" s="5" t="s">
        <v>3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5" t="s">
        <v>3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5" t="s">
        <v>3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5" t="s">
        <v>3</v>
      </c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5" t="s">
        <v>3</v>
      </c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5" t="s">
        <v>3</v>
      </c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5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107"/>
      <c r="CH326" s="107"/>
      <c r="CI326" s="107"/>
      <c r="CJ326" s="107"/>
    </row>
    <row r="327">
      <c r="A327" s="7" t="s">
        <v>5</v>
      </c>
      <c r="B327" s="8" t="s">
        <v>6</v>
      </c>
      <c r="C327" s="9" t="s">
        <v>7</v>
      </c>
      <c r="D327" s="10" t="s">
        <v>8</v>
      </c>
      <c r="E327" s="11" t="s">
        <v>9</v>
      </c>
      <c r="F327" s="11" t="s">
        <v>10</v>
      </c>
      <c r="G327" s="12" t="s">
        <v>11</v>
      </c>
      <c r="H327" s="12" t="s">
        <v>12</v>
      </c>
      <c r="I327" s="12" t="s">
        <v>13</v>
      </c>
      <c r="J327" s="13" t="s">
        <v>14</v>
      </c>
      <c r="K327" s="67" t="s">
        <v>15</v>
      </c>
      <c r="L327" s="14" t="s">
        <v>16</v>
      </c>
      <c r="M327" s="7" t="s">
        <v>5</v>
      </c>
      <c r="N327" s="8" t="s">
        <v>6</v>
      </c>
      <c r="O327" s="9" t="s">
        <v>7</v>
      </c>
      <c r="P327" s="10" t="s">
        <v>8</v>
      </c>
      <c r="Q327" s="11" t="s">
        <v>9</v>
      </c>
      <c r="R327" s="11" t="s">
        <v>10</v>
      </c>
      <c r="S327" s="12" t="s">
        <v>11</v>
      </c>
      <c r="T327" s="12" t="s">
        <v>12</v>
      </c>
      <c r="U327" s="12" t="s">
        <v>13</v>
      </c>
      <c r="V327" s="13" t="s">
        <v>14</v>
      </c>
      <c r="W327" s="13" t="s">
        <v>15</v>
      </c>
      <c r="X327" s="14" t="s">
        <v>16</v>
      </c>
      <c r="Y327" s="7" t="s">
        <v>5</v>
      </c>
      <c r="Z327" s="8" t="s">
        <v>6</v>
      </c>
      <c r="AA327" s="9" t="s">
        <v>7</v>
      </c>
      <c r="AB327" s="10" t="s">
        <v>8</v>
      </c>
      <c r="AC327" s="11" t="s">
        <v>9</v>
      </c>
      <c r="AD327" s="11" t="s">
        <v>10</v>
      </c>
      <c r="AE327" s="12" t="s">
        <v>11</v>
      </c>
      <c r="AF327" s="12" t="s">
        <v>12</v>
      </c>
      <c r="AG327" s="12" t="s">
        <v>13</v>
      </c>
      <c r="AH327" s="13" t="s">
        <v>14</v>
      </c>
      <c r="AI327" s="13" t="s">
        <v>15</v>
      </c>
      <c r="AJ327" s="14" t="s">
        <v>16</v>
      </c>
      <c r="AK327" s="7" t="s">
        <v>5</v>
      </c>
      <c r="AL327" s="8" t="s">
        <v>84</v>
      </c>
      <c r="AM327" s="9" t="s">
        <v>7</v>
      </c>
      <c r="AN327" s="10" t="s">
        <v>8</v>
      </c>
      <c r="AO327" s="11" t="s">
        <v>9</v>
      </c>
      <c r="AP327" s="11" t="s">
        <v>10</v>
      </c>
      <c r="AQ327" s="12" t="s">
        <v>11</v>
      </c>
      <c r="AR327" s="12" t="s">
        <v>12</v>
      </c>
      <c r="AS327" s="12" t="s">
        <v>13</v>
      </c>
      <c r="AT327" s="13" t="s">
        <v>14</v>
      </c>
      <c r="AU327" s="13" t="s">
        <v>15</v>
      </c>
      <c r="AV327" s="14" t="s">
        <v>16</v>
      </c>
      <c r="AW327" s="7" t="s">
        <v>5</v>
      </c>
      <c r="AX327" s="8" t="s">
        <v>6</v>
      </c>
      <c r="AY327" s="9" t="s">
        <v>7</v>
      </c>
      <c r="AZ327" s="10" t="s">
        <v>8</v>
      </c>
      <c r="BA327" s="11" t="s">
        <v>9</v>
      </c>
      <c r="BB327" s="11" t="s">
        <v>10</v>
      </c>
      <c r="BC327" s="12" t="s">
        <v>11</v>
      </c>
      <c r="BD327" s="12" t="s">
        <v>12</v>
      </c>
      <c r="BE327" s="12" t="s">
        <v>13</v>
      </c>
      <c r="BF327" s="13" t="s">
        <v>14</v>
      </c>
      <c r="BG327" s="13" t="s">
        <v>15</v>
      </c>
      <c r="BH327" s="14" t="s">
        <v>16</v>
      </c>
      <c r="BI327" s="7" t="s">
        <v>5</v>
      </c>
      <c r="BJ327" s="8" t="s">
        <v>6</v>
      </c>
      <c r="BK327" s="9" t="s">
        <v>7</v>
      </c>
      <c r="BL327" s="10" t="s">
        <v>8</v>
      </c>
      <c r="BM327" s="11" t="s">
        <v>9</v>
      </c>
      <c r="BN327" s="11" t="s">
        <v>10</v>
      </c>
      <c r="BO327" s="12" t="s">
        <v>11</v>
      </c>
      <c r="BP327" s="12" t="s">
        <v>12</v>
      </c>
      <c r="BQ327" s="12" t="s">
        <v>13</v>
      </c>
      <c r="BR327" s="13" t="s">
        <v>14</v>
      </c>
      <c r="BS327" s="13" t="s">
        <v>15</v>
      </c>
      <c r="BT327" s="14" t="s">
        <v>16</v>
      </c>
      <c r="BU327" s="109"/>
      <c r="BV327" s="108"/>
      <c r="BW327" s="108"/>
      <c r="BX327" s="108"/>
      <c r="BY327" s="108"/>
      <c r="BZ327" s="108"/>
      <c r="CA327" s="109"/>
      <c r="CB327" s="109"/>
      <c r="CC327" s="109"/>
      <c r="CD327" s="107"/>
      <c r="CE327" s="107"/>
      <c r="CF327" s="107"/>
      <c r="CG327" s="107"/>
      <c r="CH327" s="107"/>
      <c r="CI327" s="107"/>
      <c r="CJ327" s="107"/>
    </row>
    <row r="328">
      <c r="A328" s="15">
        <v>2.0</v>
      </c>
      <c r="B328" s="16"/>
      <c r="C328" s="17"/>
      <c r="D328" s="18"/>
      <c r="E328" s="16">
        <v>10000.0</v>
      </c>
      <c r="F328" s="20"/>
      <c r="G328" s="21">
        <f t="shared" ref="G328:G351" si="114">SUM(B328)-(B328*15%)+(C328)-(C328*20.8%)+(D328)+(E328)-(E328*0.95%)+(F328)-(F328*15.5%)</f>
        <v>9905</v>
      </c>
      <c r="H328" s="22">
        <f>SUM(B328:F351)</f>
        <v>1030000</v>
      </c>
      <c r="I328" s="21">
        <f>SUM(G328:G351)</f>
        <v>939427.5</v>
      </c>
      <c r="J328" s="21">
        <f>SUM(I328)-(I328*97%)</f>
        <v>28182.825</v>
      </c>
      <c r="K328" s="21">
        <f>SUM(I328)-(I328*95%)</f>
        <v>46971.375</v>
      </c>
      <c r="L328" s="23">
        <f>SUM(I328)-(I328*93%)</f>
        <v>65759.925</v>
      </c>
      <c r="M328" s="15">
        <v>17.0</v>
      </c>
      <c r="N328" s="24"/>
      <c r="O328" s="25"/>
      <c r="P328" s="18"/>
      <c r="Q328" s="20">
        <v>150000.0</v>
      </c>
      <c r="R328" s="20"/>
      <c r="S328" s="21">
        <f t="shared" ref="S328:S351" si="115">SUM(N328)-(N328*15%)+(O328)-(O328*20.8%)+(P328)+(Q328)-(Q328*0.95%)+(R328)-(R328*15.5%)</f>
        <v>148575</v>
      </c>
      <c r="T328" s="22">
        <f>SUM(N328:R351)</f>
        <v>840000</v>
      </c>
      <c r="U328" s="21">
        <f>SUM(S328:S351)</f>
        <v>832020</v>
      </c>
      <c r="V328" s="21">
        <f>SUM(U328)-(U328*97%)</f>
        <v>24960.6</v>
      </c>
      <c r="W328" s="21">
        <f>SUM(U328)-(U328*95%)</f>
        <v>41601</v>
      </c>
      <c r="X328" s="23">
        <f>SUM(U328)-(U328*93%)</f>
        <v>58241.4</v>
      </c>
      <c r="Y328" s="60"/>
      <c r="Z328" s="24"/>
      <c r="AA328" s="25"/>
      <c r="AB328" s="18"/>
      <c r="AC328" s="20"/>
      <c r="AD328" s="20"/>
      <c r="AE328" s="21">
        <f t="shared" ref="AE328:AE351" si="116">SUM(Z328)-(Z328*15%)+(AA328)-(AA328*20.8%)+(AB328)+(AC328)-(AC328*0.95%)+(AD328)-(AD328*15.5%)</f>
        <v>0</v>
      </c>
      <c r="AF328" s="22">
        <f>SUM(Z328:AD351)</f>
        <v>0</v>
      </c>
      <c r="AG328" s="21">
        <f>SUM(AE328:AE351)</f>
        <v>0</v>
      </c>
      <c r="AH328" s="21">
        <f>SUM(AG328)-(AG328*97%)</f>
        <v>0</v>
      </c>
      <c r="AI328" s="21">
        <f>SUM(AG328)-(AG328*95%)</f>
        <v>0</v>
      </c>
      <c r="AJ328" s="23">
        <f>SUM(AG328)-(AG328*93%)</f>
        <v>0</v>
      </c>
      <c r="AK328" s="15">
        <v>11.0</v>
      </c>
      <c r="AL328" s="24"/>
      <c r="AM328" s="25"/>
      <c r="AN328" s="18"/>
      <c r="AO328" s="20">
        <v>120000.0</v>
      </c>
      <c r="AP328" s="20"/>
      <c r="AQ328" s="21">
        <f t="shared" ref="AQ328:AQ351" si="117">SUM(AL328)-(AL328*15%)+(AM328)-(AM328*20.8%)+(AN328)+(AO328)-(AO328*0.95%)+(AP328)-(AP328*15.5%)</f>
        <v>118860</v>
      </c>
      <c r="AR328" s="22">
        <f>SUM(AL328:AP351)</f>
        <v>1535000</v>
      </c>
      <c r="AS328" s="21">
        <f>SUM(AQ328:AQ351)</f>
        <v>1520417.5</v>
      </c>
      <c r="AT328" s="21">
        <f>SUM(AS328)-(AS328*97%)</f>
        <v>45612.525</v>
      </c>
      <c r="AU328" s="21">
        <f>SUM(AS328)-(AS328*95%)</f>
        <v>76020.875</v>
      </c>
      <c r="AV328" s="23">
        <f>SUM(AS328)-(AS328*93%)</f>
        <v>106429.225</v>
      </c>
      <c r="AW328" s="15">
        <v>31.0</v>
      </c>
      <c r="AX328" s="24"/>
      <c r="AY328" s="25"/>
      <c r="AZ328" s="18"/>
      <c r="BA328" s="20">
        <v>120000.0</v>
      </c>
      <c r="BB328" s="20"/>
      <c r="BC328" s="21">
        <f t="shared" ref="BC328:BC351" si="118">SUM(AX328)-(AX328*15%)+(AY328)-(AY328*20.8%)+(AZ328)+(BA328)-(BA328*0.95%)+(BB328)-(BB328*15.5%)</f>
        <v>118860</v>
      </c>
      <c r="BD328" s="22">
        <f>SUM(AX328:BB351)</f>
        <v>120000</v>
      </c>
      <c r="BE328" s="21">
        <f>SUM(BC328:BC351)</f>
        <v>118860</v>
      </c>
      <c r="BF328" s="21">
        <f>SUM(BE328)-(BE328*97%)</f>
        <v>3565.8</v>
      </c>
      <c r="BG328" s="21">
        <f>SUM(BE328)-(BE328*95%)</f>
        <v>5943</v>
      </c>
      <c r="BH328" s="23">
        <f>SUM(BE328)-(BE328*93%)</f>
        <v>8320.2</v>
      </c>
      <c r="BI328" s="15"/>
      <c r="BJ328" s="24"/>
      <c r="BK328" s="25"/>
      <c r="BL328" s="18"/>
      <c r="BM328" s="20"/>
      <c r="BN328" s="20"/>
      <c r="BO328" s="21">
        <f t="shared" ref="BO328:BO351" si="119">SUM(BJ328)-(BJ328*15%)+(BK328)-(BK328*20.8%)+(BL328)+(BM328)-(BM328*0.95%)+(BN328)-(BN328*15.5%)</f>
        <v>0</v>
      </c>
      <c r="BP328" s="22">
        <f>SUM(BJ328:BN351)</f>
        <v>0</v>
      </c>
      <c r="BQ328" s="21">
        <f>SUM(BO328:BO351)</f>
        <v>0</v>
      </c>
      <c r="BR328" s="21">
        <f>SUM(BQ328)-(BQ328*97%)</f>
        <v>0</v>
      </c>
      <c r="BS328" s="21">
        <f>SUM(BQ328)-(BQ328*95%)</f>
        <v>0</v>
      </c>
      <c r="BT328" s="23">
        <f>SUM(BQ328)-(BQ328*93%)</f>
        <v>0</v>
      </c>
      <c r="BU328" s="110"/>
      <c r="BV328" s="107"/>
      <c r="BW328" s="107"/>
      <c r="BX328" s="107"/>
      <c r="BY328" s="107"/>
      <c r="BZ328" s="107"/>
      <c r="CA328" s="111"/>
      <c r="CB328" s="112"/>
      <c r="CC328" s="111"/>
      <c r="CD328" s="111"/>
      <c r="CE328" s="111"/>
      <c r="CF328" s="111"/>
      <c r="CG328" s="107"/>
      <c r="CH328" s="107"/>
      <c r="CI328" s="107"/>
      <c r="CJ328" s="107"/>
    </row>
    <row r="329">
      <c r="A329" s="15">
        <v>3.0</v>
      </c>
      <c r="B329" s="27"/>
      <c r="C329" s="17"/>
      <c r="D329" s="40"/>
      <c r="E329" s="27">
        <v>150000.0</v>
      </c>
      <c r="F329" s="30"/>
      <c r="G329" s="21">
        <f t="shared" si="114"/>
        <v>148575</v>
      </c>
      <c r="H329" s="31" t="s">
        <v>20</v>
      </c>
      <c r="I329" s="13"/>
      <c r="J329" s="13" t="s">
        <v>21</v>
      </c>
      <c r="K329" s="13" t="s">
        <v>22</v>
      </c>
      <c r="L329" s="14" t="s">
        <v>23</v>
      </c>
      <c r="M329" s="15"/>
      <c r="N329" s="32"/>
      <c r="O329" s="25"/>
      <c r="P329" s="33"/>
      <c r="Q329" s="30">
        <v>475000.0</v>
      </c>
      <c r="R329" s="30"/>
      <c r="S329" s="21">
        <f t="shared" si="115"/>
        <v>470487.5</v>
      </c>
      <c r="T329" s="31" t="s">
        <v>20</v>
      </c>
      <c r="U329" s="13"/>
      <c r="V329" s="13" t="s">
        <v>21</v>
      </c>
      <c r="W329" s="13" t="s">
        <v>22</v>
      </c>
      <c r="X329" s="14" t="s">
        <v>23</v>
      </c>
      <c r="Y329" s="60"/>
      <c r="Z329" s="32"/>
      <c r="AA329" s="25"/>
      <c r="AB329" s="33"/>
      <c r="AC329" s="30"/>
      <c r="AD329" s="30"/>
      <c r="AE329" s="21">
        <f t="shared" si="116"/>
        <v>0</v>
      </c>
      <c r="AF329" s="31" t="s">
        <v>20</v>
      </c>
      <c r="AG329" s="13"/>
      <c r="AH329" s="13" t="s">
        <v>21</v>
      </c>
      <c r="AI329" s="13" t="s">
        <v>22</v>
      </c>
      <c r="AJ329" s="14" t="s">
        <v>23</v>
      </c>
      <c r="AK329" s="15">
        <v>23.0</v>
      </c>
      <c r="AL329" s="32"/>
      <c r="AM329" s="25"/>
      <c r="AN329" s="33"/>
      <c r="AO329" s="30">
        <v>1295000.0</v>
      </c>
      <c r="AP329" s="30"/>
      <c r="AQ329" s="21">
        <f t="shared" si="117"/>
        <v>1282697.5</v>
      </c>
      <c r="AR329" s="31" t="s">
        <v>20</v>
      </c>
      <c r="AS329" s="13"/>
      <c r="AT329" s="13" t="s">
        <v>21</v>
      </c>
      <c r="AU329" s="13" t="s">
        <v>22</v>
      </c>
      <c r="AV329" s="14" t="s">
        <v>23</v>
      </c>
      <c r="AW329" s="60"/>
      <c r="AX329" s="32"/>
      <c r="AY329" s="25"/>
      <c r="AZ329" s="33"/>
      <c r="BA329" s="30"/>
      <c r="BB329" s="30"/>
      <c r="BC329" s="21">
        <f t="shared" si="118"/>
        <v>0</v>
      </c>
      <c r="BD329" s="31" t="s">
        <v>20</v>
      </c>
      <c r="BE329" s="13"/>
      <c r="BF329" s="13" t="s">
        <v>21</v>
      </c>
      <c r="BG329" s="13" t="s">
        <v>22</v>
      </c>
      <c r="BH329" s="14" t="s">
        <v>23</v>
      </c>
      <c r="BI329" s="60"/>
      <c r="BJ329" s="32"/>
      <c r="BK329" s="25"/>
      <c r="BL329" s="33"/>
      <c r="BM329" s="30"/>
      <c r="BN329" s="30"/>
      <c r="BO329" s="21">
        <f t="shared" si="119"/>
        <v>0</v>
      </c>
      <c r="BP329" s="31" t="s">
        <v>20</v>
      </c>
      <c r="BQ329" s="13"/>
      <c r="BR329" s="13" t="s">
        <v>21</v>
      </c>
      <c r="BS329" s="13" t="s">
        <v>22</v>
      </c>
      <c r="BT329" s="14" t="s">
        <v>23</v>
      </c>
      <c r="BU329" s="110"/>
      <c r="BV329" s="107"/>
      <c r="BW329" s="107"/>
      <c r="BX329" s="107"/>
      <c r="BY329" s="107"/>
      <c r="BZ329" s="107"/>
      <c r="CA329" s="111"/>
      <c r="CB329" s="113"/>
      <c r="CC329" s="107"/>
      <c r="CD329" s="107"/>
      <c r="CE329" s="107"/>
      <c r="CF329" s="107"/>
      <c r="CG329" s="107"/>
      <c r="CH329" s="107"/>
      <c r="CI329" s="107"/>
      <c r="CJ329" s="107"/>
    </row>
    <row r="330">
      <c r="A330" s="15">
        <v>3.0</v>
      </c>
      <c r="B330" s="35"/>
      <c r="C330" s="17"/>
      <c r="D330" s="18"/>
      <c r="E330" s="35">
        <v>45000.0</v>
      </c>
      <c r="F330" s="20"/>
      <c r="G330" s="21">
        <f t="shared" si="114"/>
        <v>44572.5</v>
      </c>
      <c r="H330" s="36"/>
      <c r="I330" s="13"/>
      <c r="J330" s="21">
        <f t="shared" ref="J330:L330" si="120">SUM(J328)-(J328*10%)</f>
        <v>25364.5425</v>
      </c>
      <c r="K330" s="21">
        <f t="shared" si="120"/>
        <v>42274.2375</v>
      </c>
      <c r="L330" s="23">
        <f t="shared" si="120"/>
        <v>59183.9325</v>
      </c>
      <c r="M330" s="15"/>
      <c r="N330" s="37"/>
      <c r="O330" s="25"/>
      <c r="P330" s="33"/>
      <c r="Q330" s="20">
        <v>65000.0</v>
      </c>
      <c r="R330" s="20"/>
      <c r="S330" s="21">
        <f t="shared" si="115"/>
        <v>64382.5</v>
      </c>
      <c r="T330" s="36"/>
      <c r="U330" s="13"/>
      <c r="V330" s="21">
        <f t="shared" ref="V330:X330" si="121">SUM(V328)-(V328*10%)</f>
        <v>22464.54</v>
      </c>
      <c r="W330" s="21">
        <f t="shared" si="121"/>
        <v>37440.9</v>
      </c>
      <c r="X330" s="23">
        <f t="shared" si="121"/>
        <v>52417.26</v>
      </c>
      <c r="Y330" s="60"/>
      <c r="Z330" s="32"/>
      <c r="AA330" s="25"/>
      <c r="AB330" s="33"/>
      <c r="AC330" s="20"/>
      <c r="AD330" s="20"/>
      <c r="AE330" s="21">
        <f t="shared" si="116"/>
        <v>0</v>
      </c>
      <c r="AF330" s="36"/>
      <c r="AG330" s="13"/>
      <c r="AH330" s="21">
        <f t="shared" ref="AH330:AJ330" si="122">SUM(AH328)-(AH328*10%)</f>
        <v>0</v>
      </c>
      <c r="AI330" s="21">
        <f t="shared" si="122"/>
        <v>0</v>
      </c>
      <c r="AJ330" s="23">
        <f t="shared" si="122"/>
        <v>0</v>
      </c>
      <c r="AK330" s="15">
        <v>31.0</v>
      </c>
      <c r="AL330" s="37"/>
      <c r="AM330" s="25"/>
      <c r="AN330" s="33"/>
      <c r="AO330" s="20">
        <v>120000.0</v>
      </c>
      <c r="AP330" s="20"/>
      <c r="AQ330" s="21">
        <f t="shared" si="117"/>
        <v>118860</v>
      </c>
      <c r="AR330" s="36"/>
      <c r="AS330" s="13"/>
      <c r="AT330" s="21">
        <f t="shared" ref="AT330:AV330" si="123">SUM(AT328)-(AT328*10%)</f>
        <v>41051.2725</v>
      </c>
      <c r="AU330" s="21">
        <f t="shared" si="123"/>
        <v>68418.7875</v>
      </c>
      <c r="AV330" s="23">
        <f t="shared" si="123"/>
        <v>95786.3025</v>
      </c>
      <c r="AW330" s="60"/>
      <c r="AX330" s="32"/>
      <c r="AY330" s="25"/>
      <c r="AZ330" s="33"/>
      <c r="BA330" s="20"/>
      <c r="BB330" s="20"/>
      <c r="BC330" s="21">
        <f t="shared" si="118"/>
        <v>0</v>
      </c>
      <c r="BD330" s="36"/>
      <c r="BE330" s="13"/>
      <c r="BF330" s="21">
        <f t="shared" ref="BF330:BH330" si="124">SUM(BF328)-(BF328*10%)</f>
        <v>3209.22</v>
      </c>
      <c r="BG330" s="21">
        <f t="shared" si="124"/>
        <v>5348.7</v>
      </c>
      <c r="BH330" s="23">
        <f t="shared" si="124"/>
        <v>7488.18</v>
      </c>
      <c r="BI330" s="60"/>
      <c r="BJ330" s="32"/>
      <c r="BK330" s="25"/>
      <c r="BL330" s="33"/>
      <c r="BM330" s="20"/>
      <c r="BN330" s="20"/>
      <c r="BO330" s="21">
        <f t="shared" si="119"/>
        <v>0</v>
      </c>
      <c r="BP330" s="36"/>
      <c r="BQ330" s="13"/>
      <c r="BR330" s="21">
        <f t="shared" ref="BR330:BT330" si="125">SUM(BR328)-(BR328*10%)</f>
        <v>0</v>
      </c>
      <c r="BS330" s="21">
        <f t="shared" si="125"/>
        <v>0</v>
      </c>
      <c r="BT330" s="23">
        <f t="shared" si="125"/>
        <v>0</v>
      </c>
      <c r="BU330" s="110"/>
      <c r="BV330" s="107"/>
      <c r="BW330" s="107"/>
      <c r="BX330" s="107"/>
      <c r="BY330" s="107"/>
      <c r="BZ330" s="107"/>
      <c r="CA330" s="111"/>
      <c r="CB330" s="107"/>
      <c r="CC330" s="107"/>
      <c r="CD330" s="111"/>
      <c r="CE330" s="111"/>
      <c r="CF330" s="111"/>
      <c r="CG330" s="107"/>
      <c r="CH330" s="107"/>
      <c r="CI330" s="107"/>
      <c r="CJ330" s="107"/>
    </row>
    <row r="331">
      <c r="A331" s="60"/>
      <c r="B331" s="27"/>
      <c r="C331" s="17"/>
      <c r="D331" s="18"/>
      <c r="E331" s="27">
        <v>150000.0</v>
      </c>
      <c r="F331" s="20"/>
      <c r="G331" s="21">
        <f t="shared" si="114"/>
        <v>148575</v>
      </c>
      <c r="H331" s="13"/>
      <c r="I331" s="13"/>
      <c r="J331" s="13"/>
      <c r="K331" s="13"/>
      <c r="L331" s="14"/>
      <c r="M331" s="60"/>
      <c r="N331" s="37"/>
      <c r="O331" s="93"/>
      <c r="P331" s="33"/>
      <c r="Q331" s="20">
        <v>150000.0</v>
      </c>
      <c r="R331" s="20"/>
      <c r="S331" s="21">
        <f t="shared" si="115"/>
        <v>148575</v>
      </c>
      <c r="T331" s="13"/>
      <c r="U331" s="13"/>
      <c r="V331" s="13"/>
      <c r="W331" s="13"/>
      <c r="X331" s="14"/>
      <c r="Y331" s="60"/>
      <c r="Z331" s="32"/>
      <c r="AA331" s="93"/>
      <c r="AB331" s="33"/>
      <c r="AC331" s="20"/>
      <c r="AD331" s="20"/>
      <c r="AE331" s="21">
        <f t="shared" si="116"/>
        <v>0</v>
      </c>
      <c r="AF331" s="13"/>
      <c r="AG331" s="13"/>
      <c r="AH331" s="13"/>
      <c r="AI331" s="13"/>
      <c r="AJ331" s="14"/>
      <c r="AK331" s="15"/>
      <c r="AL331" s="32"/>
      <c r="AM331" s="93"/>
      <c r="AN331" s="33"/>
      <c r="AO331" s="20"/>
      <c r="AP331" s="20"/>
      <c r="AQ331" s="21">
        <f t="shared" si="117"/>
        <v>0</v>
      </c>
      <c r="AR331" s="13"/>
      <c r="AS331" s="13"/>
      <c r="AT331" s="13"/>
      <c r="AU331" s="13"/>
      <c r="AV331" s="14"/>
      <c r="AW331" s="60"/>
      <c r="AX331" s="32"/>
      <c r="AY331" s="93"/>
      <c r="AZ331" s="33"/>
      <c r="BA331" s="20"/>
      <c r="BB331" s="20"/>
      <c r="BC331" s="21">
        <f t="shared" si="118"/>
        <v>0</v>
      </c>
      <c r="BD331" s="13"/>
      <c r="BE331" s="13"/>
      <c r="BF331" s="13"/>
      <c r="BG331" s="13"/>
      <c r="BH331" s="14"/>
      <c r="BI331" s="60"/>
      <c r="BJ331" s="32"/>
      <c r="BK331" s="93"/>
      <c r="BL331" s="33"/>
      <c r="BM331" s="20"/>
      <c r="BN331" s="20"/>
      <c r="BO331" s="21">
        <f t="shared" si="119"/>
        <v>0</v>
      </c>
      <c r="BP331" s="13"/>
      <c r="BQ331" s="13"/>
      <c r="BR331" s="13"/>
      <c r="BS331" s="13"/>
      <c r="BT331" s="14"/>
      <c r="BU331" s="110"/>
      <c r="BV331" s="107"/>
      <c r="BW331" s="107"/>
      <c r="BX331" s="107"/>
      <c r="BY331" s="107"/>
      <c r="BZ331" s="107"/>
      <c r="CA331" s="111"/>
      <c r="CB331" s="107"/>
      <c r="CC331" s="107"/>
      <c r="CD331" s="107"/>
      <c r="CE331" s="107"/>
      <c r="CF331" s="107"/>
      <c r="CG331" s="107"/>
      <c r="CH331" s="107"/>
      <c r="CI331" s="107"/>
      <c r="CJ331" s="107"/>
    </row>
    <row r="332">
      <c r="A332" s="15"/>
      <c r="B332" s="35"/>
      <c r="C332" s="17"/>
      <c r="D332" s="18"/>
      <c r="E332" s="35">
        <v>100000.0</v>
      </c>
      <c r="F332" s="20"/>
      <c r="G332" s="21">
        <f t="shared" si="114"/>
        <v>99050</v>
      </c>
      <c r="H332" s="13"/>
      <c r="I332" s="13"/>
      <c r="J332" s="13"/>
      <c r="K332" s="13"/>
      <c r="L332" s="14"/>
      <c r="M332" s="60"/>
      <c r="N332" s="37"/>
      <c r="O332" s="25"/>
      <c r="P332" s="33"/>
      <c r="Q332" s="20"/>
      <c r="R332" s="20"/>
      <c r="S332" s="21">
        <f t="shared" si="115"/>
        <v>0</v>
      </c>
      <c r="T332" s="13"/>
      <c r="U332" s="13"/>
      <c r="V332" s="13"/>
      <c r="W332" s="13"/>
      <c r="X332" s="14"/>
      <c r="Y332" s="60"/>
      <c r="Z332" s="32"/>
      <c r="AA332" s="25"/>
      <c r="AB332" s="33"/>
      <c r="AC332" s="20"/>
      <c r="AD332" s="20"/>
      <c r="AE332" s="21">
        <f t="shared" si="116"/>
        <v>0</v>
      </c>
      <c r="AF332" s="13"/>
      <c r="AG332" s="13"/>
      <c r="AH332" s="13"/>
      <c r="AI332" s="13"/>
      <c r="AJ332" s="14"/>
      <c r="AK332" s="15"/>
      <c r="AL332" s="32"/>
      <c r="AM332" s="25"/>
      <c r="AN332" s="33"/>
      <c r="AO332" s="20"/>
      <c r="AP332" s="20"/>
      <c r="AQ332" s="21">
        <f t="shared" si="117"/>
        <v>0</v>
      </c>
      <c r="AR332" s="13"/>
      <c r="AS332" s="13"/>
      <c r="AT332" s="13"/>
      <c r="AU332" s="13"/>
      <c r="AV332" s="14"/>
      <c r="AW332" s="60"/>
      <c r="AX332" s="32"/>
      <c r="AY332" s="25"/>
      <c r="AZ332" s="33"/>
      <c r="BA332" s="20"/>
      <c r="BB332" s="20"/>
      <c r="BC332" s="21">
        <f t="shared" si="118"/>
        <v>0</v>
      </c>
      <c r="BD332" s="13"/>
      <c r="BE332" s="13"/>
      <c r="BF332" s="13"/>
      <c r="BG332" s="13"/>
      <c r="BH332" s="14"/>
      <c r="BI332" s="60"/>
      <c r="BJ332" s="32"/>
      <c r="BK332" s="25"/>
      <c r="BL332" s="33"/>
      <c r="BM332" s="20"/>
      <c r="BN332" s="20"/>
      <c r="BO332" s="21">
        <f t="shared" si="119"/>
        <v>0</v>
      </c>
      <c r="BP332" s="13"/>
      <c r="BQ332" s="13"/>
      <c r="BR332" s="13"/>
      <c r="BS332" s="13"/>
      <c r="BT332" s="14"/>
      <c r="BU332" s="110"/>
      <c r="BV332" s="107"/>
      <c r="BW332" s="107"/>
      <c r="BX332" s="107"/>
      <c r="BY332" s="107"/>
      <c r="BZ332" s="107"/>
      <c r="CA332" s="111"/>
      <c r="CB332" s="107"/>
      <c r="CC332" s="107"/>
      <c r="CD332" s="107"/>
      <c r="CE332" s="107"/>
      <c r="CF332" s="107"/>
      <c r="CG332" s="107"/>
      <c r="CH332" s="107"/>
      <c r="CI332" s="107"/>
      <c r="CJ332" s="107"/>
    </row>
    <row r="333">
      <c r="A333" s="60"/>
      <c r="B333" s="35">
        <v>575000.0</v>
      </c>
      <c r="C333" s="43"/>
      <c r="D333" s="18"/>
      <c r="E333" s="20"/>
      <c r="F333" s="20"/>
      <c r="G333" s="21">
        <f t="shared" si="114"/>
        <v>488750</v>
      </c>
      <c r="H333" s="13"/>
      <c r="I333" s="13"/>
      <c r="J333" s="13"/>
      <c r="K333" s="13">
        <f>H335</f>
        <v>3410725</v>
      </c>
      <c r="L333" s="14"/>
      <c r="M333" s="60"/>
      <c r="N333" s="32"/>
      <c r="O333" s="93"/>
      <c r="P333" s="33"/>
      <c r="Q333" s="20"/>
      <c r="R333" s="20"/>
      <c r="S333" s="21">
        <f t="shared" si="115"/>
        <v>0</v>
      </c>
      <c r="T333" s="13"/>
      <c r="U333" s="13"/>
      <c r="V333" s="13"/>
      <c r="W333" s="13"/>
      <c r="X333" s="14"/>
      <c r="Y333" s="60"/>
      <c r="Z333" s="32"/>
      <c r="AA333" s="25"/>
      <c r="AB333" s="33"/>
      <c r="AC333" s="20"/>
      <c r="AD333" s="20"/>
      <c r="AE333" s="21">
        <f t="shared" si="116"/>
        <v>0</v>
      </c>
      <c r="AF333" s="13"/>
      <c r="AG333" s="13"/>
      <c r="AH333" s="13"/>
      <c r="AI333" s="13"/>
      <c r="AJ333" s="14"/>
      <c r="AK333" s="15"/>
      <c r="AL333" s="32"/>
      <c r="AM333" s="25"/>
      <c r="AN333" s="33"/>
      <c r="AO333" s="20"/>
      <c r="AP333" s="20"/>
      <c r="AQ333" s="21">
        <f t="shared" si="117"/>
        <v>0</v>
      </c>
      <c r="AR333" s="13"/>
      <c r="AS333" s="13"/>
      <c r="AT333" s="13"/>
      <c r="AU333" s="13"/>
      <c r="AV333" s="14"/>
      <c r="AW333" s="60"/>
      <c r="AX333" s="32"/>
      <c r="AY333" s="25"/>
      <c r="AZ333" s="33"/>
      <c r="BA333" s="20"/>
      <c r="BB333" s="20"/>
      <c r="BC333" s="21">
        <f t="shared" si="118"/>
        <v>0</v>
      </c>
      <c r="BD333" s="13"/>
      <c r="BE333" s="13"/>
      <c r="BF333" s="13"/>
      <c r="BG333" s="13"/>
      <c r="BH333" s="14"/>
      <c r="BI333" s="60"/>
      <c r="BJ333" s="32"/>
      <c r="BK333" s="25"/>
      <c r="BL333" s="33"/>
      <c r="BM333" s="20"/>
      <c r="BN333" s="20"/>
      <c r="BO333" s="21">
        <f t="shared" si="119"/>
        <v>0</v>
      </c>
      <c r="BP333" s="13"/>
      <c r="BQ333" s="13"/>
      <c r="BR333" s="13"/>
      <c r="BS333" s="13"/>
      <c r="BT333" s="14"/>
      <c r="BU333" s="110"/>
      <c r="BV333" s="107"/>
      <c r="BW333" s="107"/>
      <c r="BX333" s="107"/>
      <c r="BY333" s="107"/>
      <c r="BZ333" s="107"/>
      <c r="CA333" s="111"/>
      <c r="CB333" s="107"/>
      <c r="CC333" s="107"/>
      <c r="CD333" s="107"/>
      <c r="CE333" s="107"/>
      <c r="CF333" s="107"/>
      <c r="CG333" s="107"/>
      <c r="CH333" s="107"/>
      <c r="CI333" s="107"/>
      <c r="CJ333" s="107"/>
    </row>
    <row r="334">
      <c r="A334" s="60"/>
      <c r="B334" s="35"/>
      <c r="C334" s="17"/>
      <c r="D334" s="18"/>
      <c r="E334" s="20"/>
      <c r="F334" s="20"/>
      <c r="G334" s="21">
        <f t="shared" si="114"/>
        <v>0</v>
      </c>
      <c r="H334" s="94" t="s">
        <v>13</v>
      </c>
      <c r="I334" s="86" t="s">
        <v>57</v>
      </c>
      <c r="J334" s="86" t="s">
        <v>57</v>
      </c>
      <c r="K334" s="86" t="s">
        <v>65</v>
      </c>
      <c r="L334" s="95"/>
      <c r="M334" s="60"/>
      <c r="N334" s="32"/>
      <c r="O334" s="25"/>
      <c r="P334" s="33"/>
      <c r="Q334" s="20"/>
      <c r="R334" s="20"/>
      <c r="S334" s="21">
        <f t="shared" si="115"/>
        <v>0</v>
      </c>
      <c r="T334" s="13"/>
      <c r="U334" s="13"/>
      <c r="V334" s="13"/>
      <c r="W334" s="13"/>
      <c r="X334" s="14"/>
      <c r="Y334" s="38"/>
      <c r="Z334" s="32"/>
      <c r="AA334" s="25"/>
      <c r="AB334" s="33"/>
      <c r="AC334" s="20"/>
      <c r="AD334" s="20"/>
      <c r="AE334" s="21">
        <f t="shared" si="116"/>
        <v>0</v>
      </c>
      <c r="AF334" s="13"/>
      <c r="AG334" s="13"/>
      <c r="AH334" s="13"/>
      <c r="AI334" s="13"/>
      <c r="AJ334" s="14"/>
      <c r="AK334" s="15"/>
      <c r="AL334" s="32"/>
      <c r="AM334" s="25"/>
      <c r="AN334" s="33"/>
      <c r="AO334" s="20"/>
      <c r="AP334" s="20"/>
      <c r="AQ334" s="21">
        <f t="shared" si="117"/>
        <v>0</v>
      </c>
      <c r="AR334" s="13"/>
      <c r="AS334" s="13"/>
      <c r="AT334" s="13"/>
      <c r="AU334" s="13"/>
      <c r="AV334" s="14"/>
      <c r="AW334" s="38"/>
      <c r="AX334" s="32"/>
      <c r="AY334" s="25"/>
      <c r="AZ334" s="33"/>
      <c r="BA334" s="20"/>
      <c r="BB334" s="20"/>
      <c r="BC334" s="21">
        <f t="shared" si="118"/>
        <v>0</v>
      </c>
      <c r="BD334" s="13"/>
      <c r="BE334" s="13"/>
      <c r="BF334" s="13"/>
      <c r="BG334" s="13"/>
      <c r="BH334" s="14"/>
      <c r="BI334" s="38"/>
      <c r="BJ334" s="32"/>
      <c r="BK334" s="25"/>
      <c r="BL334" s="33"/>
      <c r="BM334" s="20"/>
      <c r="BN334" s="20"/>
      <c r="BO334" s="21">
        <f t="shared" si="119"/>
        <v>0</v>
      </c>
      <c r="BP334" s="13"/>
      <c r="BQ334" s="13"/>
      <c r="BR334" s="13"/>
      <c r="BS334" s="13"/>
      <c r="BT334" s="14"/>
      <c r="BU334" s="110"/>
      <c r="BV334" s="107"/>
      <c r="BW334" s="107"/>
      <c r="BX334" s="107"/>
      <c r="BY334" s="107"/>
      <c r="BZ334" s="107"/>
      <c r="CA334" s="111"/>
      <c r="CB334" s="107"/>
      <c r="CC334" s="107"/>
      <c r="CD334" s="107"/>
      <c r="CE334" s="107"/>
      <c r="CF334" s="107"/>
      <c r="CG334" s="107"/>
      <c r="CH334" s="107"/>
      <c r="CI334" s="107"/>
      <c r="CJ334" s="107"/>
    </row>
    <row r="335">
      <c r="A335" s="60"/>
      <c r="B335" s="16"/>
      <c r="C335" s="17"/>
      <c r="D335" s="42"/>
      <c r="E335" s="30"/>
      <c r="F335" s="30"/>
      <c r="G335" s="21">
        <f t="shared" si="114"/>
        <v>0</v>
      </c>
      <c r="H335" s="95">
        <f>AG328+I328+U328+AS328+BE328+BQ328+CC328</f>
        <v>3410725</v>
      </c>
      <c r="I335" s="102" t="s">
        <v>52</v>
      </c>
      <c r="J335" s="102" t="s">
        <v>44</v>
      </c>
      <c r="K335" s="102" t="s">
        <v>52</v>
      </c>
      <c r="L335" s="102" t="s">
        <v>44</v>
      </c>
      <c r="M335" s="60"/>
      <c r="N335" s="37"/>
      <c r="O335" s="25"/>
      <c r="P335" s="41"/>
      <c r="Q335" s="20"/>
      <c r="R335" s="20"/>
      <c r="S335" s="21">
        <f t="shared" si="115"/>
        <v>0</v>
      </c>
      <c r="T335" s="67" t="s">
        <v>76</v>
      </c>
      <c r="U335" s="67">
        <v>1500.0</v>
      </c>
      <c r="V335" s="67">
        <v>37500.0</v>
      </c>
      <c r="W335" s="13"/>
      <c r="X335" s="14"/>
      <c r="Y335" s="38"/>
      <c r="Z335" s="37"/>
      <c r="AA335" s="25"/>
      <c r="AB335" s="41"/>
      <c r="AC335" s="20"/>
      <c r="AD335" s="20"/>
      <c r="AE335" s="21">
        <f t="shared" si="116"/>
        <v>0</v>
      </c>
      <c r="AF335" s="13"/>
      <c r="AG335" s="13"/>
      <c r="AH335" s="13"/>
      <c r="AI335" s="13"/>
      <c r="AJ335" s="14"/>
      <c r="AK335" s="15"/>
      <c r="AL335" s="37"/>
      <c r="AM335" s="25"/>
      <c r="AN335" s="41"/>
      <c r="AO335" s="20"/>
      <c r="AP335" s="20"/>
      <c r="AQ335" s="21">
        <f t="shared" si="117"/>
        <v>0</v>
      </c>
      <c r="AR335" s="13"/>
      <c r="AS335" s="13"/>
      <c r="AT335" s="13"/>
      <c r="AU335" s="13"/>
      <c r="AV335" s="14"/>
      <c r="AW335" s="38"/>
      <c r="AX335" s="37"/>
      <c r="AY335" s="25"/>
      <c r="AZ335" s="41"/>
      <c r="BA335" s="20"/>
      <c r="BB335" s="20"/>
      <c r="BC335" s="21">
        <f t="shared" si="118"/>
        <v>0</v>
      </c>
      <c r="BD335" s="13"/>
      <c r="BE335" s="13"/>
      <c r="BF335" s="13"/>
      <c r="BG335" s="13"/>
      <c r="BH335" s="14"/>
      <c r="BI335" s="38"/>
      <c r="BJ335" s="37"/>
      <c r="BK335" s="25"/>
      <c r="BL335" s="41"/>
      <c r="BM335" s="20"/>
      <c r="BN335" s="20"/>
      <c r="BO335" s="21">
        <f t="shared" si="119"/>
        <v>0</v>
      </c>
      <c r="BP335" s="13"/>
      <c r="BQ335" s="13"/>
      <c r="BR335" s="13"/>
      <c r="BS335" s="13"/>
      <c r="BT335" s="14"/>
      <c r="BU335" s="107"/>
      <c r="BV335" s="107"/>
      <c r="BW335" s="107"/>
      <c r="BX335" s="107"/>
      <c r="BY335" s="107"/>
      <c r="BZ335" s="107"/>
      <c r="CA335" s="111"/>
      <c r="CB335" s="107"/>
      <c r="CC335" s="107"/>
      <c r="CD335" s="107"/>
      <c r="CE335" s="107"/>
      <c r="CF335" s="107"/>
      <c r="CG335" s="107"/>
      <c r="CH335" s="107"/>
      <c r="CI335" s="107"/>
      <c r="CJ335" s="107"/>
    </row>
    <row r="336">
      <c r="A336" s="60"/>
      <c r="B336" s="35"/>
      <c r="C336" s="17"/>
      <c r="D336" s="18"/>
      <c r="E336" s="20"/>
      <c r="F336" s="20"/>
      <c r="G336" s="21">
        <f t="shared" si="114"/>
        <v>0</v>
      </c>
      <c r="H336" s="95"/>
      <c r="I336" s="115">
        <f>SUM(H335)-(H335*99%)</f>
        <v>34107.25</v>
      </c>
      <c r="J336" s="87">
        <f>SUM(H335)-(H335*98.5%)</f>
        <v>51160.875</v>
      </c>
      <c r="K336" s="87">
        <f>SUM(K333)-(K333*99%)</f>
        <v>34107.25</v>
      </c>
      <c r="L336" s="87">
        <f>SUM(K333)-(K333*98.5%)</f>
        <v>51160.875</v>
      </c>
      <c r="M336" s="60"/>
      <c r="N336" s="24"/>
      <c r="O336" s="25"/>
      <c r="P336" s="41"/>
      <c r="Q336" s="30"/>
      <c r="R336" s="30"/>
      <c r="S336" s="21">
        <f t="shared" si="115"/>
        <v>0</v>
      </c>
      <c r="T336" s="13"/>
      <c r="U336" s="13"/>
      <c r="V336" s="13"/>
      <c r="W336" s="13"/>
      <c r="X336" s="14"/>
      <c r="Y336" s="38"/>
      <c r="Z336" s="24"/>
      <c r="AA336" s="25"/>
      <c r="AB336" s="41"/>
      <c r="AC336" s="30"/>
      <c r="AD336" s="30"/>
      <c r="AE336" s="21">
        <f t="shared" si="116"/>
        <v>0</v>
      </c>
      <c r="AF336" s="13"/>
      <c r="AG336" s="13"/>
      <c r="AH336" s="13"/>
      <c r="AI336" s="13"/>
      <c r="AJ336" s="14"/>
      <c r="AK336" s="38"/>
      <c r="AL336" s="24"/>
      <c r="AM336" s="25"/>
      <c r="AN336" s="41"/>
      <c r="AO336" s="30"/>
      <c r="AP336" s="30"/>
      <c r="AQ336" s="21">
        <f t="shared" si="117"/>
        <v>0</v>
      </c>
      <c r="AR336" s="13"/>
      <c r="AS336" s="13"/>
      <c r="AT336" s="13"/>
      <c r="AU336" s="13"/>
      <c r="AV336" s="14"/>
      <c r="AW336" s="38"/>
      <c r="AX336" s="24"/>
      <c r="AY336" s="25"/>
      <c r="AZ336" s="41"/>
      <c r="BA336" s="30"/>
      <c r="BB336" s="30"/>
      <c r="BC336" s="21">
        <f t="shared" si="118"/>
        <v>0</v>
      </c>
      <c r="BD336" s="67"/>
      <c r="BE336" s="67"/>
      <c r="BF336" s="13"/>
      <c r="BG336" s="13"/>
      <c r="BH336" s="14"/>
      <c r="BI336" s="38"/>
      <c r="BJ336" s="24"/>
      <c r="BK336" s="25"/>
      <c r="BL336" s="41"/>
      <c r="BM336" s="30"/>
      <c r="BN336" s="30"/>
      <c r="BO336" s="21">
        <f t="shared" si="119"/>
        <v>0</v>
      </c>
      <c r="BP336" s="13"/>
      <c r="BQ336" s="13"/>
      <c r="BR336" s="13"/>
      <c r="BS336" s="13"/>
      <c r="BT336" s="14"/>
      <c r="BU336" s="107"/>
      <c r="BV336" s="107"/>
      <c r="BW336" s="107"/>
      <c r="BX336" s="107"/>
      <c r="BY336" s="107"/>
      <c r="BZ336" s="107"/>
      <c r="CA336" s="111"/>
      <c r="CB336" s="107"/>
      <c r="CC336" s="107"/>
      <c r="CD336" s="107"/>
      <c r="CE336" s="107"/>
      <c r="CF336" s="107"/>
      <c r="CG336" s="107"/>
      <c r="CH336" s="107"/>
      <c r="CI336" s="107"/>
      <c r="CJ336" s="107"/>
    </row>
    <row r="337">
      <c r="A337" s="60"/>
      <c r="B337" s="24"/>
      <c r="C337" s="25"/>
      <c r="D337" s="41"/>
      <c r="E337" s="46"/>
      <c r="F337" s="46"/>
      <c r="G337" s="21">
        <f t="shared" si="114"/>
        <v>0</v>
      </c>
      <c r="H337" s="95"/>
      <c r="I337" s="86" t="s">
        <v>53</v>
      </c>
      <c r="J337" s="86" t="s">
        <v>36</v>
      </c>
      <c r="K337" s="86" t="s">
        <v>53</v>
      </c>
      <c r="L337" s="86" t="s">
        <v>36</v>
      </c>
      <c r="M337" s="38"/>
      <c r="N337" s="37"/>
      <c r="O337" s="25"/>
      <c r="P337" s="41"/>
      <c r="Q337" s="20"/>
      <c r="R337" s="20"/>
      <c r="S337" s="21">
        <f t="shared" si="115"/>
        <v>0</v>
      </c>
      <c r="T337" s="13"/>
      <c r="U337" s="13"/>
      <c r="V337" s="13"/>
      <c r="W337" s="13"/>
      <c r="X337" s="14"/>
      <c r="Y337" s="38"/>
      <c r="Z337" s="37"/>
      <c r="AA337" s="25"/>
      <c r="AB337" s="41"/>
      <c r="AC337" s="20"/>
      <c r="AD337" s="20"/>
      <c r="AE337" s="21">
        <f t="shared" si="116"/>
        <v>0</v>
      </c>
      <c r="AF337" s="13"/>
      <c r="AG337" s="13"/>
      <c r="AH337" s="13"/>
      <c r="AI337" s="13"/>
      <c r="AJ337" s="14"/>
      <c r="AK337" s="38"/>
      <c r="AL337" s="37"/>
      <c r="AM337" s="25"/>
      <c r="AN337" s="41"/>
      <c r="AO337" s="20"/>
      <c r="AP337" s="20"/>
      <c r="AQ337" s="21">
        <f t="shared" si="117"/>
        <v>0</v>
      </c>
      <c r="AR337" s="13"/>
      <c r="AS337" s="13"/>
      <c r="AT337" s="13"/>
      <c r="AU337" s="13"/>
      <c r="AV337" s="14"/>
      <c r="AW337" s="38"/>
      <c r="AX337" s="37"/>
      <c r="AY337" s="25"/>
      <c r="AZ337" s="41"/>
      <c r="BA337" s="20"/>
      <c r="BB337" s="20"/>
      <c r="BC337" s="21">
        <f t="shared" si="118"/>
        <v>0</v>
      </c>
      <c r="BD337" s="13"/>
      <c r="BE337" s="13"/>
      <c r="BF337" s="13"/>
      <c r="BG337" s="13"/>
      <c r="BH337" s="14"/>
      <c r="BI337" s="38"/>
      <c r="BJ337" s="37"/>
      <c r="BK337" s="25"/>
      <c r="BL337" s="41"/>
      <c r="BM337" s="20"/>
      <c r="BN337" s="20"/>
      <c r="BO337" s="21">
        <f t="shared" si="119"/>
        <v>0</v>
      </c>
      <c r="BP337" s="13"/>
      <c r="BQ337" s="13"/>
      <c r="BR337" s="13"/>
      <c r="BS337" s="13"/>
      <c r="BT337" s="14"/>
      <c r="BU337" s="107"/>
      <c r="BV337" s="107"/>
      <c r="BW337" s="107"/>
      <c r="BX337" s="107"/>
      <c r="BY337" s="107"/>
      <c r="BZ337" s="107"/>
      <c r="CA337" s="111"/>
      <c r="CB337" s="107"/>
      <c r="CC337" s="107"/>
      <c r="CD337" s="107"/>
      <c r="CE337" s="107"/>
      <c r="CF337" s="107"/>
      <c r="CG337" s="107"/>
      <c r="CH337" s="107"/>
      <c r="CI337" s="107"/>
      <c r="CJ337" s="107"/>
    </row>
    <row r="338">
      <c r="A338" s="60"/>
      <c r="B338" s="47"/>
      <c r="C338" s="25"/>
      <c r="D338" s="33"/>
      <c r="E338" s="46"/>
      <c r="F338" s="46"/>
      <c r="G338" s="21">
        <f t="shared" si="114"/>
        <v>0</v>
      </c>
      <c r="H338" s="94" t="s">
        <v>12</v>
      </c>
      <c r="I338" s="87">
        <f t="shared" ref="I338:L338" si="126">SUM(I336)-(I336*10%)</f>
        <v>30696.525</v>
      </c>
      <c r="J338" s="87">
        <f t="shared" si="126"/>
        <v>46044.7875</v>
      </c>
      <c r="K338" s="87">
        <f t="shared" si="126"/>
        <v>30696.525</v>
      </c>
      <c r="L338" s="87">
        <f t="shared" si="126"/>
        <v>46044.7875</v>
      </c>
      <c r="M338" s="38"/>
      <c r="N338" s="24"/>
      <c r="O338" s="25"/>
      <c r="P338" s="41"/>
      <c r="Q338" s="46"/>
      <c r="R338" s="46"/>
      <c r="S338" s="21">
        <f t="shared" si="115"/>
        <v>0</v>
      </c>
      <c r="T338" s="13"/>
      <c r="U338" s="13"/>
      <c r="V338" s="13"/>
      <c r="W338" s="13"/>
      <c r="X338" s="14"/>
      <c r="Y338" s="38"/>
      <c r="Z338" s="24"/>
      <c r="AA338" s="25"/>
      <c r="AB338" s="41"/>
      <c r="AC338" s="46"/>
      <c r="AD338" s="46"/>
      <c r="AE338" s="21">
        <f t="shared" si="116"/>
        <v>0</v>
      </c>
      <c r="AF338" s="13"/>
      <c r="AG338" s="13"/>
      <c r="AH338" s="13"/>
      <c r="AI338" s="13"/>
      <c r="AJ338" s="14"/>
      <c r="AK338" s="38"/>
      <c r="AL338" s="24"/>
      <c r="AM338" s="25"/>
      <c r="AN338" s="41"/>
      <c r="AO338" s="46"/>
      <c r="AP338" s="46"/>
      <c r="AQ338" s="21">
        <f t="shared" si="117"/>
        <v>0</v>
      </c>
      <c r="AR338" s="13"/>
      <c r="AS338" s="13"/>
      <c r="AT338" s="13"/>
      <c r="AU338" s="13"/>
      <c r="AV338" s="14"/>
      <c r="AW338" s="38"/>
      <c r="AX338" s="24"/>
      <c r="AY338" s="25"/>
      <c r="AZ338" s="41"/>
      <c r="BA338" s="46"/>
      <c r="BB338" s="46"/>
      <c r="BC338" s="21">
        <f t="shared" si="118"/>
        <v>0</v>
      </c>
      <c r="BD338" s="13"/>
      <c r="BE338" s="13"/>
      <c r="BF338" s="13"/>
      <c r="BG338" s="13"/>
      <c r="BH338" s="14"/>
      <c r="BI338" s="38"/>
      <c r="BJ338" s="24"/>
      <c r="BK338" s="25"/>
      <c r="BL338" s="41"/>
      <c r="BM338" s="46"/>
      <c r="BN338" s="46"/>
      <c r="BO338" s="21">
        <f t="shared" si="119"/>
        <v>0</v>
      </c>
      <c r="BP338" s="13"/>
      <c r="BQ338" s="13"/>
      <c r="BR338" s="13"/>
      <c r="BS338" s="13"/>
      <c r="BT338" s="14"/>
      <c r="BU338" s="107"/>
      <c r="BV338" s="107"/>
      <c r="BW338" s="107"/>
      <c r="BX338" s="107"/>
      <c r="BY338" s="107"/>
      <c r="BZ338" s="107"/>
      <c r="CA338" s="111"/>
      <c r="CB338" s="107"/>
      <c r="CC338" s="107"/>
      <c r="CD338" s="107"/>
      <c r="CE338" s="107"/>
      <c r="CF338" s="107"/>
      <c r="CG338" s="107"/>
      <c r="CH338" s="107"/>
      <c r="CI338" s="107"/>
      <c r="CJ338" s="107"/>
    </row>
    <row r="339">
      <c r="A339" s="105"/>
      <c r="B339" s="47"/>
      <c r="C339" s="25"/>
      <c r="D339" s="33"/>
      <c r="E339" s="46"/>
      <c r="F339" s="46"/>
      <c r="G339" s="21">
        <f t="shared" si="114"/>
        <v>0</v>
      </c>
      <c r="H339" s="95">
        <f>H328+T328+AF328+AR328+BD328+BP328+CB328</f>
        <v>3525000</v>
      </c>
      <c r="I339" s="95"/>
      <c r="J339" s="95"/>
      <c r="K339" s="86" t="s">
        <v>66</v>
      </c>
      <c r="L339" s="95"/>
      <c r="M339" s="38"/>
      <c r="N339" s="47"/>
      <c r="O339" s="25"/>
      <c r="P339" s="41"/>
      <c r="Q339" s="46"/>
      <c r="R339" s="46"/>
      <c r="S339" s="21">
        <f t="shared" si="115"/>
        <v>0</v>
      </c>
      <c r="T339" s="13"/>
      <c r="U339" s="13"/>
      <c r="V339" s="13"/>
      <c r="W339" s="13"/>
      <c r="X339" s="14"/>
      <c r="Y339" s="38"/>
      <c r="Z339" s="47"/>
      <c r="AA339" s="25"/>
      <c r="AB339" s="41"/>
      <c r="AC339" s="46"/>
      <c r="AD339" s="46"/>
      <c r="AE339" s="21">
        <f t="shared" si="116"/>
        <v>0</v>
      </c>
      <c r="AF339" s="13"/>
      <c r="AG339" s="13"/>
      <c r="AH339" s="13"/>
      <c r="AI339" s="13"/>
      <c r="AJ339" s="14"/>
      <c r="AK339" s="38"/>
      <c r="AL339" s="47"/>
      <c r="AM339" s="25"/>
      <c r="AN339" s="41"/>
      <c r="AO339" s="46"/>
      <c r="AP339" s="46"/>
      <c r="AQ339" s="21">
        <f t="shared" si="117"/>
        <v>0</v>
      </c>
      <c r="AR339" s="13"/>
      <c r="AS339" s="13"/>
      <c r="AT339" s="13"/>
      <c r="AU339" s="13"/>
      <c r="AV339" s="14"/>
      <c r="AW339" s="38"/>
      <c r="AX339" s="47"/>
      <c r="AY339" s="25"/>
      <c r="AZ339" s="41"/>
      <c r="BA339" s="46"/>
      <c r="BB339" s="46"/>
      <c r="BC339" s="21">
        <f t="shared" si="118"/>
        <v>0</v>
      </c>
      <c r="BD339" s="13"/>
      <c r="BE339" s="13"/>
      <c r="BF339" s="13"/>
      <c r="BG339" s="13"/>
      <c r="BH339" s="14"/>
      <c r="BI339" s="38"/>
      <c r="BJ339" s="47"/>
      <c r="BK339" s="25"/>
      <c r="BL339" s="41"/>
      <c r="BM339" s="46"/>
      <c r="BN339" s="46"/>
      <c r="BO339" s="21">
        <f t="shared" si="119"/>
        <v>0</v>
      </c>
      <c r="BP339" s="13"/>
      <c r="BQ339" s="13"/>
      <c r="BR339" s="13"/>
      <c r="BS339" s="13"/>
      <c r="BT339" s="14"/>
      <c r="BU339" s="107"/>
      <c r="BV339" s="107"/>
      <c r="BW339" s="107"/>
      <c r="BX339" s="107"/>
      <c r="BY339" s="107"/>
      <c r="BZ339" s="107"/>
      <c r="CA339" s="111"/>
      <c r="CB339" s="107"/>
      <c r="CC339" s="107"/>
      <c r="CD339" s="107"/>
      <c r="CE339" s="107"/>
      <c r="CF339" s="107"/>
      <c r="CG339" s="107"/>
      <c r="CH339" s="107"/>
      <c r="CI339" s="107"/>
      <c r="CJ339" s="107"/>
    </row>
    <row r="340">
      <c r="A340" s="105"/>
      <c r="B340" s="32"/>
      <c r="C340" s="25"/>
      <c r="D340" s="41"/>
      <c r="E340" s="46"/>
      <c r="F340" s="46"/>
      <c r="G340" s="21">
        <f t="shared" si="114"/>
        <v>0</v>
      </c>
      <c r="H340" s="95"/>
      <c r="I340" s="95"/>
      <c r="J340" s="95"/>
      <c r="K340" s="95">
        <f>J330+K338</f>
        <v>56061.0675</v>
      </c>
      <c r="L340" s="95"/>
      <c r="M340" s="38"/>
      <c r="N340" s="32"/>
      <c r="O340" s="25"/>
      <c r="P340" s="41"/>
      <c r="Q340" s="46"/>
      <c r="R340" s="46"/>
      <c r="S340" s="21">
        <f t="shared" si="115"/>
        <v>0</v>
      </c>
      <c r="T340" s="13"/>
      <c r="U340" s="13"/>
      <c r="V340" s="13"/>
      <c r="W340" s="13"/>
      <c r="X340" s="14"/>
      <c r="Y340" s="38"/>
      <c r="Z340" s="32"/>
      <c r="AA340" s="25"/>
      <c r="AB340" s="41"/>
      <c r="AC340" s="46"/>
      <c r="AD340" s="46"/>
      <c r="AE340" s="21">
        <f t="shared" si="116"/>
        <v>0</v>
      </c>
      <c r="AF340" s="13"/>
      <c r="AG340" s="13"/>
      <c r="AH340" s="13"/>
      <c r="AI340" s="13"/>
      <c r="AJ340" s="14"/>
      <c r="AK340" s="38"/>
      <c r="AL340" s="32"/>
      <c r="AM340" s="25"/>
      <c r="AN340" s="41"/>
      <c r="AO340" s="46"/>
      <c r="AP340" s="46"/>
      <c r="AQ340" s="21">
        <f t="shared" si="117"/>
        <v>0</v>
      </c>
      <c r="AR340" s="13"/>
      <c r="AS340" s="13"/>
      <c r="AT340" s="13"/>
      <c r="AU340" s="13"/>
      <c r="AV340" s="14"/>
      <c r="AW340" s="38"/>
      <c r="AX340" s="32"/>
      <c r="AY340" s="25"/>
      <c r="AZ340" s="41"/>
      <c r="BA340" s="46"/>
      <c r="BB340" s="46"/>
      <c r="BC340" s="21">
        <f t="shared" si="118"/>
        <v>0</v>
      </c>
      <c r="BD340" s="13"/>
      <c r="BE340" s="13"/>
      <c r="BF340" s="13"/>
      <c r="BG340" s="13"/>
      <c r="BH340" s="14"/>
      <c r="BI340" s="38"/>
      <c r="BJ340" s="32"/>
      <c r="BK340" s="25"/>
      <c r="BL340" s="41"/>
      <c r="BM340" s="46"/>
      <c r="BN340" s="46"/>
      <c r="BO340" s="21">
        <f t="shared" si="119"/>
        <v>0</v>
      </c>
      <c r="BP340" s="13"/>
      <c r="BQ340" s="13"/>
      <c r="BR340" s="13"/>
      <c r="BS340" s="13"/>
      <c r="BT340" s="14"/>
      <c r="BU340" s="107"/>
      <c r="BV340" s="107"/>
      <c r="BW340" s="107"/>
      <c r="BX340" s="107"/>
      <c r="BY340" s="107"/>
      <c r="BZ340" s="107"/>
      <c r="CA340" s="111"/>
      <c r="CB340" s="107"/>
      <c r="CC340" s="107"/>
      <c r="CD340" s="107"/>
      <c r="CE340" s="107"/>
      <c r="CF340" s="107"/>
      <c r="CG340" s="107"/>
      <c r="CH340" s="107"/>
      <c r="CI340" s="107"/>
      <c r="CJ340" s="107"/>
    </row>
    <row r="341">
      <c r="A341" s="105"/>
      <c r="B341" s="47"/>
      <c r="C341" s="25"/>
      <c r="D341" s="41"/>
      <c r="E341" s="46"/>
      <c r="F341" s="46"/>
      <c r="G341" s="21">
        <f t="shared" si="114"/>
        <v>0</v>
      </c>
      <c r="H341" s="13"/>
      <c r="I341" s="13"/>
      <c r="J341" s="13"/>
      <c r="K341" s="13"/>
      <c r="L341" s="14"/>
      <c r="M341" s="38"/>
      <c r="N341" s="47"/>
      <c r="O341" s="25"/>
      <c r="P341" s="41"/>
      <c r="Q341" s="46"/>
      <c r="R341" s="46"/>
      <c r="S341" s="21">
        <f t="shared" si="115"/>
        <v>0</v>
      </c>
      <c r="T341" s="13"/>
      <c r="U341" s="116"/>
      <c r="V341" s="117" t="s">
        <v>78</v>
      </c>
      <c r="W341" s="116"/>
      <c r="X341" s="14"/>
      <c r="Y341" s="38"/>
      <c r="Z341" s="47"/>
      <c r="AA341" s="25"/>
      <c r="AB341" s="41"/>
      <c r="AC341" s="46"/>
      <c r="AD341" s="46"/>
      <c r="AE341" s="21">
        <f t="shared" si="116"/>
        <v>0</v>
      </c>
      <c r="AF341" s="13"/>
      <c r="AG341" s="116"/>
      <c r="AH341" s="117" t="s">
        <v>59</v>
      </c>
      <c r="AI341" s="116"/>
      <c r="AJ341" s="14"/>
      <c r="AK341" s="38"/>
      <c r="AL341" s="47"/>
      <c r="AM341" s="25"/>
      <c r="AN341" s="41"/>
      <c r="AO341" s="46"/>
      <c r="AP341" s="46"/>
      <c r="AQ341" s="21">
        <f t="shared" si="117"/>
        <v>0</v>
      </c>
      <c r="AR341" s="13"/>
      <c r="AS341" s="116"/>
      <c r="AT341" s="117" t="s">
        <v>60</v>
      </c>
      <c r="AU341" s="116"/>
      <c r="AV341" s="14"/>
      <c r="AW341" s="38"/>
      <c r="AX341" s="47"/>
      <c r="AY341" s="25"/>
      <c r="AZ341" s="41"/>
      <c r="BA341" s="46"/>
      <c r="BB341" s="46"/>
      <c r="BC341" s="21">
        <f t="shared" si="118"/>
        <v>0</v>
      </c>
      <c r="BD341" s="13"/>
      <c r="BE341" s="116"/>
      <c r="BF341" s="117"/>
      <c r="BG341" s="116"/>
      <c r="BH341" s="14"/>
      <c r="BI341" s="38"/>
      <c r="BJ341" s="47"/>
      <c r="BK341" s="25"/>
      <c r="BL341" s="41"/>
      <c r="BM341" s="46"/>
      <c r="BN341" s="46"/>
      <c r="BO341" s="21">
        <f t="shared" si="119"/>
        <v>0</v>
      </c>
      <c r="BP341" s="13"/>
      <c r="BQ341" s="116"/>
      <c r="BR341" s="117" t="s">
        <v>59</v>
      </c>
      <c r="BS341" s="116"/>
      <c r="BT341" s="14"/>
      <c r="BU341" s="107"/>
      <c r="BV341" s="107"/>
      <c r="BW341" s="107"/>
      <c r="BX341" s="107"/>
      <c r="BY341" s="107"/>
      <c r="BZ341" s="107"/>
      <c r="CA341" s="111"/>
      <c r="CB341" s="107"/>
      <c r="CC341" s="107"/>
      <c r="CD341" s="107"/>
      <c r="CE341" s="107"/>
      <c r="CF341" s="107"/>
      <c r="CG341" s="107"/>
      <c r="CH341" s="107"/>
      <c r="CI341" s="107"/>
      <c r="CJ341" s="107"/>
    </row>
    <row r="342">
      <c r="A342" s="38"/>
      <c r="B342" s="47"/>
      <c r="C342" s="25"/>
      <c r="D342" s="41"/>
      <c r="E342" s="46"/>
      <c r="F342" s="46"/>
      <c r="G342" s="21">
        <f t="shared" si="114"/>
        <v>0</v>
      </c>
      <c r="H342" s="116"/>
      <c r="I342" s="117" t="s">
        <v>61</v>
      </c>
      <c r="J342" s="116"/>
      <c r="K342" s="13"/>
      <c r="L342" s="14"/>
      <c r="M342" s="38"/>
      <c r="N342" s="47"/>
      <c r="O342" s="25"/>
      <c r="P342" s="41"/>
      <c r="Q342" s="46"/>
      <c r="R342" s="46"/>
      <c r="S342" s="21">
        <f t="shared" si="115"/>
        <v>0</v>
      </c>
      <c r="T342" s="13"/>
      <c r="U342" s="118">
        <v>0.01</v>
      </c>
      <c r="V342" s="118">
        <v>0.01</v>
      </c>
      <c r="W342" s="117" t="s">
        <v>80</v>
      </c>
      <c r="X342" s="14"/>
      <c r="Y342" s="38"/>
      <c r="Z342" s="47"/>
      <c r="AA342" s="25"/>
      <c r="AB342" s="41"/>
      <c r="AC342" s="46"/>
      <c r="AD342" s="46"/>
      <c r="AE342" s="21">
        <f t="shared" si="116"/>
        <v>0</v>
      </c>
      <c r="AF342" s="13"/>
      <c r="AG342" s="118">
        <v>0.02</v>
      </c>
      <c r="AH342" s="118">
        <v>0.04</v>
      </c>
      <c r="AI342" s="118">
        <v>0.06</v>
      </c>
      <c r="AJ342" s="14"/>
      <c r="AK342" s="38"/>
      <c r="AL342" s="47"/>
      <c r="AM342" s="25"/>
      <c r="AN342" s="41"/>
      <c r="AO342" s="46"/>
      <c r="AP342" s="46"/>
      <c r="AQ342" s="21">
        <f t="shared" si="117"/>
        <v>0</v>
      </c>
      <c r="AR342" s="13"/>
      <c r="AS342" s="118">
        <v>0.03</v>
      </c>
      <c r="AT342" s="118">
        <v>0.05</v>
      </c>
      <c r="AU342" s="118">
        <v>0.07</v>
      </c>
      <c r="AV342" s="14"/>
      <c r="AW342" s="38"/>
      <c r="AX342" s="47"/>
      <c r="AY342" s="25"/>
      <c r="AZ342" s="41"/>
      <c r="BA342" s="46"/>
      <c r="BB342" s="46"/>
      <c r="BC342" s="21">
        <f t="shared" si="118"/>
        <v>0</v>
      </c>
      <c r="BD342" s="13"/>
      <c r="BE342" s="118"/>
      <c r="BF342" s="118"/>
      <c r="BG342" s="117"/>
      <c r="BH342" s="14"/>
      <c r="BI342" s="38"/>
      <c r="BJ342" s="47"/>
      <c r="BK342" s="25"/>
      <c r="BL342" s="41"/>
      <c r="BM342" s="46"/>
      <c r="BN342" s="46"/>
      <c r="BO342" s="21">
        <f t="shared" si="119"/>
        <v>0</v>
      </c>
      <c r="BP342" s="13"/>
      <c r="BQ342" s="118">
        <v>0.03</v>
      </c>
      <c r="BR342" s="118">
        <v>0.05</v>
      </c>
      <c r="BS342" s="118">
        <v>0.07</v>
      </c>
      <c r="BT342" s="14"/>
      <c r="BU342" s="107"/>
      <c r="BV342" s="107"/>
      <c r="BW342" s="107"/>
      <c r="BX342" s="107"/>
      <c r="BY342" s="107"/>
      <c r="BZ342" s="107"/>
      <c r="CA342" s="111"/>
      <c r="CB342" s="107"/>
      <c r="CC342" s="107"/>
      <c r="CD342" s="107"/>
      <c r="CE342" s="107"/>
      <c r="CF342" s="107"/>
      <c r="CG342" s="107"/>
      <c r="CH342" s="107"/>
      <c r="CI342" s="107"/>
      <c r="CJ342" s="107"/>
    </row>
    <row r="343">
      <c r="A343" s="38"/>
      <c r="B343" s="47"/>
      <c r="C343" s="25"/>
      <c r="D343" s="41"/>
      <c r="E343" s="46"/>
      <c r="F343" s="46"/>
      <c r="G343" s="21">
        <f t="shared" si="114"/>
        <v>0</v>
      </c>
      <c r="H343" s="118">
        <v>0.03</v>
      </c>
      <c r="I343" s="118">
        <v>0.05</v>
      </c>
      <c r="J343" s="118">
        <v>0.07</v>
      </c>
      <c r="K343" s="13"/>
      <c r="L343" s="14"/>
      <c r="M343" s="38"/>
      <c r="N343" s="47"/>
      <c r="O343" s="25"/>
      <c r="P343" s="41"/>
      <c r="Q343" s="46"/>
      <c r="R343" s="46"/>
      <c r="S343" s="21">
        <f t="shared" si="115"/>
        <v>0</v>
      </c>
      <c r="T343" s="13"/>
      <c r="U343" s="117">
        <v>5.0</v>
      </c>
      <c r="V343" s="117">
        <v>7.0</v>
      </c>
      <c r="W343" s="117">
        <v>10.0</v>
      </c>
      <c r="X343" s="14"/>
      <c r="Y343" s="38"/>
      <c r="Z343" s="47"/>
      <c r="AA343" s="25"/>
      <c r="AB343" s="41"/>
      <c r="AC343" s="46"/>
      <c r="AD343" s="46"/>
      <c r="AE343" s="21">
        <f t="shared" si="116"/>
        <v>0</v>
      </c>
      <c r="AF343" s="13"/>
      <c r="AG343" s="117">
        <v>5.0</v>
      </c>
      <c r="AH343" s="117">
        <v>7.0</v>
      </c>
      <c r="AI343" s="117">
        <v>10.0</v>
      </c>
      <c r="AJ343" s="14"/>
      <c r="AK343" s="38"/>
      <c r="AL343" s="47"/>
      <c r="AM343" s="25"/>
      <c r="AN343" s="41"/>
      <c r="AO343" s="46"/>
      <c r="AP343" s="46"/>
      <c r="AQ343" s="21">
        <f t="shared" si="117"/>
        <v>0</v>
      </c>
      <c r="AR343" s="13"/>
      <c r="AS343" s="117">
        <v>5.0</v>
      </c>
      <c r="AT343" s="117">
        <v>7.0</v>
      </c>
      <c r="AU343" s="117">
        <v>10.0</v>
      </c>
      <c r="AV343" s="14"/>
      <c r="AW343" s="38"/>
      <c r="AX343" s="47"/>
      <c r="AY343" s="25"/>
      <c r="AZ343" s="41"/>
      <c r="BA343" s="46"/>
      <c r="BB343" s="46"/>
      <c r="BC343" s="21">
        <f t="shared" si="118"/>
        <v>0</v>
      </c>
      <c r="BD343" s="13"/>
      <c r="BE343" s="117"/>
      <c r="BF343" s="117"/>
      <c r="BG343" s="117"/>
      <c r="BH343" s="14"/>
      <c r="BI343" s="38"/>
      <c r="BJ343" s="47"/>
      <c r="BK343" s="25"/>
      <c r="BL343" s="41"/>
      <c r="BM343" s="46"/>
      <c r="BN343" s="46"/>
      <c r="BO343" s="21">
        <f t="shared" si="119"/>
        <v>0</v>
      </c>
      <c r="BP343" s="13"/>
      <c r="BQ343" s="117">
        <v>5.0</v>
      </c>
      <c r="BR343" s="117">
        <v>7.0</v>
      </c>
      <c r="BS343" s="117">
        <v>10.0</v>
      </c>
      <c r="BT343" s="14"/>
      <c r="BU343" s="107"/>
      <c r="BV343" s="107"/>
      <c r="BW343" s="107"/>
      <c r="BX343" s="107"/>
      <c r="BY343" s="107"/>
      <c r="BZ343" s="107"/>
      <c r="CA343" s="111"/>
      <c r="CB343" s="107"/>
      <c r="CC343" s="107"/>
      <c r="CD343" s="107"/>
      <c r="CE343" s="107"/>
      <c r="CF343" s="107"/>
      <c r="CG343" s="107"/>
      <c r="CH343" s="107"/>
      <c r="CI343" s="107"/>
      <c r="CJ343" s="107"/>
    </row>
    <row r="344">
      <c r="A344" s="38"/>
      <c r="B344" s="32"/>
      <c r="C344" s="25"/>
      <c r="D344" s="41"/>
      <c r="E344" s="49"/>
      <c r="F344" s="49"/>
      <c r="G344" s="21">
        <f t="shared" si="114"/>
        <v>0</v>
      </c>
      <c r="H344" s="117">
        <v>5.0</v>
      </c>
      <c r="I344" s="117">
        <v>7.0</v>
      </c>
      <c r="J344" s="117">
        <v>10.0</v>
      </c>
      <c r="K344" s="13"/>
      <c r="L344" s="14"/>
      <c r="M344" s="38"/>
      <c r="N344" s="32"/>
      <c r="O344" s="25"/>
      <c r="P344" s="41"/>
      <c r="Q344" s="49"/>
      <c r="R344" s="49"/>
      <c r="S344" s="21">
        <f t="shared" si="115"/>
        <v>0</v>
      </c>
      <c r="T344" s="13"/>
      <c r="U344" s="13"/>
      <c r="V344" s="13"/>
      <c r="W344" s="13"/>
      <c r="X344" s="14"/>
      <c r="Y344" s="38"/>
      <c r="Z344" s="32"/>
      <c r="AA344" s="25"/>
      <c r="AB344" s="41"/>
      <c r="AC344" s="49"/>
      <c r="AD344" s="49"/>
      <c r="AE344" s="21">
        <f t="shared" si="116"/>
        <v>0</v>
      </c>
      <c r="AF344" s="13"/>
      <c r="AG344" s="13"/>
      <c r="AH344" s="13"/>
      <c r="AI344" s="13"/>
      <c r="AJ344" s="14"/>
      <c r="AK344" s="38"/>
      <c r="AL344" s="32"/>
      <c r="AM344" s="25"/>
      <c r="AN344" s="41"/>
      <c r="AO344" s="49"/>
      <c r="AP344" s="49"/>
      <c r="AQ344" s="21">
        <f t="shared" si="117"/>
        <v>0</v>
      </c>
      <c r="AR344" s="13"/>
      <c r="AS344" s="13"/>
      <c r="AT344" s="13"/>
      <c r="AU344" s="13"/>
      <c r="AV344" s="14"/>
      <c r="AW344" s="38"/>
      <c r="AX344" s="32"/>
      <c r="AY344" s="25"/>
      <c r="AZ344" s="41"/>
      <c r="BA344" s="49"/>
      <c r="BB344" s="49"/>
      <c r="BC344" s="21">
        <f t="shared" si="118"/>
        <v>0</v>
      </c>
      <c r="BD344" s="13"/>
      <c r="BE344" s="13"/>
      <c r="BF344" s="13"/>
      <c r="BG344" s="13"/>
      <c r="BH344" s="14"/>
      <c r="BI344" s="38"/>
      <c r="BJ344" s="32"/>
      <c r="BK344" s="25"/>
      <c r="BL344" s="41"/>
      <c r="BM344" s="49"/>
      <c r="BN344" s="49"/>
      <c r="BO344" s="21">
        <f t="shared" si="119"/>
        <v>0</v>
      </c>
      <c r="BP344" s="13"/>
      <c r="BQ344" s="13"/>
      <c r="BR344" s="13"/>
      <c r="BS344" s="13"/>
      <c r="BT344" s="14"/>
      <c r="BU344" s="107"/>
      <c r="BV344" s="107"/>
      <c r="BW344" s="107"/>
      <c r="BX344" s="107"/>
      <c r="BY344" s="107"/>
      <c r="BZ344" s="107"/>
      <c r="CA344" s="111"/>
      <c r="CB344" s="107"/>
      <c r="CC344" s="107"/>
      <c r="CD344" s="107"/>
      <c r="CE344" s="107"/>
      <c r="CF344" s="107"/>
      <c r="CG344" s="107"/>
      <c r="CH344" s="107"/>
      <c r="CI344" s="107"/>
      <c r="CJ344" s="107"/>
    </row>
    <row r="345">
      <c r="A345" s="38"/>
      <c r="B345" s="32"/>
      <c r="C345" s="25"/>
      <c r="D345" s="41"/>
      <c r="E345" s="49"/>
      <c r="F345" s="49"/>
      <c r="G345" s="21">
        <f t="shared" si="114"/>
        <v>0</v>
      </c>
      <c r="H345" s="13"/>
      <c r="I345" s="13"/>
      <c r="J345" s="13"/>
      <c r="K345" s="13"/>
      <c r="L345" s="14"/>
      <c r="M345" s="38"/>
      <c r="N345" s="32"/>
      <c r="O345" s="25"/>
      <c r="P345" s="41"/>
      <c r="Q345" s="49"/>
      <c r="R345" s="49"/>
      <c r="S345" s="21">
        <f t="shared" si="115"/>
        <v>0</v>
      </c>
      <c r="T345" s="13"/>
      <c r="U345" s="13"/>
      <c r="V345" s="13"/>
      <c r="W345" s="13"/>
      <c r="X345" s="14"/>
      <c r="Y345" s="38"/>
      <c r="Z345" s="32"/>
      <c r="AA345" s="25"/>
      <c r="AB345" s="41"/>
      <c r="AC345" s="49"/>
      <c r="AD345" s="49"/>
      <c r="AE345" s="21">
        <f t="shared" si="116"/>
        <v>0</v>
      </c>
      <c r="AF345" s="13"/>
      <c r="AG345" s="13"/>
      <c r="AH345" s="13"/>
      <c r="AI345" s="13"/>
      <c r="AJ345" s="14"/>
      <c r="AK345" s="38"/>
      <c r="AL345" s="32"/>
      <c r="AM345" s="25"/>
      <c r="AN345" s="41"/>
      <c r="AO345" s="49"/>
      <c r="AP345" s="49"/>
      <c r="AQ345" s="21">
        <f t="shared" si="117"/>
        <v>0</v>
      </c>
      <c r="AR345" s="13"/>
      <c r="AS345" s="13"/>
      <c r="AT345" s="13"/>
      <c r="AU345" s="13"/>
      <c r="AV345" s="14"/>
      <c r="AW345" s="38"/>
      <c r="AX345" s="32"/>
      <c r="AY345" s="25"/>
      <c r="AZ345" s="41"/>
      <c r="BA345" s="49"/>
      <c r="BB345" s="49"/>
      <c r="BC345" s="21">
        <f t="shared" si="118"/>
        <v>0</v>
      </c>
      <c r="BD345" s="13"/>
      <c r="BE345" s="13"/>
      <c r="BF345" s="13"/>
      <c r="BG345" s="13"/>
      <c r="BH345" s="14"/>
      <c r="BI345" s="38"/>
      <c r="BJ345" s="32"/>
      <c r="BK345" s="25"/>
      <c r="BL345" s="41"/>
      <c r="BM345" s="49"/>
      <c r="BN345" s="49"/>
      <c r="BO345" s="21">
        <f t="shared" si="119"/>
        <v>0</v>
      </c>
      <c r="BP345" s="13"/>
      <c r="BQ345" s="13"/>
      <c r="BR345" s="13"/>
      <c r="BS345" s="13"/>
      <c r="BT345" s="14"/>
      <c r="BU345" s="107"/>
      <c r="BV345" s="107"/>
      <c r="BW345" s="107"/>
      <c r="BX345" s="107"/>
      <c r="BY345" s="107"/>
      <c r="BZ345" s="107"/>
      <c r="CA345" s="111"/>
      <c r="CB345" s="107"/>
      <c r="CC345" s="107"/>
      <c r="CD345" s="107"/>
      <c r="CE345" s="107"/>
      <c r="CF345" s="107"/>
      <c r="CG345" s="107"/>
      <c r="CH345" s="107"/>
      <c r="CI345" s="107"/>
      <c r="CJ345" s="107"/>
    </row>
    <row r="346">
      <c r="A346" s="38"/>
      <c r="B346" s="32"/>
      <c r="C346" s="25"/>
      <c r="D346" s="41"/>
      <c r="E346" s="49"/>
      <c r="F346" s="49"/>
      <c r="G346" s="21">
        <f t="shared" si="114"/>
        <v>0</v>
      </c>
      <c r="H346" s="13"/>
      <c r="I346" s="13"/>
      <c r="J346" s="67"/>
      <c r="K346" s="13"/>
      <c r="L346" s="14"/>
      <c r="M346" s="38"/>
      <c r="N346" s="32"/>
      <c r="O346" s="25"/>
      <c r="P346" s="41"/>
      <c r="Q346" s="49"/>
      <c r="R346" s="49"/>
      <c r="S346" s="21">
        <f t="shared" si="115"/>
        <v>0</v>
      </c>
      <c r="T346" s="13"/>
      <c r="U346" s="13"/>
      <c r="V346" s="13"/>
      <c r="W346" s="13"/>
      <c r="X346" s="14"/>
      <c r="Y346" s="38"/>
      <c r="Z346" s="32"/>
      <c r="AA346" s="25"/>
      <c r="AB346" s="41"/>
      <c r="AC346" s="49"/>
      <c r="AD346" s="49"/>
      <c r="AE346" s="21">
        <f t="shared" si="116"/>
        <v>0</v>
      </c>
      <c r="AF346" s="13"/>
      <c r="AG346" s="13"/>
      <c r="AH346" s="13"/>
      <c r="AI346" s="13"/>
      <c r="AJ346" s="14"/>
      <c r="AK346" s="38"/>
      <c r="AL346" s="32"/>
      <c r="AM346" s="25"/>
      <c r="AN346" s="41"/>
      <c r="AO346" s="49"/>
      <c r="AP346" s="49"/>
      <c r="AQ346" s="21">
        <f t="shared" si="117"/>
        <v>0</v>
      </c>
      <c r="AR346" s="13"/>
      <c r="AS346" s="13"/>
      <c r="AT346" s="13"/>
      <c r="AU346" s="13"/>
      <c r="AV346" s="14"/>
      <c r="AW346" s="38"/>
      <c r="AX346" s="32"/>
      <c r="AY346" s="25"/>
      <c r="AZ346" s="41"/>
      <c r="BA346" s="49"/>
      <c r="BB346" s="49"/>
      <c r="BC346" s="21">
        <f t="shared" si="118"/>
        <v>0</v>
      </c>
      <c r="BD346" s="13"/>
      <c r="BE346" s="13"/>
      <c r="BF346" s="13"/>
      <c r="BG346" s="13"/>
      <c r="BH346" s="14"/>
      <c r="BI346" s="38"/>
      <c r="BJ346" s="32"/>
      <c r="BK346" s="25"/>
      <c r="BL346" s="41"/>
      <c r="BM346" s="49"/>
      <c r="BN346" s="49"/>
      <c r="BO346" s="21">
        <f t="shared" si="119"/>
        <v>0</v>
      </c>
      <c r="BP346" s="13"/>
      <c r="BQ346" s="13"/>
      <c r="BR346" s="13"/>
      <c r="BS346" s="13"/>
      <c r="BT346" s="14"/>
      <c r="BU346" s="107"/>
      <c r="BV346" s="107"/>
      <c r="BW346" s="107"/>
      <c r="BX346" s="107"/>
      <c r="BY346" s="107"/>
      <c r="BZ346" s="107"/>
      <c r="CA346" s="111"/>
      <c r="CB346" s="107"/>
      <c r="CC346" s="107"/>
      <c r="CD346" s="107"/>
      <c r="CE346" s="107"/>
      <c r="CF346" s="107"/>
      <c r="CG346" s="107"/>
      <c r="CH346" s="107"/>
      <c r="CI346" s="107"/>
      <c r="CJ346" s="107"/>
    </row>
    <row r="347">
      <c r="A347" s="38"/>
      <c r="B347" s="32"/>
      <c r="C347" s="25"/>
      <c r="D347" s="41"/>
      <c r="E347" s="46"/>
      <c r="F347" s="46"/>
      <c r="G347" s="21">
        <f t="shared" si="114"/>
        <v>0</v>
      </c>
      <c r="H347" s="13"/>
      <c r="I347" s="67" t="s">
        <v>85</v>
      </c>
      <c r="J347" s="13"/>
      <c r="K347" s="13"/>
      <c r="L347" s="14"/>
      <c r="M347" s="38"/>
      <c r="N347" s="32"/>
      <c r="O347" s="25"/>
      <c r="P347" s="41"/>
      <c r="Q347" s="46"/>
      <c r="R347" s="46"/>
      <c r="S347" s="21">
        <f t="shared" si="115"/>
        <v>0</v>
      </c>
      <c r="T347" s="13"/>
      <c r="U347" s="13"/>
      <c r="V347" s="13"/>
      <c r="W347" s="13"/>
      <c r="X347" s="14"/>
      <c r="Y347" s="38"/>
      <c r="Z347" s="32"/>
      <c r="AA347" s="25"/>
      <c r="AB347" s="41"/>
      <c r="AC347" s="46"/>
      <c r="AD347" s="46"/>
      <c r="AE347" s="21">
        <f t="shared" si="116"/>
        <v>0</v>
      </c>
      <c r="AF347" s="13"/>
      <c r="AG347" s="13"/>
      <c r="AH347" s="13"/>
      <c r="AI347" s="13"/>
      <c r="AJ347" s="14"/>
      <c r="AK347" s="38"/>
      <c r="AL347" s="32"/>
      <c r="AM347" s="25"/>
      <c r="AN347" s="41"/>
      <c r="AO347" s="46"/>
      <c r="AP347" s="46"/>
      <c r="AQ347" s="21">
        <f t="shared" si="117"/>
        <v>0</v>
      </c>
      <c r="AR347" s="13"/>
      <c r="AS347" s="13"/>
      <c r="AT347" s="13"/>
      <c r="AU347" s="13"/>
      <c r="AV347" s="14"/>
      <c r="AW347" s="38"/>
      <c r="AX347" s="32"/>
      <c r="AY347" s="25"/>
      <c r="AZ347" s="41"/>
      <c r="BA347" s="46"/>
      <c r="BB347" s="46"/>
      <c r="BC347" s="21">
        <f t="shared" si="118"/>
        <v>0</v>
      </c>
      <c r="BD347" s="13"/>
      <c r="BE347" s="13"/>
      <c r="BF347" s="13"/>
      <c r="BG347" s="13"/>
      <c r="BH347" s="14"/>
      <c r="BI347" s="38"/>
      <c r="BJ347" s="32"/>
      <c r="BK347" s="25"/>
      <c r="BL347" s="41"/>
      <c r="BM347" s="46"/>
      <c r="BN347" s="46"/>
      <c r="BO347" s="21">
        <f t="shared" si="119"/>
        <v>0</v>
      </c>
      <c r="BP347" s="13"/>
      <c r="BQ347" s="13"/>
      <c r="BR347" s="13"/>
      <c r="BS347" s="13"/>
      <c r="BT347" s="14"/>
      <c r="BU347" s="107"/>
      <c r="BV347" s="107"/>
      <c r="BW347" s="107"/>
      <c r="BX347" s="107"/>
      <c r="BY347" s="107"/>
      <c r="BZ347" s="107"/>
      <c r="CA347" s="111"/>
      <c r="CB347" s="107"/>
      <c r="CC347" s="107"/>
      <c r="CD347" s="107"/>
      <c r="CE347" s="107"/>
      <c r="CF347" s="107"/>
      <c r="CG347" s="107"/>
      <c r="CH347" s="107"/>
      <c r="CI347" s="107"/>
      <c r="CJ347" s="107"/>
    </row>
    <row r="348">
      <c r="A348" s="38"/>
      <c r="B348" s="47"/>
      <c r="C348" s="25"/>
      <c r="D348" s="41"/>
      <c r="E348" s="49"/>
      <c r="F348" s="49"/>
      <c r="G348" s="21">
        <f t="shared" si="114"/>
        <v>0</v>
      </c>
      <c r="H348" s="13"/>
      <c r="I348" s="142">
        <v>40363.0</v>
      </c>
      <c r="J348" s="13"/>
      <c r="K348" s="13"/>
      <c r="L348" s="14"/>
      <c r="M348" s="38"/>
      <c r="N348" s="47"/>
      <c r="O348" s="25"/>
      <c r="P348" s="41"/>
      <c r="Q348" s="49"/>
      <c r="R348" s="49"/>
      <c r="S348" s="21">
        <f t="shared" si="115"/>
        <v>0</v>
      </c>
      <c r="T348" s="13"/>
      <c r="U348" s="67"/>
      <c r="V348" s="67"/>
      <c r="W348" s="13"/>
      <c r="X348" s="14"/>
      <c r="Y348" s="38"/>
      <c r="Z348" s="47"/>
      <c r="AA348" s="25"/>
      <c r="AB348" s="41"/>
      <c r="AC348" s="49"/>
      <c r="AD348" s="49"/>
      <c r="AE348" s="21">
        <f t="shared" si="116"/>
        <v>0</v>
      </c>
      <c r="AF348" s="13"/>
      <c r="AG348" s="13"/>
      <c r="AH348" s="13"/>
      <c r="AI348" s="13"/>
      <c r="AJ348" s="14"/>
      <c r="AK348" s="38"/>
      <c r="AL348" s="47"/>
      <c r="AM348" s="25"/>
      <c r="AN348" s="41"/>
      <c r="AO348" s="49"/>
      <c r="AP348" s="49"/>
      <c r="AQ348" s="21">
        <f t="shared" si="117"/>
        <v>0</v>
      </c>
      <c r="AR348" s="13"/>
      <c r="AS348" s="13"/>
      <c r="AT348" s="13"/>
      <c r="AU348" s="13"/>
      <c r="AV348" s="14"/>
      <c r="AW348" s="38"/>
      <c r="AX348" s="47"/>
      <c r="AY348" s="25"/>
      <c r="AZ348" s="41"/>
      <c r="BA348" s="49"/>
      <c r="BB348" s="49"/>
      <c r="BC348" s="21">
        <f t="shared" si="118"/>
        <v>0</v>
      </c>
      <c r="BD348" s="13"/>
      <c r="BE348" s="13"/>
      <c r="BF348" s="13"/>
      <c r="BG348" s="13"/>
      <c r="BH348" s="14"/>
      <c r="BI348" s="38"/>
      <c r="BJ348" s="47"/>
      <c r="BK348" s="25"/>
      <c r="BL348" s="41"/>
      <c r="BM348" s="49"/>
      <c r="BN348" s="49"/>
      <c r="BO348" s="21">
        <f t="shared" si="119"/>
        <v>0</v>
      </c>
      <c r="BP348" s="13"/>
      <c r="BQ348" s="13"/>
      <c r="BR348" s="13"/>
      <c r="BS348" s="13"/>
      <c r="BT348" s="14"/>
      <c r="BU348" s="107"/>
      <c r="BV348" s="107"/>
      <c r="BW348" s="107"/>
      <c r="BX348" s="107"/>
      <c r="BY348" s="107"/>
      <c r="BZ348" s="107"/>
      <c r="CA348" s="111"/>
      <c r="CB348" s="107"/>
      <c r="CC348" s="107"/>
      <c r="CD348" s="107"/>
      <c r="CE348" s="107"/>
      <c r="CF348" s="107"/>
      <c r="CG348" s="107"/>
      <c r="CH348" s="107"/>
      <c r="CI348" s="107"/>
      <c r="CJ348" s="107"/>
    </row>
    <row r="349">
      <c r="A349" s="38"/>
      <c r="B349" s="32"/>
      <c r="C349" s="25"/>
      <c r="D349" s="41"/>
      <c r="E349" s="49"/>
      <c r="F349" s="49"/>
      <c r="G349" s="21">
        <f t="shared" si="114"/>
        <v>0</v>
      </c>
      <c r="H349" s="13"/>
      <c r="I349" s="67"/>
      <c r="J349" s="13"/>
      <c r="K349" s="13"/>
      <c r="L349" s="14"/>
      <c r="M349" s="38"/>
      <c r="N349" s="32"/>
      <c r="O349" s="25"/>
      <c r="P349" s="41"/>
      <c r="Q349" s="49"/>
      <c r="R349" s="49"/>
      <c r="S349" s="21">
        <f t="shared" si="115"/>
        <v>0</v>
      </c>
      <c r="T349" s="13"/>
      <c r="U349" s="13"/>
      <c r="V349" s="13"/>
      <c r="W349" s="13"/>
      <c r="X349" s="14"/>
      <c r="Y349" s="38"/>
      <c r="Z349" s="32"/>
      <c r="AA349" s="25"/>
      <c r="AB349" s="41"/>
      <c r="AC349" s="49"/>
      <c r="AD349" s="49"/>
      <c r="AE349" s="21">
        <f t="shared" si="116"/>
        <v>0</v>
      </c>
      <c r="AF349" s="13"/>
      <c r="AG349" s="13"/>
      <c r="AH349" s="13"/>
      <c r="AI349" s="13"/>
      <c r="AJ349" s="14"/>
      <c r="AK349" s="38"/>
      <c r="AL349" s="32"/>
      <c r="AM349" s="25"/>
      <c r="AN349" s="41"/>
      <c r="AO349" s="49"/>
      <c r="AP349" s="49"/>
      <c r="AQ349" s="21">
        <f t="shared" si="117"/>
        <v>0</v>
      </c>
      <c r="AR349" s="13"/>
      <c r="AS349" s="13"/>
      <c r="AT349" s="13"/>
      <c r="AU349" s="13"/>
      <c r="AV349" s="14"/>
      <c r="AW349" s="38"/>
      <c r="AX349" s="32"/>
      <c r="AY349" s="25"/>
      <c r="AZ349" s="41"/>
      <c r="BA349" s="49"/>
      <c r="BB349" s="49"/>
      <c r="BC349" s="21">
        <f t="shared" si="118"/>
        <v>0</v>
      </c>
      <c r="BD349" s="13"/>
      <c r="BE349" s="13"/>
      <c r="BF349" s="13"/>
      <c r="BG349" s="13"/>
      <c r="BH349" s="14"/>
      <c r="BI349" s="38"/>
      <c r="BJ349" s="32"/>
      <c r="BK349" s="25"/>
      <c r="BL349" s="41"/>
      <c r="BM349" s="49"/>
      <c r="BN349" s="49"/>
      <c r="BO349" s="21">
        <f t="shared" si="119"/>
        <v>0</v>
      </c>
      <c r="BP349" s="13"/>
      <c r="BQ349" s="13"/>
      <c r="BR349" s="13"/>
      <c r="BS349" s="13"/>
      <c r="BT349" s="14"/>
      <c r="BU349" s="107"/>
      <c r="BV349" s="107"/>
      <c r="BW349" s="107"/>
      <c r="BX349" s="107"/>
      <c r="BY349" s="107"/>
      <c r="BZ349" s="107"/>
      <c r="CA349" s="111"/>
      <c r="CB349" s="107"/>
      <c r="CC349" s="107"/>
      <c r="CD349" s="107"/>
      <c r="CE349" s="107"/>
      <c r="CF349" s="107"/>
      <c r="CG349" s="107"/>
      <c r="CH349" s="107"/>
      <c r="CI349" s="107"/>
      <c r="CJ349" s="107"/>
    </row>
    <row r="350">
      <c r="A350" s="38"/>
      <c r="B350" s="32"/>
      <c r="C350" s="25"/>
      <c r="D350" s="41"/>
      <c r="E350" s="49"/>
      <c r="F350" s="49"/>
      <c r="G350" s="21">
        <f t="shared" si="114"/>
        <v>0</v>
      </c>
      <c r="H350" s="13"/>
      <c r="I350" s="67"/>
      <c r="J350" s="13"/>
      <c r="K350" s="13"/>
      <c r="L350" s="14"/>
      <c r="M350" s="38"/>
      <c r="N350" s="32"/>
      <c r="O350" s="25"/>
      <c r="P350" s="41"/>
      <c r="Q350" s="49"/>
      <c r="R350" s="49"/>
      <c r="S350" s="21">
        <f t="shared" si="115"/>
        <v>0</v>
      </c>
      <c r="T350" s="13"/>
      <c r="U350" s="13"/>
      <c r="V350" s="13"/>
      <c r="W350" s="13"/>
      <c r="X350" s="14"/>
      <c r="Y350" s="38"/>
      <c r="Z350" s="32"/>
      <c r="AA350" s="25"/>
      <c r="AB350" s="41"/>
      <c r="AC350" s="49"/>
      <c r="AD350" s="49"/>
      <c r="AE350" s="21">
        <f t="shared" si="116"/>
        <v>0</v>
      </c>
      <c r="AF350" s="13"/>
      <c r="AG350" s="13"/>
      <c r="AH350" s="13"/>
      <c r="AI350" s="13"/>
      <c r="AJ350" s="14"/>
      <c r="AK350" s="38"/>
      <c r="AL350" s="32"/>
      <c r="AM350" s="25"/>
      <c r="AN350" s="41"/>
      <c r="AO350" s="49"/>
      <c r="AP350" s="49"/>
      <c r="AQ350" s="21">
        <f t="shared" si="117"/>
        <v>0</v>
      </c>
      <c r="AR350" s="13"/>
      <c r="AS350" s="13"/>
      <c r="AT350" s="13"/>
      <c r="AU350" s="13"/>
      <c r="AV350" s="14"/>
      <c r="AW350" s="38"/>
      <c r="AX350" s="32"/>
      <c r="AY350" s="25"/>
      <c r="AZ350" s="41"/>
      <c r="BA350" s="49"/>
      <c r="BB350" s="49"/>
      <c r="BC350" s="21">
        <f t="shared" si="118"/>
        <v>0</v>
      </c>
      <c r="BD350" s="13"/>
      <c r="BE350" s="13"/>
      <c r="BF350" s="13"/>
      <c r="BG350" s="13"/>
      <c r="BH350" s="14"/>
      <c r="BI350" s="38"/>
      <c r="BJ350" s="32"/>
      <c r="BK350" s="25"/>
      <c r="BL350" s="41"/>
      <c r="BM350" s="49"/>
      <c r="BN350" s="49"/>
      <c r="BO350" s="21">
        <f t="shared" si="119"/>
        <v>0</v>
      </c>
      <c r="BP350" s="13"/>
      <c r="BQ350" s="13"/>
      <c r="BR350" s="13"/>
      <c r="BS350" s="13"/>
      <c r="BT350" s="14"/>
      <c r="BU350" s="107"/>
      <c r="BV350" s="107"/>
      <c r="BW350" s="107"/>
      <c r="BX350" s="107"/>
      <c r="BY350" s="107"/>
      <c r="BZ350" s="107"/>
      <c r="CA350" s="111"/>
      <c r="CB350" s="107"/>
      <c r="CC350" s="107"/>
      <c r="CD350" s="107"/>
      <c r="CE350" s="107"/>
      <c r="CF350" s="107"/>
      <c r="CG350" s="107"/>
      <c r="CH350" s="107"/>
      <c r="CI350" s="107"/>
      <c r="CJ350" s="107"/>
    </row>
    <row r="351">
      <c r="A351" s="50"/>
      <c r="B351" s="32"/>
      <c r="C351" s="25"/>
      <c r="D351" s="41"/>
      <c r="E351" s="49"/>
      <c r="F351" s="49"/>
      <c r="G351" s="88">
        <f t="shared" si="114"/>
        <v>0</v>
      </c>
      <c r="H351" s="89"/>
      <c r="I351" s="104"/>
      <c r="J351" s="89"/>
      <c r="K351" s="89"/>
      <c r="L351" s="90"/>
      <c r="M351" s="50"/>
      <c r="N351" s="32"/>
      <c r="O351" s="25"/>
      <c r="P351" s="41"/>
      <c r="Q351" s="49"/>
      <c r="R351" s="49"/>
      <c r="S351" s="21">
        <f t="shared" si="115"/>
        <v>0</v>
      </c>
      <c r="T351" s="89"/>
      <c r="U351" s="89"/>
      <c r="V351" s="89"/>
      <c r="W351" s="89"/>
      <c r="X351" s="90"/>
      <c r="Y351" s="50"/>
      <c r="Z351" s="32"/>
      <c r="AA351" s="25"/>
      <c r="AB351" s="41"/>
      <c r="AC351" s="49"/>
      <c r="AD351" s="49"/>
      <c r="AE351" s="21">
        <f t="shared" si="116"/>
        <v>0</v>
      </c>
      <c r="AF351" s="89"/>
      <c r="AG351" s="89"/>
      <c r="AH351" s="89"/>
      <c r="AI351" s="89"/>
      <c r="AJ351" s="90"/>
      <c r="AK351" s="50"/>
      <c r="AL351" s="32"/>
      <c r="AM351" s="25"/>
      <c r="AN351" s="41"/>
      <c r="AO351" s="49"/>
      <c r="AP351" s="49"/>
      <c r="AQ351" s="21">
        <f t="shared" si="117"/>
        <v>0</v>
      </c>
      <c r="AR351" s="89"/>
      <c r="AS351" s="89"/>
      <c r="AT351" s="89"/>
      <c r="AU351" s="89"/>
      <c r="AV351" s="90"/>
      <c r="AW351" s="50"/>
      <c r="AX351" s="32"/>
      <c r="AY351" s="25"/>
      <c r="AZ351" s="41"/>
      <c r="BA351" s="49"/>
      <c r="BB351" s="49"/>
      <c r="BC351" s="21">
        <f t="shared" si="118"/>
        <v>0</v>
      </c>
      <c r="BD351" s="89"/>
      <c r="BE351" s="89"/>
      <c r="BF351" s="89"/>
      <c r="BG351" s="89"/>
      <c r="BH351" s="90"/>
      <c r="BI351" s="50"/>
      <c r="BJ351" s="32"/>
      <c r="BK351" s="25"/>
      <c r="BL351" s="41"/>
      <c r="BM351" s="49"/>
      <c r="BN351" s="49"/>
      <c r="BO351" s="21">
        <f t="shared" si="119"/>
        <v>0</v>
      </c>
      <c r="BP351" s="89"/>
      <c r="BQ351" s="89"/>
      <c r="BR351" s="89"/>
      <c r="BS351" s="89"/>
      <c r="BT351" s="90"/>
      <c r="BU351" s="107"/>
      <c r="BV351" s="107"/>
      <c r="BW351" s="107"/>
      <c r="BX351" s="107"/>
      <c r="BY351" s="107"/>
      <c r="BZ351" s="107"/>
      <c r="CA351" s="111"/>
      <c r="CB351" s="107"/>
      <c r="CC351" s="107"/>
      <c r="CD351" s="107"/>
      <c r="CE351" s="107"/>
      <c r="CF351" s="107"/>
      <c r="CG351" s="107"/>
      <c r="CH351" s="107"/>
      <c r="CI351" s="107"/>
      <c r="CJ351" s="107"/>
    </row>
    <row r="352">
      <c r="A352" s="1" t="s">
        <v>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1" t="s">
        <v>2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3"/>
      <c r="Y352" s="1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3"/>
      <c r="AK352" s="1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3"/>
      <c r="AW352" s="1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3"/>
      <c r="BI352" s="1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3"/>
      <c r="BU352" s="4"/>
      <c r="CG352" s="107"/>
      <c r="CH352" s="107"/>
      <c r="CI352" s="107"/>
      <c r="CJ352" s="107"/>
    </row>
    <row r="353">
      <c r="A353" s="5" t="s">
        <v>27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5" t="s">
        <v>3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5" t="s">
        <v>3</v>
      </c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5" t="s">
        <v>3</v>
      </c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5" t="s">
        <v>3</v>
      </c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5" t="s">
        <v>3</v>
      </c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5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107"/>
      <c r="CH353" s="107"/>
      <c r="CI353" s="107"/>
      <c r="CJ353" s="107"/>
    </row>
    <row r="354">
      <c r="A354" s="7" t="s">
        <v>5</v>
      </c>
      <c r="B354" s="8" t="s">
        <v>6</v>
      </c>
      <c r="C354" s="9" t="s">
        <v>7</v>
      </c>
      <c r="D354" s="10" t="s">
        <v>8</v>
      </c>
      <c r="E354" s="11" t="s">
        <v>9</v>
      </c>
      <c r="F354" s="11" t="s">
        <v>10</v>
      </c>
      <c r="G354" s="12" t="s">
        <v>11</v>
      </c>
      <c r="H354" s="12" t="s">
        <v>12</v>
      </c>
      <c r="I354" s="12" t="s">
        <v>13</v>
      </c>
      <c r="J354" s="13" t="s">
        <v>14</v>
      </c>
      <c r="K354" s="67" t="s">
        <v>15</v>
      </c>
      <c r="L354" s="14" t="s">
        <v>16</v>
      </c>
      <c r="M354" s="7" t="s">
        <v>5</v>
      </c>
      <c r="N354" s="8" t="s">
        <v>6</v>
      </c>
      <c r="O354" s="9" t="s">
        <v>7</v>
      </c>
      <c r="P354" s="10" t="s">
        <v>8</v>
      </c>
      <c r="Q354" s="11" t="s">
        <v>9</v>
      </c>
      <c r="R354" s="11" t="s">
        <v>10</v>
      </c>
      <c r="S354" s="12" t="s">
        <v>11</v>
      </c>
      <c r="T354" s="12" t="s">
        <v>12</v>
      </c>
      <c r="U354" s="12" t="s">
        <v>13</v>
      </c>
      <c r="V354" s="13" t="s">
        <v>14</v>
      </c>
      <c r="W354" s="13" t="s">
        <v>15</v>
      </c>
      <c r="X354" s="14" t="s">
        <v>16</v>
      </c>
      <c r="Y354" s="7" t="s">
        <v>5</v>
      </c>
      <c r="Z354" s="8" t="s">
        <v>6</v>
      </c>
      <c r="AA354" s="9" t="s">
        <v>7</v>
      </c>
      <c r="AB354" s="10" t="s">
        <v>8</v>
      </c>
      <c r="AC354" s="11" t="s">
        <v>9</v>
      </c>
      <c r="AD354" s="11" t="s">
        <v>10</v>
      </c>
      <c r="AE354" s="12" t="s">
        <v>11</v>
      </c>
      <c r="AF354" s="12" t="s">
        <v>12</v>
      </c>
      <c r="AG354" s="12" t="s">
        <v>13</v>
      </c>
      <c r="AH354" s="13" t="s">
        <v>14</v>
      </c>
      <c r="AI354" s="13" t="s">
        <v>15</v>
      </c>
      <c r="AJ354" s="14" t="s">
        <v>16</v>
      </c>
      <c r="AK354" s="7" t="s">
        <v>5</v>
      </c>
      <c r="AL354" s="8" t="s">
        <v>84</v>
      </c>
      <c r="AM354" s="9" t="s">
        <v>7</v>
      </c>
      <c r="AN354" s="10" t="s">
        <v>8</v>
      </c>
      <c r="AO354" s="11" t="s">
        <v>9</v>
      </c>
      <c r="AP354" s="11" t="s">
        <v>10</v>
      </c>
      <c r="AQ354" s="12" t="s">
        <v>11</v>
      </c>
      <c r="AR354" s="12" t="s">
        <v>12</v>
      </c>
      <c r="AS354" s="12" t="s">
        <v>13</v>
      </c>
      <c r="AT354" s="13" t="s">
        <v>14</v>
      </c>
      <c r="AU354" s="13" t="s">
        <v>15</v>
      </c>
      <c r="AV354" s="14" t="s">
        <v>16</v>
      </c>
      <c r="AW354" s="7" t="s">
        <v>5</v>
      </c>
      <c r="AX354" s="8" t="s">
        <v>6</v>
      </c>
      <c r="AY354" s="9" t="s">
        <v>7</v>
      </c>
      <c r="AZ354" s="10" t="s">
        <v>8</v>
      </c>
      <c r="BA354" s="11" t="s">
        <v>9</v>
      </c>
      <c r="BB354" s="11" t="s">
        <v>10</v>
      </c>
      <c r="BC354" s="12" t="s">
        <v>11</v>
      </c>
      <c r="BD354" s="12" t="s">
        <v>12</v>
      </c>
      <c r="BE354" s="12" t="s">
        <v>13</v>
      </c>
      <c r="BF354" s="13" t="s">
        <v>14</v>
      </c>
      <c r="BG354" s="13" t="s">
        <v>15</v>
      </c>
      <c r="BH354" s="14" t="s">
        <v>16</v>
      </c>
      <c r="BI354" s="7" t="s">
        <v>5</v>
      </c>
      <c r="BJ354" s="8" t="s">
        <v>6</v>
      </c>
      <c r="BK354" s="9" t="s">
        <v>7</v>
      </c>
      <c r="BL354" s="10" t="s">
        <v>8</v>
      </c>
      <c r="BM354" s="11" t="s">
        <v>9</v>
      </c>
      <c r="BN354" s="11" t="s">
        <v>10</v>
      </c>
      <c r="BO354" s="12" t="s">
        <v>11</v>
      </c>
      <c r="BP354" s="12" t="s">
        <v>12</v>
      </c>
      <c r="BQ354" s="12" t="s">
        <v>13</v>
      </c>
      <c r="BR354" s="13" t="s">
        <v>14</v>
      </c>
      <c r="BS354" s="13" t="s">
        <v>15</v>
      </c>
      <c r="BT354" s="14" t="s">
        <v>16</v>
      </c>
      <c r="BU354" s="109"/>
      <c r="BV354" s="108"/>
      <c r="BW354" s="108"/>
      <c r="BX354" s="108"/>
      <c r="BY354" s="108"/>
      <c r="BZ354" s="108"/>
      <c r="CA354" s="109"/>
      <c r="CB354" s="109"/>
      <c r="CC354" s="109"/>
      <c r="CD354" s="107"/>
      <c r="CE354" s="107"/>
      <c r="CF354" s="107"/>
      <c r="CG354" s="107"/>
      <c r="CH354" s="107"/>
      <c r="CI354" s="107"/>
      <c r="CJ354" s="107"/>
    </row>
    <row r="355">
      <c r="A355" s="15">
        <v>2.0</v>
      </c>
      <c r="B355" s="16"/>
      <c r="C355" s="17"/>
      <c r="D355" s="18"/>
      <c r="E355" s="144">
        <v>10000.0</v>
      </c>
      <c r="F355" s="20"/>
      <c r="G355" s="21">
        <f t="shared" ref="G355:G378" si="127">SUM(B355)-(B355*15%)+(C355)-(C355*20.8%)+(D355)+(E355)-(E355*0.95%)+(F355)-(F355*15.5%)</f>
        <v>9905</v>
      </c>
      <c r="H355" s="22">
        <f>SUM(B355:F378)</f>
        <v>2105000</v>
      </c>
      <c r="I355" s="21">
        <f>SUM(G355:G378)</f>
        <v>2085002.5</v>
      </c>
      <c r="J355" s="21">
        <f>SUM(I355)-(I355*97%)</f>
        <v>62550.075</v>
      </c>
      <c r="K355" s="21">
        <f>SUM(I355)-(I355*95%)</f>
        <v>104250.125</v>
      </c>
      <c r="L355" s="23">
        <f>SUM(I355)-(I355*93%)</f>
        <v>145950.175</v>
      </c>
      <c r="M355" s="15">
        <v>17.0</v>
      </c>
      <c r="N355" s="24"/>
      <c r="O355" s="25"/>
      <c r="P355" s="18"/>
      <c r="Q355" s="20">
        <v>70000.0</v>
      </c>
      <c r="R355" s="20"/>
      <c r="S355" s="21">
        <f t="shared" ref="S355:S378" si="128">SUM(N355)-(N355*15%)+(O355)-(O355*20.8%)+(P355)+(Q355)-(Q355*0.95%)+(R355)-(R355*15.5%)</f>
        <v>69335</v>
      </c>
      <c r="T355" s="22">
        <f>SUM(N355:R378)</f>
        <v>7300000</v>
      </c>
      <c r="U355" s="21">
        <f>SUM(S355:S378)</f>
        <v>6590265</v>
      </c>
      <c r="V355" s="21">
        <f>SUM(U355)-(U355*97%)</f>
        <v>197707.95</v>
      </c>
      <c r="W355" s="21">
        <f>SUM(U355)-(U355*95%)</f>
        <v>329513.25</v>
      </c>
      <c r="X355" s="23">
        <f>SUM(U355)-(U355*93%)</f>
        <v>461318.55</v>
      </c>
      <c r="Y355" s="60"/>
      <c r="Z355" s="24"/>
      <c r="AA355" s="25"/>
      <c r="AB355" s="18"/>
      <c r="AC355" s="20"/>
      <c r="AD355" s="20"/>
      <c r="AE355" s="21">
        <f t="shared" ref="AE355:AE378" si="129">SUM(Z355)-(Z355*15%)+(AA355)-(AA355*20.8%)+(AB355)+(AC355)-(AC355*0.95%)+(AD355)-(AD355*15.5%)</f>
        <v>0</v>
      </c>
      <c r="AF355" s="22">
        <f>SUM(Z355:AD378)</f>
        <v>0</v>
      </c>
      <c r="AG355" s="21">
        <f>SUM(AE355:AE378)</f>
        <v>0</v>
      </c>
      <c r="AH355" s="21">
        <f>SUM(AG355)-(AG355*97%)</f>
        <v>0</v>
      </c>
      <c r="AI355" s="21">
        <f>SUM(AG355)-(AG355*95%)</f>
        <v>0</v>
      </c>
      <c r="AJ355" s="23">
        <f>SUM(AG355)-(AG355*93%)</f>
        <v>0</v>
      </c>
      <c r="AK355" s="15">
        <v>11.0</v>
      </c>
      <c r="AL355" s="24"/>
      <c r="AM355" s="25"/>
      <c r="AN355" s="18"/>
      <c r="AO355" s="20"/>
      <c r="AP355" s="20"/>
      <c r="AQ355" s="21">
        <f t="shared" ref="AQ355:AQ378" si="130">SUM(AL355)-(AL355*15%)+(AM355)-(AM355*20.8%)+(AN355)+(AO355)-(AO355*0.95%)+(AP355)-(AP355*15.5%)</f>
        <v>0</v>
      </c>
      <c r="AR355" s="22">
        <f>SUM(AL355:AP378)</f>
        <v>0</v>
      </c>
      <c r="AS355" s="21">
        <f>SUM(AQ355:AQ378)</f>
        <v>0</v>
      </c>
      <c r="AT355" s="21">
        <f>SUM(AS355)-(AS355*97%)</f>
        <v>0</v>
      </c>
      <c r="AU355" s="21">
        <f>SUM(AS355)-(AS355*95%)</f>
        <v>0</v>
      </c>
      <c r="AV355" s="23">
        <f>SUM(AS355)-(AS355*93%)</f>
        <v>0</v>
      </c>
      <c r="AW355" s="15">
        <v>31.0</v>
      </c>
      <c r="AX355" s="24"/>
      <c r="AY355" s="25"/>
      <c r="AZ355" s="18"/>
      <c r="BA355" s="20"/>
      <c r="BB355" s="20"/>
      <c r="BC355" s="21">
        <f t="shared" ref="BC355:BC378" si="131">SUM(AX355)-(AX355*15%)+(AY355)-(AY355*20.8%)+(AZ355)+(BA355)-(BA355*0.95%)+(BB355)-(BB355*15.5%)</f>
        <v>0</v>
      </c>
      <c r="BD355" s="22">
        <f>SUM(AX355:BB378)</f>
        <v>0</v>
      </c>
      <c r="BE355" s="21">
        <f>SUM(BC355:BC378)</f>
        <v>0</v>
      </c>
      <c r="BF355" s="21">
        <f>SUM(BE355)-(BE355*97%)</f>
        <v>0</v>
      </c>
      <c r="BG355" s="21">
        <f>SUM(BE355)-(BE355*95%)</f>
        <v>0</v>
      </c>
      <c r="BH355" s="23">
        <f>SUM(BE355)-(BE355*93%)</f>
        <v>0</v>
      </c>
      <c r="BI355" s="15"/>
      <c r="BJ355" s="24"/>
      <c r="BK355" s="25"/>
      <c r="BL355" s="18"/>
      <c r="BM355" s="20"/>
      <c r="BN355" s="20"/>
      <c r="BO355" s="21">
        <f t="shared" ref="BO355:BO378" si="132">SUM(BJ355)-(BJ355*15%)+(BK355)-(BK355*20.8%)+(BL355)+(BM355)-(BM355*0.95%)+(BN355)-(BN355*15.5%)</f>
        <v>0</v>
      </c>
      <c r="BP355" s="22">
        <f>SUM(BJ355:BN378)</f>
        <v>0</v>
      </c>
      <c r="BQ355" s="21">
        <f>SUM(BO355:BO378)</f>
        <v>0</v>
      </c>
      <c r="BR355" s="21">
        <f>SUM(BQ355)-(BQ355*97%)</f>
        <v>0</v>
      </c>
      <c r="BS355" s="21">
        <f>SUM(BQ355)-(BQ355*95%)</f>
        <v>0</v>
      </c>
      <c r="BT355" s="23">
        <f>SUM(BQ355)-(BQ355*93%)</f>
        <v>0</v>
      </c>
      <c r="BU355" s="110"/>
      <c r="BV355" s="107"/>
      <c r="BW355" s="107"/>
      <c r="BX355" s="107"/>
      <c r="BY355" s="107"/>
      <c r="BZ355" s="107"/>
      <c r="CA355" s="111"/>
      <c r="CB355" s="112"/>
      <c r="CC355" s="111"/>
      <c r="CD355" s="111"/>
      <c r="CE355" s="111"/>
      <c r="CF355" s="111"/>
      <c r="CG355" s="107"/>
      <c r="CH355" s="107"/>
      <c r="CI355" s="107"/>
      <c r="CJ355" s="107"/>
    </row>
    <row r="356">
      <c r="A356" s="15">
        <v>3.0</v>
      </c>
      <c r="B356" s="27"/>
      <c r="C356" s="17"/>
      <c r="D356" s="40"/>
      <c r="E356" s="19">
        <v>150000.0</v>
      </c>
      <c r="F356" s="30"/>
      <c r="G356" s="21">
        <f t="shared" si="127"/>
        <v>148575</v>
      </c>
      <c r="H356" s="31" t="s">
        <v>20</v>
      </c>
      <c r="I356" s="13"/>
      <c r="J356" s="13" t="s">
        <v>21</v>
      </c>
      <c r="K356" s="13" t="s">
        <v>22</v>
      </c>
      <c r="L356" s="14" t="s">
        <v>23</v>
      </c>
      <c r="M356" s="15"/>
      <c r="N356" s="37">
        <v>500000.0</v>
      </c>
      <c r="O356" s="25"/>
      <c r="P356" s="33"/>
      <c r="Q356" s="30">
        <v>400000.0</v>
      </c>
      <c r="R356" s="30"/>
      <c r="S356" s="21">
        <f t="shared" si="128"/>
        <v>821200</v>
      </c>
      <c r="T356" s="31" t="s">
        <v>20</v>
      </c>
      <c r="U356" s="13"/>
      <c r="V356" s="13" t="s">
        <v>21</v>
      </c>
      <c r="W356" s="13" t="s">
        <v>22</v>
      </c>
      <c r="X356" s="14" t="s">
        <v>23</v>
      </c>
      <c r="Y356" s="60"/>
      <c r="Z356" s="32"/>
      <c r="AA356" s="25"/>
      <c r="AB356" s="33"/>
      <c r="AC356" s="30"/>
      <c r="AD356" s="30"/>
      <c r="AE356" s="21">
        <f t="shared" si="129"/>
        <v>0</v>
      </c>
      <c r="AF356" s="31" t="s">
        <v>20</v>
      </c>
      <c r="AG356" s="13"/>
      <c r="AH356" s="13" t="s">
        <v>21</v>
      </c>
      <c r="AI356" s="13" t="s">
        <v>22</v>
      </c>
      <c r="AJ356" s="14" t="s">
        <v>23</v>
      </c>
      <c r="AK356" s="15">
        <v>23.0</v>
      </c>
      <c r="AL356" s="32"/>
      <c r="AM356" s="25"/>
      <c r="AN356" s="33"/>
      <c r="AO356" s="30"/>
      <c r="AP356" s="30"/>
      <c r="AQ356" s="21">
        <f t="shared" si="130"/>
        <v>0</v>
      </c>
      <c r="AR356" s="31" t="s">
        <v>20</v>
      </c>
      <c r="AS356" s="13"/>
      <c r="AT356" s="13" t="s">
        <v>21</v>
      </c>
      <c r="AU356" s="13" t="s">
        <v>22</v>
      </c>
      <c r="AV356" s="14" t="s">
        <v>23</v>
      </c>
      <c r="AW356" s="60"/>
      <c r="AX356" s="32"/>
      <c r="AY356" s="25"/>
      <c r="AZ356" s="33"/>
      <c r="BA356" s="30"/>
      <c r="BB356" s="30"/>
      <c r="BC356" s="21">
        <f t="shared" si="131"/>
        <v>0</v>
      </c>
      <c r="BD356" s="31" t="s">
        <v>20</v>
      </c>
      <c r="BE356" s="13"/>
      <c r="BF356" s="13" t="s">
        <v>21</v>
      </c>
      <c r="BG356" s="13" t="s">
        <v>22</v>
      </c>
      <c r="BH356" s="14" t="s">
        <v>23</v>
      </c>
      <c r="BI356" s="60"/>
      <c r="BJ356" s="32"/>
      <c r="BK356" s="25"/>
      <c r="BL356" s="33"/>
      <c r="BM356" s="30"/>
      <c r="BN356" s="30"/>
      <c r="BO356" s="21">
        <f t="shared" si="132"/>
        <v>0</v>
      </c>
      <c r="BP356" s="31" t="s">
        <v>20</v>
      </c>
      <c r="BQ356" s="13"/>
      <c r="BR356" s="13" t="s">
        <v>21</v>
      </c>
      <c r="BS356" s="13" t="s">
        <v>22</v>
      </c>
      <c r="BT356" s="14" t="s">
        <v>23</v>
      </c>
      <c r="BU356" s="110"/>
      <c r="BV356" s="107"/>
      <c r="BW356" s="107"/>
      <c r="BX356" s="107"/>
      <c r="BY356" s="107"/>
      <c r="BZ356" s="107"/>
      <c r="CA356" s="111"/>
      <c r="CB356" s="113"/>
      <c r="CC356" s="107"/>
      <c r="CD356" s="107"/>
      <c r="CE356" s="107"/>
      <c r="CF356" s="107"/>
      <c r="CG356" s="107"/>
      <c r="CH356" s="107"/>
      <c r="CI356" s="107"/>
      <c r="CJ356" s="107"/>
    </row>
    <row r="357">
      <c r="A357" s="15">
        <v>3.0</v>
      </c>
      <c r="B357" s="35"/>
      <c r="C357" s="17"/>
      <c r="D357" s="18"/>
      <c r="E357" s="29">
        <v>45000.0</v>
      </c>
      <c r="F357" s="20"/>
      <c r="G357" s="21">
        <f t="shared" si="127"/>
        <v>44572.5</v>
      </c>
      <c r="H357" s="36"/>
      <c r="I357" s="13"/>
      <c r="J357" s="21">
        <f t="shared" ref="J357:L357" si="133">SUM(J355)-(J355*10%)</f>
        <v>56295.0675</v>
      </c>
      <c r="K357" s="21">
        <f t="shared" si="133"/>
        <v>93825.1125</v>
      </c>
      <c r="L357" s="23">
        <f t="shared" si="133"/>
        <v>131355.1575</v>
      </c>
      <c r="M357" s="15"/>
      <c r="N357" s="37"/>
      <c r="O357" s="25"/>
      <c r="P357" s="33"/>
      <c r="Q357" s="20">
        <v>100000.0</v>
      </c>
      <c r="R357" s="20"/>
      <c r="S357" s="21">
        <f t="shared" si="128"/>
        <v>99050</v>
      </c>
      <c r="T357" s="36"/>
      <c r="U357" s="13"/>
      <c r="V357" s="21">
        <f t="shared" ref="V357:X357" si="134">SUM(V355)-(V355*10%)</f>
        <v>177937.155</v>
      </c>
      <c r="W357" s="21">
        <f t="shared" si="134"/>
        <v>296561.925</v>
      </c>
      <c r="X357" s="23">
        <f t="shared" si="134"/>
        <v>415186.695</v>
      </c>
      <c r="Y357" s="60"/>
      <c r="Z357" s="32"/>
      <c r="AA357" s="25"/>
      <c r="AB357" s="33"/>
      <c r="AC357" s="20"/>
      <c r="AD357" s="20"/>
      <c r="AE357" s="21">
        <f t="shared" si="129"/>
        <v>0</v>
      </c>
      <c r="AF357" s="36"/>
      <c r="AG357" s="13"/>
      <c r="AH357" s="21">
        <f t="shared" ref="AH357:AJ357" si="135">SUM(AH355)-(AH355*10%)</f>
        <v>0</v>
      </c>
      <c r="AI357" s="21">
        <f t="shared" si="135"/>
        <v>0</v>
      </c>
      <c r="AJ357" s="23">
        <f t="shared" si="135"/>
        <v>0</v>
      </c>
      <c r="AK357" s="15">
        <v>31.0</v>
      </c>
      <c r="AL357" s="37"/>
      <c r="AM357" s="25"/>
      <c r="AN357" s="33"/>
      <c r="AO357" s="20"/>
      <c r="AP357" s="20"/>
      <c r="AQ357" s="21">
        <f t="shared" si="130"/>
        <v>0</v>
      </c>
      <c r="AR357" s="36"/>
      <c r="AS357" s="13"/>
      <c r="AT357" s="21">
        <f t="shared" ref="AT357:AV357" si="136">SUM(AT355)-(AT355*10%)</f>
        <v>0</v>
      </c>
      <c r="AU357" s="21">
        <f t="shared" si="136"/>
        <v>0</v>
      </c>
      <c r="AV357" s="23">
        <f t="shared" si="136"/>
        <v>0</v>
      </c>
      <c r="AW357" s="60"/>
      <c r="AX357" s="32"/>
      <c r="AY357" s="25"/>
      <c r="AZ357" s="33"/>
      <c r="BA357" s="20"/>
      <c r="BB357" s="20"/>
      <c r="BC357" s="21">
        <f t="shared" si="131"/>
        <v>0</v>
      </c>
      <c r="BD357" s="36"/>
      <c r="BE357" s="13"/>
      <c r="BF357" s="21">
        <f t="shared" ref="BF357:BH357" si="137">SUM(BF355)-(BF355*10%)</f>
        <v>0</v>
      </c>
      <c r="BG357" s="21">
        <f t="shared" si="137"/>
        <v>0</v>
      </c>
      <c r="BH357" s="23">
        <f t="shared" si="137"/>
        <v>0</v>
      </c>
      <c r="BI357" s="60"/>
      <c r="BJ357" s="32"/>
      <c r="BK357" s="25"/>
      <c r="BL357" s="33"/>
      <c r="BM357" s="20"/>
      <c r="BN357" s="20"/>
      <c r="BO357" s="21">
        <f t="shared" si="132"/>
        <v>0</v>
      </c>
      <c r="BP357" s="36"/>
      <c r="BQ357" s="13"/>
      <c r="BR357" s="21">
        <f t="shared" ref="BR357:BT357" si="138">SUM(BR355)-(BR355*10%)</f>
        <v>0</v>
      </c>
      <c r="BS357" s="21">
        <f t="shared" si="138"/>
        <v>0</v>
      </c>
      <c r="BT357" s="23">
        <f t="shared" si="138"/>
        <v>0</v>
      </c>
      <c r="BU357" s="110"/>
      <c r="BV357" s="107"/>
      <c r="BW357" s="107"/>
      <c r="BX357" s="107"/>
      <c r="BY357" s="107"/>
      <c r="BZ357" s="107"/>
      <c r="CA357" s="111"/>
      <c r="CB357" s="107"/>
      <c r="CC357" s="107"/>
      <c r="CD357" s="111"/>
      <c r="CE357" s="111"/>
      <c r="CF357" s="111"/>
      <c r="CG357" s="107"/>
      <c r="CH357" s="107"/>
      <c r="CI357" s="107"/>
      <c r="CJ357" s="107"/>
    </row>
    <row r="358">
      <c r="A358" s="60"/>
      <c r="B358" s="27"/>
      <c r="C358" s="17"/>
      <c r="D358" s="18"/>
      <c r="E358" s="20">
        <v>1900000.0</v>
      </c>
      <c r="F358" s="20"/>
      <c r="G358" s="21">
        <f t="shared" si="127"/>
        <v>1881950</v>
      </c>
      <c r="H358" s="13"/>
      <c r="I358" s="13"/>
      <c r="J358" s="13"/>
      <c r="K358" s="13"/>
      <c r="L358" s="14"/>
      <c r="M358" s="60"/>
      <c r="N358" s="37"/>
      <c r="O358" s="93"/>
      <c r="P358" s="33"/>
      <c r="Q358" s="20">
        <v>120000.0</v>
      </c>
      <c r="R358" s="20"/>
      <c r="S358" s="21">
        <f t="shared" si="128"/>
        <v>118860</v>
      </c>
      <c r="T358" s="13"/>
      <c r="U358" s="13"/>
      <c r="V358" s="13"/>
      <c r="W358" s="13"/>
      <c r="X358" s="14"/>
      <c r="Y358" s="60"/>
      <c r="Z358" s="32"/>
      <c r="AA358" s="93"/>
      <c r="AB358" s="33"/>
      <c r="AC358" s="20"/>
      <c r="AD358" s="20"/>
      <c r="AE358" s="21">
        <f t="shared" si="129"/>
        <v>0</v>
      </c>
      <c r="AF358" s="13"/>
      <c r="AG358" s="13"/>
      <c r="AH358" s="13"/>
      <c r="AI358" s="13"/>
      <c r="AJ358" s="14"/>
      <c r="AK358" s="15"/>
      <c r="AL358" s="32"/>
      <c r="AM358" s="93"/>
      <c r="AN358" s="33"/>
      <c r="AO358" s="20"/>
      <c r="AP358" s="20"/>
      <c r="AQ358" s="21">
        <f t="shared" si="130"/>
        <v>0</v>
      </c>
      <c r="AR358" s="13"/>
      <c r="AS358" s="13"/>
      <c r="AT358" s="13"/>
      <c r="AU358" s="13"/>
      <c r="AV358" s="14"/>
      <c r="AW358" s="60"/>
      <c r="AX358" s="32"/>
      <c r="AY358" s="93"/>
      <c r="AZ358" s="33"/>
      <c r="BA358" s="20"/>
      <c r="BB358" s="20"/>
      <c r="BC358" s="21">
        <f t="shared" si="131"/>
        <v>0</v>
      </c>
      <c r="BD358" s="13"/>
      <c r="BE358" s="13"/>
      <c r="BF358" s="13"/>
      <c r="BG358" s="13"/>
      <c r="BH358" s="14"/>
      <c r="BI358" s="60"/>
      <c r="BJ358" s="32"/>
      <c r="BK358" s="93"/>
      <c r="BL358" s="33"/>
      <c r="BM358" s="20"/>
      <c r="BN358" s="20"/>
      <c r="BO358" s="21">
        <f t="shared" si="132"/>
        <v>0</v>
      </c>
      <c r="BP358" s="13"/>
      <c r="BQ358" s="13"/>
      <c r="BR358" s="13"/>
      <c r="BS358" s="13"/>
      <c r="BT358" s="14"/>
      <c r="BU358" s="110"/>
      <c r="BV358" s="107"/>
      <c r="BW358" s="107"/>
      <c r="BX358" s="107"/>
      <c r="BY358" s="107"/>
      <c r="BZ358" s="107"/>
      <c r="CA358" s="111"/>
      <c r="CB358" s="107"/>
      <c r="CC358" s="107"/>
      <c r="CD358" s="107"/>
      <c r="CE358" s="107"/>
      <c r="CF358" s="107"/>
      <c r="CG358" s="107"/>
      <c r="CH358" s="107"/>
      <c r="CI358" s="107"/>
      <c r="CJ358" s="107"/>
    </row>
    <row r="359">
      <c r="A359" s="15"/>
      <c r="B359" s="35"/>
      <c r="C359" s="17"/>
      <c r="D359" s="18"/>
      <c r="E359" s="20"/>
      <c r="F359" s="20"/>
      <c r="G359" s="21">
        <f t="shared" si="127"/>
        <v>0</v>
      </c>
      <c r="H359" s="13"/>
      <c r="I359" s="13"/>
      <c r="J359" s="13"/>
      <c r="K359" s="13"/>
      <c r="L359" s="14"/>
      <c r="M359" s="60"/>
      <c r="N359" s="37"/>
      <c r="O359" s="25"/>
      <c r="P359" s="33"/>
      <c r="Q359" s="20">
        <v>1800000.0</v>
      </c>
      <c r="R359" s="20"/>
      <c r="S359" s="21">
        <f t="shared" si="128"/>
        <v>1782900</v>
      </c>
      <c r="T359" s="13"/>
      <c r="U359" s="13"/>
      <c r="V359" s="13"/>
      <c r="W359" s="13"/>
      <c r="X359" s="14"/>
      <c r="Y359" s="60"/>
      <c r="Z359" s="32"/>
      <c r="AA359" s="25"/>
      <c r="AB359" s="33"/>
      <c r="AC359" s="20"/>
      <c r="AD359" s="20"/>
      <c r="AE359" s="21">
        <f t="shared" si="129"/>
        <v>0</v>
      </c>
      <c r="AF359" s="13"/>
      <c r="AG359" s="13"/>
      <c r="AH359" s="13"/>
      <c r="AI359" s="13"/>
      <c r="AJ359" s="14"/>
      <c r="AK359" s="15"/>
      <c r="AL359" s="32"/>
      <c r="AM359" s="25"/>
      <c r="AN359" s="33"/>
      <c r="AO359" s="20"/>
      <c r="AP359" s="20"/>
      <c r="AQ359" s="21">
        <f t="shared" si="130"/>
        <v>0</v>
      </c>
      <c r="AR359" s="13"/>
      <c r="AS359" s="13"/>
      <c r="AT359" s="13"/>
      <c r="AU359" s="13"/>
      <c r="AV359" s="14"/>
      <c r="AW359" s="60"/>
      <c r="AX359" s="32"/>
      <c r="AY359" s="25"/>
      <c r="AZ359" s="33"/>
      <c r="BA359" s="20"/>
      <c r="BB359" s="20"/>
      <c r="BC359" s="21">
        <f t="shared" si="131"/>
        <v>0</v>
      </c>
      <c r="BD359" s="13"/>
      <c r="BE359" s="13"/>
      <c r="BF359" s="13"/>
      <c r="BG359" s="13"/>
      <c r="BH359" s="14"/>
      <c r="BI359" s="60"/>
      <c r="BJ359" s="32"/>
      <c r="BK359" s="25"/>
      <c r="BL359" s="33"/>
      <c r="BM359" s="20"/>
      <c r="BN359" s="20"/>
      <c r="BO359" s="21">
        <f t="shared" si="132"/>
        <v>0</v>
      </c>
      <c r="BP359" s="13"/>
      <c r="BQ359" s="13"/>
      <c r="BR359" s="13"/>
      <c r="BS359" s="13"/>
      <c r="BT359" s="14"/>
      <c r="BU359" s="110"/>
      <c r="BV359" s="107"/>
      <c r="BW359" s="107"/>
      <c r="BX359" s="107"/>
      <c r="BY359" s="107"/>
      <c r="BZ359" s="107"/>
      <c r="CA359" s="111"/>
      <c r="CB359" s="107"/>
      <c r="CC359" s="107"/>
      <c r="CD359" s="107"/>
      <c r="CE359" s="107"/>
      <c r="CF359" s="107"/>
      <c r="CG359" s="107"/>
      <c r="CH359" s="107"/>
      <c r="CI359" s="107"/>
      <c r="CJ359" s="107"/>
    </row>
    <row r="360">
      <c r="A360" s="60"/>
      <c r="B360" s="39"/>
      <c r="C360" s="43"/>
      <c r="D360" s="18"/>
      <c r="E360" s="20"/>
      <c r="F360" s="20"/>
      <c r="G360" s="21">
        <f t="shared" si="127"/>
        <v>0</v>
      </c>
      <c r="H360" s="13"/>
      <c r="I360" s="13"/>
      <c r="J360" s="13"/>
      <c r="K360" s="13">
        <f>H362</f>
        <v>8675267.5</v>
      </c>
      <c r="L360" s="14"/>
      <c r="M360" s="60"/>
      <c r="N360" s="32"/>
      <c r="O360" s="93"/>
      <c r="P360" s="33"/>
      <c r="Q360" s="20">
        <v>90000.0</v>
      </c>
      <c r="R360" s="20"/>
      <c r="S360" s="21">
        <f t="shared" si="128"/>
        <v>89145</v>
      </c>
      <c r="T360" s="13"/>
      <c r="U360" s="13"/>
      <c r="V360" s="13"/>
      <c r="W360" s="13"/>
      <c r="X360" s="14"/>
      <c r="Y360" s="60"/>
      <c r="Z360" s="32"/>
      <c r="AA360" s="25"/>
      <c r="AB360" s="33"/>
      <c r="AC360" s="20"/>
      <c r="AD360" s="20"/>
      <c r="AE360" s="21">
        <f t="shared" si="129"/>
        <v>0</v>
      </c>
      <c r="AF360" s="13"/>
      <c r="AG360" s="13"/>
      <c r="AH360" s="13"/>
      <c r="AI360" s="13"/>
      <c r="AJ360" s="14"/>
      <c r="AK360" s="15"/>
      <c r="AL360" s="32"/>
      <c r="AM360" s="25"/>
      <c r="AN360" s="33"/>
      <c r="AO360" s="20"/>
      <c r="AP360" s="20"/>
      <c r="AQ360" s="21">
        <f t="shared" si="130"/>
        <v>0</v>
      </c>
      <c r="AR360" s="13"/>
      <c r="AS360" s="13"/>
      <c r="AT360" s="13"/>
      <c r="AU360" s="13"/>
      <c r="AV360" s="14"/>
      <c r="AW360" s="60"/>
      <c r="AX360" s="32"/>
      <c r="AY360" s="25"/>
      <c r="AZ360" s="33"/>
      <c r="BA360" s="20"/>
      <c r="BB360" s="20"/>
      <c r="BC360" s="21">
        <f t="shared" si="131"/>
        <v>0</v>
      </c>
      <c r="BD360" s="13"/>
      <c r="BE360" s="13"/>
      <c r="BF360" s="13"/>
      <c r="BG360" s="13"/>
      <c r="BH360" s="14"/>
      <c r="BI360" s="60"/>
      <c r="BJ360" s="32"/>
      <c r="BK360" s="25"/>
      <c r="BL360" s="33"/>
      <c r="BM360" s="20"/>
      <c r="BN360" s="20"/>
      <c r="BO360" s="21">
        <f t="shared" si="132"/>
        <v>0</v>
      </c>
      <c r="BP360" s="13"/>
      <c r="BQ360" s="13"/>
      <c r="BR360" s="13"/>
      <c r="BS360" s="13"/>
      <c r="BT360" s="14"/>
      <c r="BU360" s="110"/>
      <c r="BV360" s="107"/>
      <c r="BW360" s="107"/>
      <c r="BX360" s="107"/>
      <c r="BY360" s="107"/>
      <c r="BZ360" s="107"/>
      <c r="CA360" s="111"/>
      <c r="CB360" s="107"/>
      <c r="CC360" s="107"/>
      <c r="CD360" s="107"/>
      <c r="CE360" s="107"/>
      <c r="CF360" s="107"/>
      <c r="CG360" s="107"/>
      <c r="CH360" s="107"/>
      <c r="CI360" s="107"/>
      <c r="CJ360" s="107"/>
    </row>
    <row r="361">
      <c r="A361" s="60"/>
      <c r="B361" s="35"/>
      <c r="C361" s="17"/>
      <c r="D361" s="18"/>
      <c r="E361" s="20"/>
      <c r="F361" s="20"/>
      <c r="G361" s="21">
        <f t="shared" si="127"/>
        <v>0</v>
      </c>
      <c r="H361" s="94" t="s">
        <v>13</v>
      </c>
      <c r="I361" s="86" t="s">
        <v>57</v>
      </c>
      <c r="J361" s="86" t="s">
        <v>57</v>
      </c>
      <c r="K361" s="86" t="s">
        <v>65</v>
      </c>
      <c r="L361" s="95"/>
      <c r="M361" s="60"/>
      <c r="N361" s="37">
        <v>1500000.0</v>
      </c>
      <c r="O361" s="25"/>
      <c r="P361" s="33"/>
      <c r="Q361" s="20"/>
      <c r="R361" s="20"/>
      <c r="S361" s="21">
        <f t="shared" si="128"/>
        <v>1275000</v>
      </c>
      <c r="T361" s="13"/>
      <c r="U361" s="13"/>
      <c r="V361" s="13"/>
      <c r="W361" s="13"/>
      <c r="X361" s="14"/>
      <c r="Y361" s="38"/>
      <c r="Z361" s="32"/>
      <c r="AA361" s="25"/>
      <c r="AB361" s="33"/>
      <c r="AC361" s="20"/>
      <c r="AD361" s="20"/>
      <c r="AE361" s="21">
        <f t="shared" si="129"/>
        <v>0</v>
      </c>
      <c r="AF361" s="13"/>
      <c r="AG361" s="13"/>
      <c r="AH361" s="13"/>
      <c r="AI361" s="13"/>
      <c r="AJ361" s="14"/>
      <c r="AK361" s="15"/>
      <c r="AL361" s="32"/>
      <c r="AM361" s="25"/>
      <c r="AN361" s="33"/>
      <c r="AO361" s="20"/>
      <c r="AP361" s="20"/>
      <c r="AQ361" s="21">
        <f t="shared" si="130"/>
        <v>0</v>
      </c>
      <c r="AR361" s="13"/>
      <c r="AS361" s="13"/>
      <c r="AT361" s="13"/>
      <c r="AU361" s="13"/>
      <c r="AV361" s="14"/>
      <c r="AW361" s="38"/>
      <c r="AX361" s="32"/>
      <c r="AY361" s="25"/>
      <c r="AZ361" s="33"/>
      <c r="BA361" s="20"/>
      <c r="BB361" s="20"/>
      <c r="BC361" s="21">
        <f t="shared" si="131"/>
        <v>0</v>
      </c>
      <c r="BD361" s="13"/>
      <c r="BE361" s="13"/>
      <c r="BF361" s="13"/>
      <c r="BG361" s="13"/>
      <c r="BH361" s="14"/>
      <c r="BI361" s="38"/>
      <c r="BJ361" s="32"/>
      <c r="BK361" s="25"/>
      <c r="BL361" s="33"/>
      <c r="BM361" s="20"/>
      <c r="BN361" s="20"/>
      <c r="BO361" s="21">
        <f t="shared" si="132"/>
        <v>0</v>
      </c>
      <c r="BP361" s="13"/>
      <c r="BQ361" s="13"/>
      <c r="BR361" s="13"/>
      <c r="BS361" s="13"/>
      <c r="BT361" s="14"/>
      <c r="BU361" s="110"/>
      <c r="BV361" s="107"/>
      <c r="BW361" s="107"/>
      <c r="BX361" s="107"/>
      <c r="BY361" s="107"/>
      <c r="BZ361" s="107"/>
      <c r="CA361" s="111"/>
      <c r="CB361" s="107"/>
      <c r="CC361" s="107"/>
      <c r="CD361" s="107"/>
      <c r="CE361" s="107"/>
      <c r="CF361" s="107"/>
      <c r="CG361" s="107"/>
      <c r="CH361" s="107"/>
      <c r="CI361" s="107"/>
      <c r="CJ361" s="107"/>
    </row>
    <row r="362">
      <c r="A362" s="60"/>
      <c r="B362" s="16"/>
      <c r="C362" s="17"/>
      <c r="D362" s="42"/>
      <c r="E362" s="30"/>
      <c r="F362" s="30"/>
      <c r="G362" s="21">
        <f t="shared" si="127"/>
        <v>0</v>
      </c>
      <c r="H362" s="95">
        <f>AG355+I355+U355+AS355+BE355+BQ355+CC355</f>
        <v>8675267.5</v>
      </c>
      <c r="I362" s="102" t="s">
        <v>52</v>
      </c>
      <c r="J362" s="102" t="s">
        <v>44</v>
      </c>
      <c r="K362" s="102" t="s">
        <v>52</v>
      </c>
      <c r="L362" s="102" t="s">
        <v>44</v>
      </c>
      <c r="M362" s="60"/>
      <c r="N362" s="37"/>
      <c r="O362" s="25"/>
      <c r="P362" s="41"/>
      <c r="Q362" s="20">
        <v>120000.0</v>
      </c>
      <c r="R362" s="20"/>
      <c r="S362" s="21">
        <f t="shared" si="128"/>
        <v>118860</v>
      </c>
      <c r="T362" s="67" t="s">
        <v>76</v>
      </c>
      <c r="U362" s="67">
        <v>1500.0</v>
      </c>
      <c r="V362" s="67">
        <v>37500.0</v>
      </c>
      <c r="W362" s="13"/>
      <c r="X362" s="14"/>
      <c r="Y362" s="38"/>
      <c r="Z362" s="37"/>
      <c r="AA362" s="25"/>
      <c r="AB362" s="41"/>
      <c r="AC362" s="20"/>
      <c r="AD362" s="20"/>
      <c r="AE362" s="21">
        <f t="shared" si="129"/>
        <v>0</v>
      </c>
      <c r="AF362" s="13"/>
      <c r="AG362" s="13"/>
      <c r="AH362" s="13"/>
      <c r="AI362" s="13"/>
      <c r="AJ362" s="14"/>
      <c r="AK362" s="15"/>
      <c r="AL362" s="37"/>
      <c r="AM362" s="25"/>
      <c r="AN362" s="41"/>
      <c r="AO362" s="20"/>
      <c r="AP362" s="20"/>
      <c r="AQ362" s="21">
        <f t="shared" si="130"/>
        <v>0</v>
      </c>
      <c r="AR362" s="13"/>
      <c r="AS362" s="13"/>
      <c r="AT362" s="13"/>
      <c r="AU362" s="13"/>
      <c r="AV362" s="14"/>
      <c r="AW362" s="38"/>
      <c r="AX362" s="37"/>
      <c r="AY362" s="25"/>
      <c r="AZ362" s="41"/>
      <c r="BA362" s="20"/>
      <c r="BB362" s="20"/>
      <c r="BC362" s="21">
        <f t="shared" si="131"/>
        <v>0</v>
      </c>
      <c r="BD362" s="13"/>
      <c r="BE362" s="13"/>
      <c r="BF362" s="13"/>
      <c r="BG362" s="13"/>
      <c r="BH362" s="14"/>
      <c r="BI362" s="38"/>
      <c r="BJ362" s="37"/>
      <c r="BK362" s="25"/>
      <c r="BL362" s="41"/>
      <c r="BM362" s="20"/>
      <c r="BN362" s="20"/>
      <c r="BO362" s="21">
        <f t="shared" si="132"/>
        <v>0</v>
      </c>
      <c r="BP362" s="13"/>
      <c r="BQ362" s="13"/>
      <c r="BR362" s="13"/>
      <c r="BS362" s="13"/>
      <c r="BT362" s="14"/>
      <c r="BU362" s="107"/>
      <c r="BV362" s="107"/>
      <c r="BW362" s="107"/>
      <c r="BX362" s="107"/>
      <c r="BY362" s="107"/>
      <c r="BZ362" s="107"/>
      <c r="CA362" s="111"/>
      <c r="CB362" s="107"/>
      <c r="CC362" s="107"/>
      <c r="CD362" s="107"/>
      <c r="CE362" s="107"/>
      <c r="CF362" s="107"/>
      <c r="CG362" s="107"/>
      <c r="CH362" s="107"/>
      <c r="CI362" s="107"/>
      <c r="CJ362" s="107"/>
    </row>
    <row r="363">
      <c r="A363" s="60"/>
      <c r="B363" s="35"/>
      <c r="C363" s="17"/>
      <c r="D363" s="18"/>
      <c r="E363" s="20"/>
      <c r="F363" s="20"/>
      <c r="G363" s="21">
        <f t="shared" si="127"/>
        <v>0</v>
      </c>
      <c r="H363" s="95"/>
      <c r="I363" s="115">
        <f>SUM(H362)-(H362*99%)</f>
        <v>86752.675</v>
      </c>
      <c r="J363" s="87">
        <f>SUM(H362)-(H362*98.5%)</f>
        <v>130129.0125</v>
      </c>
      <c r="K363" s="87">
        <f>SUM(K360)-(K360*99%)</f>
        <v>86752.675</v>
      </c>
      <c r="L363" s="87">
        <f>SUM(K360)-(K360*98.5%)</f>
        <v>130129.0125</v>
      </c>
      <c r="M363" s="60"/>
      <c r="N363" s="24"/>
      <c r="O363" s="25"/>
      <c r="P363" s="41"/>
      <c r="Q363" s="20">
        <v>130000.0</v>
      </c>
      <c r="R363" s="145">
        <v>1170000.0</v>
      </c>
      <c r="S363" s="21">
        <f t="shared" si="128"/>
        <v>1117415</v>
      </c>
      <c r="T363" s="13"/>
      <c r="U363" s="13"/>
      <c r="V363" s="13"/>
      <c r="W363" s="13"/>
      <c r="X363" s="14"/>
      <c r="Y363" s="38"/>
      <c r="Z363" s="24"/>
      <c r="AA363" s="25"/>
      <c r="AB363" s="41"/>
      <c r="AC363" s="30"/>
      <c r="AD363" s="30"/>
      <c r="AE363" s="21">
        <f t="shared" si="129"/>
        <v>0</v>
      </c>
      <c r="AF363" s="13"/>
      <c r="AG363" s="13"/>
      <c r="AH363" s="13"/>
      <c r="AI363" s="13"/>
      <c r="AJ363" s="14"/>
      <c r="AK363" s="38"/>
      <c r="AL363" s="24"/>
      <c r="AM363" s="25"/>
      <c r="AN363" s="41"/>
      <c r="AO363" s="30"/>
      <c r="AP363" s="30"/>
      <c r="AQ363" s="21">
        <f t="shared" si="130"/>
        <v>0</v>
      </c>
      <c r="AR363" s="13"/>
      <c r="AS363" s="13"/>
      <c r="AT363" s="13"/>
      <c r="AU363" s="13"/>
      <c r="AV363" s="14"/>
      <c r="AW363" s="38"/>
      <c r="AX363" s="24"/>
      <c r="AY363" s="25"/>
      <c r="AZ363" s="41"/>
      <c r="BA363" s="30"/>
      <c r="BB363" s="30"/>
      <c r="BC363" s="21">
        <f t="shared" si="131"/>
        <v>0</v>
      </c>
      <c r="BD363" s="67"/>
      <c r="BE363" s="67"/>
      <c r="BF363" s="13"/>
      <c r="BG363" s="13"/>
      <c r="BH363" s="14"/>
      <c r="BI363" s="38"/>
      <c r="BJ363" s="24"/>
      <c r="BK363" s="25"/>
      <c r="BL363" s="41"/>
      <c r="BM363" s="30"/>
      <c r="BN363" s="30"/>
      <c r="BO363" s="21">
        <f t="shared" si="132"/>
        <v>0</v>
      </c>
      <c r="BP363" s="13"/>
      <c r="BQ363" s="13"/>
      <c r="BR363" s="13"/>
      <c r="BS363" s="13"/>
      <c r="BT363" s="14"/>
      <c r="BU363" s="107"/>
      <c r="BV363" s="107"/>
      <c r="BW363" s="107"/>
      <c r="BX363" s="107"/>
      <c r="BY363" s="107"/>
      <c r="BZ363" s="107"/>
      <c r="CA363" s="111"/>
      <c r="CB363" s="107"/>
      <c r="CC363" s="107"/>
      <c r="CD363" s="107"/>
      <c r="CE363" s="107"/>
      <c r="CF363" s="107"/>
      <c r="CG363" s="107"/>
      <c r="CH363" s="107"/>
      <c r="CI363" s="107"/>
      <c r="CJ363" s="107"/>
    </row>
    <row r="364">
      <c r="A364" s="60"/>
      <c r="B364" s="24"/>
      <c r="C364" s="25"/>
      <c r="D364" s="41"/>
      <c r="E364" s="46"/>
      <c r="F364" s="46"/>
      <c r="G364" s="21">
        <f t="shared" si="127"/>
        <v>0</v>
      </c>
      <c r="H364" s="95"/>
      <c r="I364" s="86" t="s">
        <v>53</v>
      </c>
      <c r="J364" s="86" t="s">
        <v>36</v>
      </c>
      <c r="K364" s="86" t="s">
        <v>53</v>
      </c>
      <c r="L364" s="86" t="s">
        <v>36</v>
      </c>
      <c r="M364" s="38"/>
      <c r="N364" s="37"/>
      <c r="O364" s="25"/>
      <c r="P364" s="41"/>
      <c r="Q364" s="20"/>
      <c r="R364" s="20">
        <v>1300000.0</v>
      </c>
      <c r="S364" s="21">
        <f t="shared" si="128"/>
        <v>1098500</v>
      </c>
      <c r="T364" s="13"/>
      <c r="U364" s="13"/>
      <c r="V364" s="13"/>
      <c r="W364" s="13"/>
      <c r="X364" s="14"/>
      <c r="Y364" s="38"/>
      <c r="Z364" s="37"/>
      <c r="AA364" s="25"/>
      <c r="AB364" s="41"/>
      <c r="AC364" s="20"/>
      <c r="AD364" s="20"/>
      <c r="AE364" s="21">
        <f t="shared" si="129"/>
        <v>0</v>
      </c>
      <c r="AF364" s="13"/>
      <c r="AG364" s="13"/>
      <c r="AH364" s="13"/>
      <c r="AI364" s="13"/>
      <c r="AJ364" s="14"/>
      <c r="AK364" s="38"/>
      <c r="AL364" s="37"/>
      <c r="AM364" s="25"/>
      <c r="AN364" s="41"/>
      <c r="AO364" s="20"/>
      <c r="AP364" s="20"/>
      <c r="AQ364" s="21">
        <f t="shared" si="130"/>
        <v>0</v>
      </c>
      <c r="AR364" s="13"/>
      <c r="AS364" s="13"/>
      <c r="AT364" s="13"/>
      <c r="AU364" s="13"/>
      <c r="AV364" s="14"/>
      <c r="AW364" s="38"/>
      <c r="AX364" s="37"/>
      <c r="AY364" s="25"/>
      <c r="AZ364" s="41"/>
      <c r="BA364" s="20"/>
      <c r="BB364" s="20"/>
      <c r="BC364" s="21">
        <f t="shared" si="131"/>
        <v>0</v>
      </c>
      <c r="BD364" s="13"/>
      <c r="BE364" s="13"/>
      <c r="BF364" s="13"/>
      <c r="BG364" s="13"/>
      <c r="BH364" s="14"/>
      <c r="BI364" s="38"/>
      <c r="BJ364" s="37"/>
      <c r="BK364" s="25"/>
      <c r="BL364" s="41"/>
      <c r="BM364" s="20"/>
      <c r="BN364" s="20"/>
      <c r="BO364" s="21">
        <f t="shared" si="132"/>
        <v>0</v>
      </c>
      <c r="BP364" s="13"/>
      <c r="BQ364" s="13"/>
      <c r="BR364" s="13"/>
      <c r="BS364" s="13"/>
      <c r="BT364" s="14"/>
      <c r="BU364" s="107"/>
      <c r="BV364" s="107"/>
      <c r="BW364" s="107"/>
      <c r="BX364" s="107"/>
      <c r="BY364" s="107"/>
      <c r="BZ364" s="107"/>
      <c r="CA364" s="111"/>
      <c r="CB364" s="107"/>
      <c r="CC364" s="107"/>
      <c r="CD364" s="107"/>
      <c r="CE364" s="107"/>
      <c r="CF364" s="107"/>
      <c r="CG364" s="107"/>
      <c r="CH364" s="107"/>
      <c r="CI364" s="107"/>
      <c r="CJ364" s="107"/>
    </row>
    <row r="365">
      <c r="A365" s="60"/>
      <c r="B365" s="47"/>
      <c r="C365" s="25"/>
      <c r="D365" s="33"/>
      <c r="E365" s="46"/>
      <c r="F365" s="46"/>
      <c r="G365" s="21">
        <f t="shared" si="127"/>
        <v>0</v>
      </c>
      <c r="H365" s="94" t="s">
        <v>12</v>
      </c>
      <c r="I365" s="87">
        <f t="shared" ref="I365:L365" si="139">SUM(I363)-(I363*10%)</f>
        <v>78077.4075</v>
      </c>
      <c r="J365" s="87">
        <f t="shared" si="139"/>
        <v>117116.1112</v>
      </c>
      <c r="K365" s="87">
        <f t="shared" si="139"/>
        <v>78077.4075</v>
      </c>
      <c r="L365" s="87">
        <f t="shared" si="139"/>
        <v>117116.1112</v>
      </c>
      <c r="M365" s="38"/>
      <c r="N365" s="24"/>
      <c r="O365" s="25"/>
      <c r="P365" s="41"/>
      <c r="Q365" s="46"/>
      <c r="R365" s="46"/>
      <c r="S365" s="21">
        <f t="shared" si="128"/>
        <v>0</v>
      </c>
      <c r="T365" s="13"/>
      <c r="U365" s="13"/>
      <c r="V365" s="13"/>
      <c r="W365" s="13"/>
      <c r="X365" s="14"/>
      <c r="Y365" s="38"/>
      <c r="Z365" s="24"/>
      <c r="AA365" s="25"/>
      <c r="AB365" s="41"/>
      <c r="AC365" s="46"/>
      <c r="AD365" s="46"/>
      <c r="AE365" s="21">
        <f t="shared" si="129"/>
        <v>0</v>
      </c>
      <c r="AF365" s="13"/>
      <c r="AG365" s="13"/>
      <c r="AH365" s="13"/>
      <c r="AI365" s="13"/>
      <c r="AJ365" s="14"/>
      <c r="AK365" s="38"/>
      <c r="AL365" s="24"/>
      <c r="AM365" s="25"/>
      <c r="AN365" s="41"/>
      <c r="AO365" s="46"/>
      <c r="AP365" s="46"/>
      <c r="AQ365" s="21">
        <f t="shared" si="130"/>
        <v>0</v>
      </c>
      <c r="AR365" s="13"/>
      <c r="AS365" s="13"/>
      <c r="AT365" s="13"/>
      <c r="AU365" s="13"/>
      <c r="AV365" s="14"/>
      <c r="AW365" s="38"/>
      <c r="AX365" s="24"/>
      <c r="AY365" s="25"/>
      <c r="AZ365" s="41"/>
      <c r="BA365" s="46"/>
      <c r="BB365" s="46"/>
      <c r="BC365" s="21">
        <f t="shared" si="131"/>
        <v>0</v>
      </c>
      <c r="BD365" s="13"/>
      <c r="BE365" s="13"/>
      <c r="BF365" s="13"/>
      <c r="BG365" s="13"/>
      <c r="BH365" s="14"/>
      <c r="BI365" s="38"/>
      <c r="BJ365" s="24"/>
      <c r="BK365" s="25"/>
      <c r="BL365" s="41"/>
      <c r="BM365" s="46"/>
      <c r="BN365" s="46"/>
      <c r="BO365" s="21">
        <f t="shared" si="132"/>
        <v>0</v>
      </c>
      <c r="BP365" s="13"/>
      <c r="BQ365" s="13"/>
      <c r="BR365" s="13"/>
      <c r="BS365" s="13"/>
      <c r="BT365" s="14"/>
      <c r="BU365" s="107"/>
      <c r="BV365" s="107"/>
      <c r="BW365" s="107"/>
      <c r="BX365" s="107"/>
      <c r="BY365" s="107"/>
      <c r="BZ365" s="107"/>
      <c r="CA365" s="111"/>
      <c r="CB365" s="107"/>
      <c r="CC365" s="107"/>
      <c r="CD365" s="107"/>
      <c r="CE365" s="107"/>
      <c r="CF365" s="107"/>
      <c r="CG365" s="107"/>
      <c r="CH365" s="107"/>
      <c r="CI365" s="107"/>
      <c r="CJ365" s="107"/>
    </row>
    <row r="366">
      <c r="A366" s="105"/>
      <c r="B366" s="47"/>
      <c r="C366" s="25"/>
      <c r="D366" s="33"/>
      <c r="E366" s="46"/>
      <c r="F366" s="46"/>
      <c r="G366" s="21">
        <f t="shared" si="127"/>
        <v>0</v>
      </c>
      <c r="H366" s="95">
        <f>H355+T355+AF355+AR355+BD355+BP355+CB355</f>
        <v>9405000</v>
      </c>
      <c r="I366" s="95"/>
      <c r="J366" s="95"/>
      <c r="K366" s="86" t="s">
        <v>66</v>
      </c>
      <c r="L366" s="95"/>
      <c r="M366" s="38"/>
      <c r="N366" s="47"/>
      <c r="O366" s="25"/>
      <c r="P366" s="41"/>
      <c r="Q366" s="46"/>
      <c r="R366" s="46"/>
      <c r="S366" s="21">
        <f t="shared" si="128"/>
        <v>0</v>
      </c>
      <c r="T366" s="13"/>
      <c r="U366" s="13"/>
      <c r="V366" s="13"/>
      <c r="W366" s="13"/>
      <c r="X366" s="14"/>
      <c r="Y366" s="38"/>
      <c r="Z366" s="47"/>
      <c r="AA366" s="25"/>
      <c r="AB366" s="41"/>
      <c r="AC366" s="46"/>
      <c r="AD366" s="46"/>
      <c r="AE366" s="21">
        <f t="shared" si="129"/>
        <v>0</v>
      </c>
      <c r="AF366" s="13"/>
      <c r="AG366" s="13"/>
      <c r="AH366" s="13"/>
      <c r="AI366" s="13"/>
      <c r="AJ366" s="14"/>
      <c r="AK366" s="38"/>
      <c r="AL366" s="47"/>
      <c r="AM366" s="25"/>
      <c r="AN366" s="41"/>
      <c r="AO366" s="46"/>
      <c r="AP366" s="46"/>
      <c r="AQ366" s="21">
        <f t="shared" si="130"/>
        <v>0</v>
      </c>
      <c r="AR366" s="13"/>
      <c r="AS366" s="13"/>
      <c r="AT366" s="13"/>
      <c r="AU366" s="13"/>
      <c r="AV366" s="14"/>
      <c r="AW366" s="38"/>
      <c r="AX366" s="47"/>
      <c r="AY366" s="25"/>
      <c r="AZ366" s="41"/>
      <c r="BA366" s="46"/>
      <c r="BB366" s="46"/>
      <c r="BC366" s="21">
        <f t="shared" si="131"/>
        <v>0</v>
      </c>
      <c r="BD366" s="13"/>
      <c r="BE366" s="13"/>
      <c r="BF366" s="13"/>
      <c r="BG366" s="13"/>
      <c r="BH366" s="14"/>
      <c r="BI366" s="38"/>
      <c r="BJ366" s="47"/>
      <c r="BK366" s="25"/>
      <c r="BL366" s="41"/>
      <c r="BM366" s="46"/>
      <c r="BN366" s="46"/>
      <c r="BO366" s="21">
        <f t="shared" si="132"/>
        <v>0</v>
      </c>
      <c r="BP366" s="13"/>
      <c r="BQ366" s="13"/>
      <c r="BR366" s="13"/>
      <c r="BS366" s="13"/>
      <c r="BT366" s="14"/>
      <c r="BU366" s="107"/>
      <c r="BV366" s="107"/>
      <c r="BW366" s="107"/>
      <c r="BX366" s="107"/>
      <c r="BY366" s="107"/>
      <c r="BZ366" s="107"/>
      <c r="CA366" s="111"/>
      <c r="CB366" s="107"/>
      <c r="CC366" s="107"/>
      <c r="CD366" s="107"/>
      <c r="CE366" s="107"/>
      <c r="CF366" s="107"/>
      <c r="CG366" s="107"/>
      <c r="CH366" s="107"/>
      <c r="CI366" s="107"/>
      <c r="CJ366" s="107"/>
    </row>
    <row r="367">
      <c r="A367" s="105"/>
      <c r="B367" s="32"/>
      <c r="C367" s="25"/>
      <c r="D367" s="41"/>
      <c r="E367" s="46"/>
      <c r="F367" s="46"/>
      <c r="G367" s="21">
        <f t="shared" si="127"/>
        <v>0</v>
      </c>
      <c r="H367" s="95"/>
      <c r="I367" s="95"/>
      <c r="J367" s="95"/>
      <c r="K367" s="95">
        <f>J357+K365</f>
        <v>134372.475</v>
      </c>
      <c r="L367" s="95"/>
      <c r="M367" s="38"/>
      <c r="N367" s="32"/>
      <c r="O367" s="25"/>
      <c r="P367" s="41"/>
      <c r="Q367" s="46"/>
      <c r="R367" s="46"/>
      <c r="S367" s="21">
        <f t="shared" si="128"/>
        <v>0</v>
      </c>
      <c r="T367" s="13"/>
      <c r="U367" s="13"/>
      <c r="V367" s="13"/>
      <c r="W367" s="13"/>
      <c r="X367" s="14"/>
      <c r="Y367" s="38"/>
      <c r="Z367" s="32"/>
      <c r="AA367" s="25"/>
      <c r="AB367" s="41"/>
      <c r="AC367" s="46"/>
      <c r="AD367" s="46"/>
      <c r="AE367" s="21">
        <f t="shared" si="129"/>
        <v>0</v>
      </c>
      <c r="AF367" s="13"/>
      <c r="AG367" s="13"/>
      <c r="AH367" s="13"/>
      <c r="AI367" s="13"/>
      <c r="AJ367" s="14"/>
      <c r="AK367" s="38"/>
      <c r="AL367" s="32"/>
      <c r="AM367" s="25"/>
      <c r="AN367" s="41"/>
      <c r="AO367" s="46"/>
      <c r="AP367" s="46"/>
      <c r="AQ367" s="21">
        <f t="shared" si="130"/>
        <v>0</v>
      </c>
      <c r="AR367" s="13"/>
      <c r="AS367" s="13"/>
      <c r="AT367" s="13"/>
      <c r="AU367" s="13"/>
      <c r="AV367" s="14"/>
      <c r="AW367" s="38"/>
      <c r="AX367" s="32"/>
      <c r="AY367" s="25"/>
      <c r="AZ367" s="41"/>
      <c r="BA367" s="46"/>
      <c r="BB367" s="46"/>
      <c r="BC367" s="21">
        <f t="shared" si="131"/>
        <v>0</v>
      </c>
      <c r="BD367" s="13"/>
      <c r="BE367" s="13"/>
      <c r="BF367" s="13"/>
      <c r="BG367" s="13"/>
      <c r="BH367" s="14"/>
      <c r="BI367" s="38"/>
      <c r="BJ367" s="32"/>
      <c r="BK367" s="25"/>
      <c r="BL367" s="41"/>
      <c r="BM367" s="46"/>
      <c r="BN367" s="46"/>
      <c r="BO367" s="21">
        <f t="shared" si="132"/>
        <v>0</v>
      </c>
      <c r="BP367" s="13"/>
      <c r="BQ367" s="13"/>
      <c r="BR367" s="13"/>
      <c r="BS367" s="13"/>
      <c r="BT367" s="14"/>
      <c r="BU367" s="107"/>
      <c r="BV367" s="107"/>
      <c r="BW367" s="107"/>
      <c r="BX367" s="107"/>
      <c r="BY367" s="107"/>
      <c r="BZ367" s="107"/>
      <c r="CA367" s="111"/>
      <c r="CB367" s="107"/>
      <c r="CC367" s="107"/>
      <c r="CD367" s="107"/>
      <c r="CE367" s="107"/>
      <c r="CF367" s="107"/>
      <c r="CG367" s="107"/>
      <c r="CH367" s="107"/>
      <c r="CI367" s="107"/>
      <c r="CJ367" s="107"/>
    </row>
    <row r="368">
      <c r="A368" s="105"/>
      <c r="B368" s="47"/>
      <c r="C368" s="25"/>
      <c r="D368" s="41"/>
      <c r="E368" s="46"/>
      <c r="F368" s="46"/>
      <c r="G368" s="21">
        <f t="shared" si="127"/>
        <v>0</v>
      </c>
      <c r="H368" s="13"/>
      <c r="I368" s="13"/>
      <c r="J368" s="13"/>
      <c r="K368" s="13"/>
      <c r="L368" s="14"/>
      <c r="M368" s="38"/>
      <c r="N368" s="47"/>
      <c r="O368" s="25"/>
      <c r="P368" s="41"/>
      <c r="Q368" s="46"/>
      <c r="R368" s="46"/>
      <c r="S368" s="21">
        <f t="shared" si="128"/>
        <v>0</v>
      </c>
      <c r="T368" s="13"/>
      <c r="U368" s="116"/>
      <c r="V368" s="117" t="s">
        <v>86</v>
      </c>
      <c r="W368" s="116"/>
      <c r="X368" s="14"/>
      <c r="Y368" s="38"/>
      <c r="Z368" s="47"/>
      <c r="AA368" s="25"/>
      <c r="AB368" s="41"/>
      <c r="AC368" s="46"/>
      <c r="AD368" s="46"/>
      <c r="AE368" s="21">
        <f t="shared" si="129"/>
        <v>0</v>
      </c>
      <c r="AF368" s="13"/>
      <c r="AG368" s="116"/>
      <c r="AH368" s="117" t="s">
        <v>59</v>
      </c>
      <c r="AI368" s="116"/>
      <c r="AJ368" s="14"/>
      <c r="AK368" s="38"/>
      <c r="AL368" s="47"/>
      <c r="AM368" s="25"/>
      <c r="AN368" s="41"/>
      <c r="AO368" s="46"/>
      <c r="AP368" s="46"/>
      <c r="AQ368" s="21">
        <f t="shared" si="130"/>
        <v>0</v>
      </c>
      <c r="AR368" s="13"/>
      <c r="AS368" s="116"/>
      <c r="AT368" s="117" t="s">
        <v>60</v>
      </c>
      <c r="AU368" s="116"/>
      <c r="AV368" s="14"/>
      <c r="AW368" s="38"/>
      <c r="AX368" s="47"/>
      <c r="AY368" s="25"/>
      <c r="AZ368" s="41"/>
      <c r="BA368" s="46"/>
      <c r="BB368" s="46"/>
      <c r="BC368" s="21">
        <f t="shared" si="131"/>
        <v>0</v>
      </c>
      <c r="BD368" s="13"/>
      <c r="BE368" s="116"/>
      <c r="BF368" s="117"/>
      <c r="BG368" s="116"/>
      <c r="BH368" s="14"/>
      <c r="BI368" s="38"/>
      <c r="BJ368" s="47"/>
      <c r="BK368" s="25"/>
      <c r="BL368" s="41"/>
      <c r="BM368" s="46"/>
      <c r="BN368" s="46"/>
      <c r="BO368" s="21">
        <f t="shared" si="132"/>
        <v>0</v>
      </c>
      <c r="BP368" s="13"/>
      <c r="BQ368" s="116"/>
      <c r="BR368" s="117" t="s">
        <v>59</v>
      </c>
      <c r="BS368" s="116"/>
      <c r="BT368" s="14"/>
      <c r="BU368" s="107"/>
      <c r="BV368" s="107"/>
      <c r="BW368" s="107"/>
      <c r="BX368" s="107"/>
      <c r="BY368" s="107"/>
      <c r="BZ368" s="107"/>
      <c r="CA368" s="111"/>
      <c r="CB368" s="107"/>
      <c r="CC368" s="107"/>
      <c r="CD368" s="107"/>
      <c r="CE368" s="107"/>
      <c r="CF368" s="107"/>
      <c r="CG368" s="107"/>
      <c r="CH368" s="107"/>
      <c r="CI368" s="107"/>
      <c r="CJ368" s="107"/>
    </row>
    <row r="369">
      <c r="A369" s="38"/>
      <c r="B369" s="47"/>
      <c r="C369" s="25"/>
      <c r="D369" s="41"/>
      <c r="E369" s="46"/>
      <c r="F369" s="46"/>
      <c r="G369" s="21">
        <f t="shared" si="127"/>
        <v>0</v>
      </c>
      <c r="H369" s="116"/>
      <c r="I369" s="117" t="s">
        <v>61</v>
      </c>
      <c r="J369" s="116"/>
      <c r="K369" s="13"/>
      <c r="L369" s="14"/>
      <c r="M369" s="38"/>
      <c r="N369" s="47"/>
      <c r="O369" s="25"/>
      <c r="P369" s="41"/>
      <c r="Q369" s="46"/>
      <c r="R369" s="46"/>
      <c r="S369" s="21">
        <f t="shared" si="128"/>
        <v>0</v>
      </c>
      <c r="T369" s="13"/>
      <c r="U369" s="118">
        <v>0.01</v>
      </c>
      <c r="V369" s="118">
        <v>0.05</v>
      </c>
      <c r="W369" s="117" t="s">
        <v>80</v>
      </c>
      <c r="X369" s="14"/>
      <c r="Y369" s="38"/>
      <c r="Z369" s="47"/>
      <c r="AA369" s="25"/>
      <c r="AB369" s="41"/>
      <c r="AC369" s="46"/>
      <c r="AD369" s="46"/>
      <c r="AE369" s="21">
        <f t="shared" si="129"/>
        <v>0</v>
      </c>
      <c r="AF369" s="13"/>
      <c r="AG369" s="118">
        <v>0.02</v>
      </c>
      <c r="AH369" s="118">
        <v>0.04</v>
      </c>
      <c r="AI369" s="118">
        <v>0.06</v>
      </c>
      <c r="AJ369" s="14"/>
      <c r="AK369" s="38"/>
      <c r="AL369" s="47"/>
      <c r="AM369" s="25"/>
      <c r="AN369" s="41"/>
      <c r="AO369" s="46"/>
      <c r="AP369" s="46"/>
      <c r="AQ369" s="21">
        <f t="shared" si="130"/>
        <v>0</v>
      </c>
      <c r="AR369" s="13"/>
      <c r="AS369" s="118">
        <v>0.03</v>
      </c>
      <c r="AT369" s="118">
        <v>0.05</v>
      </c>
      <c r="AU369" s="118">
        <v>0.07</v>
      </c>
      <c r="AV369" s="14"/>
      <c r="AW369" s="38"/>
      <c r="AX369" s="47"/>
      <c r="AY369" s="25"/>
      <c r="AZ369" s="41"/>
      <c r="BA369" s="46"/>
      <c r="BB369" s="46"/>
      <c r="BC369" s="21">
        <f t="shared" si="131"/>
        <v>0</v>
      </c>
      <c r="BD369" s="13"/>
      <c r="BE369" s="118"/>
      <c r="BF369" s="118"/>
      <c r="BG369" s="117"/>
      <c r="BH369" s="14"/>
      <c r="BI369" s="38"/>
      <c r="BJ369" s="47"/>
      <c r="BK369" s="25"/>
      <c r="BL369" s="41"/>
      <c r="BM369" s="46"/>
      <c r="BN369" s="46"/>
      <c r="BO369" s="21">
        <f t="shared" si="132"/>
        <v>0</v>
      </c>
      <c r="BP369" s="13"/>
      <c r="BQ369" s="118">
        <v>0.03</v>
      </c>
      <c r="BR369" s="118">
        <v>0.05</v>
      </c>
      <c r="BS369" s="118">
        <v>0.07</v>
      </c>
      <c r="BT369" s="14"/>
      <c r="BU369" s="107"/>
      <c r="BV369" s="107"/>
      <c r="BW369" s="107"/>
      <c r="BX369" s="107"/>
      <c r="BY369" s="107"/>
      <c r="BZ369" s="107"/>
      <c r="CA369" s="111"/>
      <c r="CB369" s="107"/>
      <c r="CC369" s="107"/>
      <c r="CD369" s="107"/>
      <c r="CE369" s="107"/>
      <c r="CF369" s="107"/>
      <c r="CG369" s="107"/>
      <c r="CH369" s="107"/>
      <c r="CI369" s="107"/>
      <c r="CJ369" s="107"/>
    </row>
    <row r="370">
      <c r="A370" s="38"/>
      <c r="B370" s="47"/>
      <c r="C370" s="25"/>
      <c r="D370" s="41"/>
      <c r="E370" s="46"/>
      <c r="F370" s="46"/>
      <c r="G370" s="21">
        <f t="shared" si="127"/>
        <v>0</v>
      </c>
      <c r="H370" s="118">
        <v>0.03</v>
      </c>
      <c r="I370" s="118">
        <v>0.05</v>
      </c>
      <c r="J370" s="118">
        <v>0.07</v>
      </c>
      <c r="K370" s="13"/>
      <c r="L370" s="14"/>
      <c r="M370" s="38"/>
      <c r="N370" s="47"/>
      <c r="O370" s="25"/>
      <c r="P370" s="41"/>
      <c r="Q370" s="46"/>
      <c r="R370" s="46"/>
      <c r="S370" s="21">
        <f t="shared" si="128"/>
        <v>0</v>
      </c>
      <c r="T370" s="13"/>
      <c r="U370" s="117">
        <v>5.0</v>
      </c>
      <c r="V370" s="117">
        <v>6.0</v>
      </c>
      <c r="W370" s="117">
        <v>10.0</v>
      </c>
      <c r="X370" s="14"/>
      <c r="Y370" s="38"/>
      <c r="Z370" s="47"/>
      <c r="AA370" s="25"/>
      <c r="AB370" s="41"/>
      <c r="AC370" s="46"/>
      <c r="AD370" s="46"/>
      <c r="AE370" s="21">
        <f t="shared" si="129"/>
        <v>0</v>
      </c>
      <c r="AF370" s="13"/>
      <c r="AG370" s="117">
        <v>5.0</v>
      </c>
      <c r="AH370" s="117">
        <v>7.0</v>
      </c>
      <c r="AI370" s="117">
        <v>10.0</v>
      </c>
      <c r="AJ370" s="14"/>
      <c r="AK370" s="38"/>
      <c r="AL370" s="47"/>
      <c r="AM370" s="25"/>
      <c r="AN370" s="41"/>
      <c r="AO370" s="46"/>
      <c r="AP370" s="46"/>
      <c r="AQ370" s="21">
        <f t="shared" si="130"/>
        <v>0</v>
      </c>
      <c r="AR370" s="13"/>
      <c r="AS370" s="117">
        <v>5.0</v>
      </c>
      <c r="AT370" s="117">
        <v>7.0</v>
      </c>
      <c r="AU370" s="117">
        <v>10.0</v>
      </c>
      <c r="AV370" s="14"/>
      <c r="AW370" s="38"/>
      <c r="AX370" s="47"/>
      <c r="AY370" s="25"/>
      <c r="AZ370" s="41"/>
      <c r="BA370" s="46"/>
      <c r="BB370" s="46"/>
      <c r="BC370" s="21">
        <f t="shared" si="131"/>
        <v>0</v>
      </c>
      <c r="BD370" s="13"/>
      <c r="BE370" s="117"/>
      <c r="BF370" s="117"/>
      <c r="BG370" s="117"/>
      <c r="BH370" s="14"/>
      <c r="BI370" s="38"/>
      <c r="BJ370" s="47"/>
      <c r="BK370" s="25"/>
      <c r="BL370" s="41"/>
      <c r="BM370" s="46"/>
      <c r="BN370" s="46"/>
      <c r="BO370" s="21">
        <f t="shared" si="132"/>
        <v>0</v>
      </c>
      <c r="BP370" s="13"/>
      <c r="BQ370" s="117">
        <v>5.0</v>
      </c>
      <c r="BR370" s="117">
        <v>7.0</v>
      </c>
      <c r="BS370" s="117">
        <v>10.0</v>
      </c>
      <c r="BT370" s="14"/>
      <c r="BU370" s="107"/>
      <c r="BV370" s="107"/>
      <c r="BW370" s="107"/>
      <c r="BX370" s="107"/>
      <c r="BY370" s="107"/>
      <c r="BZ370" s="107"/>
      <c r="CA370" s="111"/>
      <c r="CB370" s="107"/>
      <c r="CC370" s="107"/>
      <c r="CD370" s="107"/>
      <c r="CE370" s="107"/>
      <c r="CF370" s="107"/>
      <c r="CG370" s="107"/>
      <c r="CH370" s="107"/>
      <c r="CI370" s="107"/>
      <c r="CJ370" s="107"/>
    </row>
    <row r="371">
      <c r="A371" s="38"/>
      <c r="B371" s="32"/>
      <c r="C371" s="25"/>
      <c r="D371" s="41"/>
      <c r="E371" s="49"/>
      <c r="F371" s="49"/>
      <c r="G371" s="21">
        <f t="shared" si="127"/>
        <v>0</v>
      </c>
      <c r="H371" s="117">
        <v>5.0</v>
      </c>
      <c r="I371" s="117">
        <v>7.0</v>
      </c>
      <c r="J371" s="117">
        <v>10.0</v>
      </c>
      <c r="K371" s="13"/>
      <c r="L371" s="14"/>
      <c r="M371" s="38"/>
      <c r="N371" s="32"/>
      <c r="O371" s="25"/>
      <c r="P371" s="41"/>
      <c r="Q371" s="49"/>
      <c r="R371" s="49"/>
      <c r="S371" s="21">
        <f t="shared" si="128"/>
        <v>0</v>
      </c>
      <c r="T371" s="13"/>
      <c r="U371" s="13"/>
      <c r="V371" s="13"/>
      <c r="W371" s="13"/>
      <c r="X371" s="14"/>
      <c r="Y371" s="38"/>
      <c r="Z371" s="32"/>
      <c r="AA371" s="25"/>
      <c r="AB371" s="41"/>
      <c r="AC371" s="49"/>
      <c r="AD371" s="49"/>
      <c r="AE371" s="21">
        <f t="shared" si="129"/>
        <v>0</v>
      </c>
      <c r="AF371" s="13"/>
      <c r="AG371" s="13"/>
      <c r="AH371" s="13"/>
      <c r="AI371" s="13"/>
      <c r="AJ371" s="14"/>
      <c r="AK371" s="38"/>
      <c r="AL371" s="32"/>
      <c r="AM371" s="25"/>
      <c r="AN371" s="41"/>
      <c r="AO371" s="49"/>
      <c r="AP371" s="49"/>
      <c r="AQ371" s="21">
        <f t="shared" si="130"/>
        <v>0</v>
      </c>
      <c r="AR371" s="13"/>
      <c r="AS371" s="13"/>
      <c r="AT371" s="13"/>
      <c r="AU371" s="13"/>
      <c r="AV371" s="14"/>
      <c r="AW371" s="38"/>
      <c r="AX371" s="32"/>
      <c r="AY371" s="25"/>
      <c r="AZ371" s="41"/>
      <c r="BA371" s="49"/>
      <c r="BB371" s="49"/>
      <c r="BC371" s="21">
        <f t="shared" si="131"/>
        <v>0</v>
      </c>
      <c r="BD371" s="13"/>
      <c r="BE371" s="13"/>
      <c r="BF371" s="13"/>
      <c r="BG371" s="13"/>
      <c r="BH371" s="14"/>
      <c r="BI371" s="38"/>
      <c r="BJ371" s="32"/>
      <c r="BK371" s="25"/>
      <c r="BL371" s="41"/>
      <c r="BM371" s="49"/>
      <c r="BN371" s="49"/>
      <c r="BO371" s="21">
        <f t="shared" si="132"/>
        <v>0</v>
      </c>
      <c r="BP371" s="13"/>
      <c r="BQ371" s="13"/>
      <c r="BR371" s="13"/>
      <c r="BS371" s="13"/>
      <c r="BT371" s="14"/>
      <c r="BU371" s="107"/>
      <c r="BV371" s="107"/>
      <c r="BW371" s="107"/>
      <c r="BX371" s="107"/>
      <c r="BY371" s="107"/>
      <c r="BZ371" s="107"/>
      <c r="CA371" s="111"/>
      <c r="CB371" s="107"/>
      <c r="CC371" s="107"/>
      <c r="CD371" s="107"/>
      <c r="CE371" s="107"/>
      <c r="CF371" s="107"/>
      <c r="CG371" s="107"/>
      <c r="CH371" s="107"/>
      <c r="CI371" s="107"/>
      <c r="CJ371" s="107"/>
    </row>
    <row r="372">
      <c r="A372" s="38"/>
      <c r="B372" s="32"/>
      <c r="C372" s="25"/>
      <c r="D372" s="41"/>
      <c r="E372" s="49"/>
      <c r="F372" s="49"/>
      <c r="G372" s="21">
        <f t="shared" si="127"/>
        <v>0</v>
      </c>
      <c r="H372" s="13"/>
      <c r="I372" s="13"/>
      <c r="J372" s="13"/>
      <c r="K372" s="13"/>
      <c r="L372" s="14"/>
      <c r="M372" s="38"/>
      <c r="N372" s="32"/>
      <c r="O372" s="25"/>
      <c r="P372" s="41"/>
      <c r="Q372" s="49"/>
      <c r="R372" s="49"/>
      <c r="S372" s="21">
        <f t="shared" si="128"/>
        <v>0</v>
      </c>
      <c r="T372" s="13"/>
      <c r="U372" s="13"/>
      <c r="V372" s="13"/>
      <c r="W372" s="13"/>
      <c r="X372" s="14"/>
      <c r="Y372" s="38"/>
      <c r="Z372" s="32"/>
      <c r="AA372" s="25"/>
      <c r="AB372" s="41"/>
      <c r="AC372" s="49"/>
      <c r="AD372" s="49"/>
      <c r="AE372" s="21">
        <f t="shared" si="129"/>
        <v>0</v>
      </c>
      <c r="AF372" s="13"/>
      <c r="AG372" s="13"/>
      <c r="AH372" s="13"/>
      <c r="AI372" s="13"/>
      <c r="AJ372" s="14"/>
      <c r="AK372" s="38"/>
      <c r="AL372" s="32"/>
      <c r="AM372" s="25"/>
      <c r="AN372" s="41"/>
      <c r="AO372" s="49"/>
      <c r="AP372" s="49"/>
      <c r="AQ372" s="21">
        <f t="shared" si="130"/>
        <v>0</v>
      </c>
      <c r="AR372" s="13"/>
      <c r="AS372" s="13"/>
      <c r="AT372" s="13"/>
      <c r="AU372" s="13"/>
      <c r="AV372" s="14"/>
      <c r="AW372" s="38"/>
      <c r="AX372" s="32"/>
      <c r="AY372" s="25"/>
      <c r="AZ372" s="41"/>
      <c r="BA372" s="49"/>
      <c r="BB372" s="49"/>
      <c r="BC372" s="21">
        <f t="shared" si="131"/>
        <v>0</v>
      </c>
      <c r="BD372" s="13"/>
      <c r="BE372" s="13"/>
      <c r="BF372" s="13"/>
      <c r="BG372" s="13"/>
      <c r="BH372" s="14"/>
      <c r="BI372" s="38"/>
      <c r="BJ372" s="32"/>
      <c r="BK372" s="25"/>
      <c r="BL372" s="41"/>
      <c r="BM372" s="49"/>
      <c r="BN372" s="49"/>
      <c r="BO372" s="21">
        <f t="shared" si="132"/>
        <v>0</v>
      </c>
      <c r="BP372" s="13"/>
      <c r="BQ372" s="13"/>
      <c r="BR372" s="13"/>
      <c r="BS372" s="13"/>
      <c r="BT372" s="14"/>
      <c r="BU372" s="107"/>
      <c r="BV372" s="107"/>
      <c r="BW372" s="107"/>
      <c r="BX372" s="107"/>
      <c r="BY372" s="107"/>
      <c r="BZ372" s="107"/>
      <c r="CA372" s="111"/>
      <c r="CB372" s="107"/>
      <c r="CC372" s="107"/>
      <c r="CD372" s="107"/>
      <c r="CE372" s="107"/>
      <c r="CF372" s="107"/>
      <c r="CG372" s="107"/>
      <c r="CH372" s="107"/>
      <c r="CI372" s="107"/>
      <c r="CJ372" s="107"/>
    </row>
    <row r="373">
      <c r="A373" s="38"/>
      <c r="B373" s="32"/>
      <c r="C373" s="25"/>
      <c r="D373" s="41"/>
      <c r="E373" s="49"/>
      <c r="F373" s="49"/>
      <c r="G373" s="21">
        <f t="shared" si="127"/>
        <v>0</v>
      </c>
      <c r="H373" s="13"/>
      <c r="I373" s="13"/>
      <c r="J373" s="67"/>
      <c r="K373" s="13"/>
      <c r="L373" s="14"/>
      <c r="M373" s="38"/>
      <c r="N373" s="32"/>
      <c r="O373" s="25"/>
      <c r="P373" s="41"/>
      <c r="Q373" s="49"/>
      <c r="R373" s="49"/>
      <c r="S373" s="21">
        <f t="shared" si="128"/>
        <v>0</v>
      </c>
      <c r="T373" s="13"/>
      <c r="U373" s="13"/>
      <c r="V373" s="13"/>
      <c r="W373" s="13"/>
      <c r="X373" s="14"/>
      <c r="Y373" s="38"/>
      <c r="Z373" s="32"/>
      <c r="AA373" s="25"/>
      <c r="AB373" s="41"/>
      <c r="AC373" s="49"/>
      <c r="AD373" s="49"/>
      <c r="AE373" s="21">
        <f t="shared" si="129"/>
        <v>0</v>
      </c>
      <c r="AF373" s="13"/>
      <c r="AG373" s="13"/>
      <c r="AH373" s="13"/>
      <c r="AI373" s="13"/>
      <c r="AJ373" s="14"/>
      <c r="AK373" s="38"/>
      <c r="AL373" s="32"/>
      <c r="AM373" s="25"/>
      <c r="AN373" s="41"/>
      <c r="AO373" s="49"/>
      <c r="AP373" s="49"/>
      <c r="AQ373" s="21">
        <f t="shared" si="130"/>
        <v>0</v>
      </c>
      <c r="AR373" s="13"/>
      <c r="AS373" s="13"/>
      <c r="AT373" s="13"/>
      <c r="AU373" s="13"/>
      <c r="AV373" s="14"/>
      <c r="AW373" s="38"/>
      <c r="AX373" s="32"/>
      <c r="AY373" s="25"/>
      <c r="AZ373" s="41"/>
      <c r="BA373" s="49"/>
      <c r="BB373" s="49"/>
      <c r="BC373" s="21">
        <f t="shared" si="131"/>
        <v>0</v>
      </c>
      <c r="BD373" s="13"/>
      <c r="BE373" s="13"/>
      <c r="BF373" s="13"/>
      <c r="BG373" s="13"/>
      <c r="BH373" s="14"/>
      <c r="BI373" s="38"/>
      <c r="BJ373" s="32"/>
      <c r="BK373" s="25"/>
      <c r="BL373" s="41"/>
      <c r="BM373" s="49"/>
      <c r="BN373" s="49"/>
      <c r="BO373" s="21">
        <f t="shared" si="132"/>
        <v>0</v>
      </c>
      <c r="BP373" s="13"/>
      <c r="BQ373" s="13"/>
      <c r="BR373" s="13"/>
      <c r="BS373" s="13"/>
      <c r="BT373" s="14"/>
      <c r="BU373" s="107"/>
      <c r="BV373" s="107"/>
      <c r="BW373" s="107"/>
      <c r="BX373" s="107"/>
      <c r="BY373" s="107"/>
      <c r="BZ373" s="107"/>
      <c r="CA373" s="111"/>
      <c r="CB373" s="107"/>
      <c r="CC373" s="107"/>
      <c r="CD373" s="107"/>
      <c r="CE373" s="107"/>
      <c r="CF373" s="107"/>
      <c r="CG373" s="107"/>
      <c r="CH373" s="107"/>
      <c r="CI373" s="107"/>
      <c r="CJ373" s="107"/>
    </row>
    <row r="374">
      <c r="A374" s="38"/>
      <c r="B374" s="32"/>
      <c r="C374" s="25"/>
      <c r="D374" s="41"/>
      <c r="E374" s="46"/>
      <c r="F374" s="46"/>
      <c r="G374" s="21">
        <f t="shared" si="127"/>
        <v>0</v>
      </c>
      <c r="H374" s="13"/>
      <c r="I374" s="67" t="s">
        <v>85</v>
      </c>
      <c r="J374" s="13"/>
      <c r="K374" s="13"/>
      <c r="L374" s="14"/>
      <c r="M374" s="38"/>
      <c r="N374" s="32"/>
      <c r="O374" s="25"/>
      <c r="P374" s="41"/>
      <c r="Q374" s="46"/>
      <c r="R374" s="46"/>
      <c r="S374" s="21">
        <f t="shared" si="128"/>
        <v>0</v>
      </c>
      <c r="T374" s="13"/>
      <c r="U374" s="13"/>
      <c r="V374" s="13"/>
      <c r="W374" s="13"/>
      <c r="X374" s="14"/>
      <c r="Y374" s="38"/>
      <c r="Z374" s="32"/>
      <c r="AA374" s="25"/>
      <c r="AB374" s="41"/>
      <c r="AC374" s="46"/>
      <c r="AD374" s="46"/>
      <c r="AE374" s="21">
        <f t="shared" si="129"/>
        <v>0</v>
      </c>
      <c r="AF374" s="13"/>
      <c r="AG374" s="13"/>
      <c r="AH374" s="13"/>
      <c r="AI374" s="13"/>
      <c r="AJ374" s="14"/>
      <c r="AK374" s="38"/>
      <c r="AL374" s="32"/>
      <c r="AM374" s="25"/>
      <c r="AN374" s="41"/>
      <c r="AO374" s="46"/>
      <c r="AP374" s="46"/>
      <c r="AQ374" s="21">
        <f t="shared" si="130"/>
        <v>0</v>
      </c>
      <c r="AR374" s="13"/>
      <c r="AS374" s="13"/>
      <c r="AT374" s="13"/>
      <c r="AU374" s="13"/>
      <c r="AV374" s="14"/>
      <c r="AW374" s="38"/>
      <c r="AX374" s="32"/>
      <c r="AY374" s="25"/>
      <c r="AZ374" s="41"/>
      <c r="BA374" s="46"/>
      <c r="BB374" s="46"/>
      <c r="BC374" s="21">
        <f t="shared" si="131"/>
        <v>0</v>
      </c>
      <c r="BD374" s="13"/>
      <c r="BE374" s="13"/>
      <c r="BF374" s="13"/>
      <c r="BG374" s="13"/>
      <c r="BH374" s="14"/>
      <c r="BI374" s="38"/>
      <c r="BJ374" s="32"/>
      <c r="BK374" s="25"/>
      <c r="BL374" s="41"/>
      <c r="BM374" s="46"/>
      <c r="BN374" s="46"/>
      <c r="BO374" s="21">
        <f t="shared" si="132"/>
        <v>0</v>
      </c>
      <c r="BP374" s="13"/>
      <c r="BQ374" s="13"/>
      <c r="BR374" s="13"/>
      <c r="BS374" s="13"/>
      <c r="BT374" s="14"/>
      <c r="BU374" s="107"/>
      <c r="BV374" s="107"/>
      <c r="BW374" s="107"/>
      <c r="BX374" s="107"/>
      <c r="BY374" s="107"/>
      <c r="BZ374" s="107"/>
      <c r="CA374" s="111"/>
      <c r="CB374" s="107"/>
      <c r="CC374" s="107"/>
      <c r="CD374" s="107"/>
      <c r="CE374" s="107"/>
      <c r="CF374" s="107"/>
      <c r="CG374" s="107"/>
      <c r="CH374" s="107"/>
      <c r="CI374" s="107"/>
      <c r="CJ374" s="107"/>
    </row>
    <row r="375">
      <c r="A375" s="38"/>
      <c r="B375" s="47"/>
      <c r="C375" s="25"/>
      <c r="D375" s="41"/>
      <c r="E375" s="49"/>
      <c r="F375" s="49"/>
      <c r="G375" s="21">
        <f t="shared" si="127"/>
        <v>0</v>
      </c>
      <c r="H375" s="13"/>
      <c r="I375" s="142">
        <v>40363.0</v>
      </c>
      <c r="J375" s="13"/>
      <c r="K375" s="13"/>
      <c r="L375" s="14"/>
      <c r="M375" s="38"/>
      <c r="N375" s="47"/>
      <c r="O375" s="25"/>
      <c r="P375" s="41"/>
      <c r="Q375" s="49"/>
      <c r="R375" s="49"/>
      <c r="S375" s="21">
        <f t="shared" si="128"/>
        <v>0</v>
      </c>
      <c r="T375" s="13"/>
      <c r="U375" s="67"/>
      <c r="V375" s="67"/>
      <c r="W375" s="13"/>
      <c r="X375" s="14"/>
      <c r="Y375" s="38"/>
      <c r="Z375" s="47"/>
      <c r="AA375" s="25"/>
      <c r="AB375" s="41"/>
      <c r="AC375" s="49"/>
      <c r="AD375" s="49"/>
      <c r="AE375" s="21">
        <f t="shared" si="129"/>
        <v>0</v>
      </c>
      <c r="AF375" s="13"/>
      <c r="AG375" s="13"/>
      <c r="AH375" s="13"/>
      <c r="AI375" s="13"/>
      <c r="AJ375" s="14"/>
      <c r="AK375" s="38"/>
      <c r="AL375" s="47"/>
      <c r="AM375" s="25"/>
      <c r="AN375" s="41"/>
      <c r="AO375" s="49"/>
      <c r="AP375" s="49"/>
      <c r="AQ375" s="21">
        <f t="shared" si="130"/>
        <v>0</v>
      </c>
      <c r="AR375" s="13"/>
      <c r="AS375" s="13"/>
      <c r="AT375" s="13"/>
      <c r="AU375" s="13"/>
      <c r="AV375" s="14"/>
      <c r="AW375" s="38"/>
      <c r="AX375" s="47"/>
      <c r="AY375" s="25"/>
      <c r="AZ375" s="41"/>
      <c r="BA375" s="49"/>
      <c r="BB375" s="49"/>
      <c r="BC375" s="21">
        <f t="shared" si="131"/>
        <v>0</v>
      </c>
      <c r="BD375" s="13"/>
      <c r="BE375" s="13"/>
      <c r="BF375" s="13"/>
      <c r="BG375" s="13"/>
      <c r="BH375" s="14"/>
      <c r="BI375" s="38"/>
      <c r="BJ375" s="47"/>
      <c r="BK375" s="25"/>
      <c r="BL375" s="41"/>
      <c r="BM375" s="49"/>
      <c r="BN375" s="49"/>
      <c r="BO375" s="21">
        <f t="shared" si="132"/>
        <v>0</v>
      </c>
      <c r="BP375" s="13"/>
      <c r="BQ375" s="13"/>
      <c r="BR375" s="13"/>
      <c r="BS375" s="13"/>
      <c r="BT375" s="14"/>
      <c r="BU375" s="107"/>
      <c r="BV375" s="107"/>
      <c r="BW375" s="107"/>
      <c r="BX375" s="107"/>
      <c r="BY375" s="107"/>
      <c r="BZ375" s="107"/>
      <c r="CA375" s="111"/>
      <c r="CB375" s="107"/>
      <c r="CC375" s="107"/>
      <c r="CD375" s="107"/>
      <c r="CE375" s="107"/>
      <c r="CF375" s="107"/>
      <c r="CG375" s="107"/>
      <c r="CH375" s="107"/>
      <c r="CI375" s="107"/>
      <c r="CJ375" s="107"/>
    </row>
    <row r="376">
      <c r="A376" s="38"/>
      <c r="B376" s="32"/>
      <c r="C376" s="25"/>
      <c r="D376" s="41"/>
      <c r="E376" s="49"/>
      <c r="F376" s="49"/>
      <c r="G376" s="21">
        <f t="shared" si="127"/>
        <v>0</v>
      </c>
      <c r="H376" s="13"/>
      <c r="I376" s="67"/>
      <c r="J376" s="13"/>
      <c r="K376" s="13"/>
      <c r="L376" s="14"/>
      <c r="M376" s="38"/>
      <c r="N376" s="32"/>
      <c r="O376" s="25"/>
      <c r="P376" s="41"/>
      <c r="Q376" s="49"/>
      <c r="R376" s="49"/>
      <c r="S376" s="21">
        <f t="shared" si="128"/>
        <v>0</v>
      </c>
      <c r="T376" s="13"/>
      <c r="U376" s="13"/>
      <c r="V376" s="13"/>
      <c r="W376" s="13"/>
      <c r="X376" s="14"/>
      <c r="Y376" s="38"/>
      <c r="Z376" s="32"/>
      <c r="AA376" s="25"/>
      <c r="AB376" s="41"/>
      <c r="AC376" s="49"/>
      <c r="AD376" s="49"/>
      <c r="AE376" s="21">
        <f t="shared" si="129"/>
        <v>0</v>
      </c>
      <c r="AF376" s="13"/>
      <c r="AG376" s="13"/>
      <c r="AH376" s="13"/>
      <c r="AI376" s="13"/>
      <c r="AJ376" s="14"/>
      <c r="AK376" s="38"/>
      <c r="AL376" s="32"/>
      <c r="AM376" s="25"/>
      <c r="AN376" s="41"/>
      <c r="AO376" s="49"/>
      <c r="AP376" s="49"/>
      <c r="AQ376" s="21">
        <f t="shared" si="130"/>
        <v>0</v>
      </c>
      <c r="AR376" s="13"/>
      <c r="AS376" s="13"/>
      <c r="AT376" s="13"/>
      <c r="AU376" s="13"/>
      <c r="AV376" s="14"/>
      <c r="AW376" s="38"/>
      <c r="AX376" s="32"/>
      <c r="AY376" s="25"/>
      <c r="AZ376" s="41"/>
      <c r="BA376" s="49"/>
      <c r="BB376" s="49"/>
      <c r="BC376" s="21">
        <f t="shared" si="131"/>
        <v>0</v>
      </c>
      <c r="BD376" s="13"/>
      <c r="BE376" s="13"/>
      <c r="BF376" s="13"/>
      <c r="BG376" s="13"/>
      <c r="BH376" s="14"/>
      <c r="BI376" s="38"/>
      <c r="BJ376" s="32"/>
      <c r="BK376" s="25"/>
      <c r="BL376" s="41"/>
      <c r="BM376" s="49"/>
      <c r="BN376" s="49"/>
      <c r="BO376" s="21">
        <f t="shared" si="132"/>
        <v>0</v>
      </c>
      <c r="BP376" s="13"/>
      <c r="BQ376" s="13"/>
      <c r="BR376" s="13"/>
      <c r="BS376" s="13"/>
      <c r="BT376" s="14"/>
      <c r="BU376" s="107"/>
      <c r="BV376" s="107"/>
      <c r="BW376" s="107"/>
      <c r="BX376" s="107"/>
      <c r="BY376" s="107"/>
      <c r="BZ376" s="107"/>
      <c r="CA376" s="111"/>
      <c r="CB376" s="107"/>
      <c r="CC376" s="107"/>
      <c r="CD376" s="107"/>
      <c r="CE376" s="107"/>
      <c r="CF376" s="107"/>
      <c r="CG376" s="107"/>
      <c r="CH376" s="107"/>
      <c r="CI376" s="107"/>
      <c r="CJ376" s="107"/>
    </row>
    <row r="377">
      <c r="A377" s="38"/>
      <c r="B377" s="32"/>
      <c r="C377" s="25"/>
      <c r="D377" s="41"/>
      <c r="E377" s="49"/>
      <c r="F377" s="49"/>
      <c r="G377" s="21">
        <f t="shared" si="127"/>
        <v>0</v>
      </c>
      <c r="H377" s="13"/>
      <c r="I377" s="67"/>
      <c r="J377" s="13"/>
      <c r="K377" s="13"/>
      <c r="L377" s="14"/>
      <c r="M377" s="38"/>
      <c r="N377" s="32"/>
      <c r="O377" s="25"/>
      <c r="P377" s="41"/>
      <c r="Q377" s="49"/>
      <c r="R377" s="49"/>
      <c r="S377" s="21">
        <f t="shared" si="128"/>
        <v>0</v>
      </c>
      <c r="T377" s="13"/>
      <c r="U377" s="13"/>
      <c r="V377" s="13"/>
      <c r="W377" s="13"/>
      <c r="X377" s="14"/>
      <c r="Y377" s="38"/>
      <c r="Z377" s="32"/>
      <c r="AA377" s="25"/>
      <c r="AB377" s="41"/>
      <c r="AC377" s="49"/>
      <c r="AD377" s="49"/>
      <c r="AE377" s="21">
        <f t="shared" si="129"/>
        <v>0</v>
      </c>
      <c r="AF377" s="13"/>
      <c r="AG377" s="13"/>
      <c r="AH377" s="13"/>
      <c r="AI377" s="13"/>
      <c r="AJ377" s="14"/>
      <c r="AK377" s="38"/>
      <c r="AL377" s="32"/>
      <c r="AM377" s="25"/>
      <c r="AN377" s="41"/>
      <c r="AO377" s="49"/>
      <c r="AP377" s="49"/>
      <c r="AQ377" s="21">
        <f t="shared" si="130"/>
        <v>0</v>
      </c>
      <c r="AR377" s="13"/>
      <c r="AS377" s="13"/>
      <c r="AT377" s="13"/>
      <c r="AU377" s="13"/>
      <c r="AV377" s="14"/>
      <c r="AW377" s="38"/>
      <c r="AX377" s="32"/>
      <c r="AY377" s="25"/>
      <c r="AZ377" s="41"/>
      <c r="BA377" s="49"/>
      <c r="BB377" s="49"/>
      <c r="BC377" s="21">
        <f t="shared" si="131"/>
        <v>0</v>
      </c>
      <c r="BD377" s="13"/>
      <c r="BE377" s="13"/>
      <c r="BF377" s="13"/>
      <c r="BG377" s="13"/>
      <c r="BH377" s="14"/>
      <c r="BI377" s="38"/>
      <c r="BJ377" s="32"/>
      <c r="BK377" s="25"/>
      <c r="BL377" s="41"/>
      <c r="BM377" s="49"/>
      <c r="BN377" s="49"/>
      <c r="BO377" s="21">
        <f t="shared" si="132"/>
        <v>0</v>
      </c>
      <c r="BP377" s="13"/>
      <c r="BQ377" s="13"/>
      <c r="BR377" s="13"/>
      <c r="BS377" s="13"/>
      <c r="BT377" s="14"/>
      <c r="BU377" s="107"/>
      <c r="BV377" s="107"/>
      <c r="BW377" s="107"/>
      <c r="BX377" s="107"/>
      <c r="BY377" s="107"/>
      <c r="BZ377" s="107"/>
      <c r="CA377" s="111"/>
      <c r="CB377" s="107"/>
      <c r="CC377" s="107"/>
      <c r="CD377" s="107"/>
      <c r="CE377" s="107"/>
      <c r="CF377" s="107"/>
      <c r="CG377" s="107"/>
      <c r="CH377" s="107"/>
      <c r="CI377" s="107"/>
      <c r="CJ377" s="107"/>
    </row>
    <row r="378">
      <c r="A378" s="50"/>
      <c r="B378" s="32"/>
      <c r="C378" s="25"/>
      <c r="D378" s="41"/>
      <c r="E378" s="49"/>
      <c r="F378" s="49"/>
      <c r="G378" s="88">
        <f t="shared" si="127"/>
        <v>0</v>
      </c>
      <c r="H378" s="89"/>
      <c r="I378" s="104"/>
      <c r="J378" s="89"/>
      <c r="K378" s="89"/>
      <c r="L378" s="90"/>
      <c r="M378" s="50"/>
      <c r="N378" s="32"/>
      <c r="O378" s="25"/>
      <c r="P378" s="41"/>
      <c r="Q378" s="49"/>
      <c r="R378" s="49"/>
      <c r="S378" s="21">
        <f t="shared" si="128"/>
        <v>0</v>
      </c>
      <c r="T378" s="89"/>
      <c r="U378" s="89"/>
      <c r="V378" s="89"/>
      <c r="W378" s="89"/>
      <c r="X378" s="90"/>
      <c r="Y378" s="50"/>
      <c r="Z378" s="32"/>
      <c r="AA378" s="25"/>
      <c r="AB378" s="41"/>
      <c r="AC378" s="49"/>
      <c r="AD378" s="49"/>
      <c r="AE378" s="21">
        <f t="shared" si="129"/>
        <v>0</v>
      </c>
      <c r="AF378" s="89"/>
      <c r="AG378" s="89"/>
      <c r="AH378" s="89"/>
      <c r="AI378" s="89"/>
      <c r="AJ378" s="90"/>
      <c r="AK378" s="50"/>
      <c r="AL378" s="32"/>
      <c r="AM378" s="25"/>
      <c r="AN378" s="41"/>
      <c r="AO378" s="49"/>
      <c r="AP378" s="49"/>
      <c r="AQ378" s="21">
        <f t="shared" si="130"/>
        <v>0</v>
      </c>
      <c r="AR378" s="89"/>
      <c r="AS378" s="89"/>
      <c r="AT378" s="89"/>
      <c r="AU378" s="89"/>
      <c r="AV378" s="90"/>
      <c r="AW378" s="50"/>
      <c r="AX378" s="32"/>
      <c r="AY378" s="25"/>
      <c r="AZ378" s="41"/>
      <c r="BA378" s="49"/>
      <c r="BB378" s="49"/>
      <c r="BC378" s="21">
        <f t="shared" si="131"/>
        <v>0</v>
      </c>
      <c r="BD378" s="89"/>
      <c r="BE378" s="89"/>
      <c r="BF378" s="89"/>
      <c r="BG378" s="89"/>
      <c r="BH378" s="90"/>
      <c r="BI378" s="50"/>
      <c r="BJ378" s="32"/>
      <c r="BK378" s="25"/>
      <c r="BL378" s="41"/>
      <c r="BM378" s="49"/>
      <c r="BN378" s="49"/>
      <c r="BO378" s="21">
        <f t="shared" si="132"/>
        <v>0</v>
      </c>
      <c r="BP378" s="89"/>
      <c r="BQ378" s="89"/>
      <c r="BR378" s="89"/>
      <c r="BS378" s="89"/>
      <c r="BT378" s="90"/>
      <c r="BU378" s="107"/>
      <c r="BV378" s="107"/>
      <c r="BW378" s="107"/>
      <c r="BX378" s="107"/>
      <c r="BY378" s="107"/>
      <c r="BZ378" s="107"/>
      <c r="CA378" s="111"/>
      <c r="CB378" s="107"/>
      <c r="CC378" s="107"/>
      <c r="CD378" s="107"/>
      <c r="CE378" s="107"/>
      <c r="CF378" s="107"/>
      <c r="CG378" s="107"/>
      <c r="CH378" s="107"/>
      <c r="CI378" s="107"/>
      <c r="CJ378" s="107"/>
    </row>
    <row r="379">
      <c r="A379" s="1" t="s">
        <v>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1" t="s">
        <v>2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3"/>
      <c r="Y379" s="1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3"/>
      <c r="AK379" s="1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3"/>
      <c r="AW379" s="1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3"/>
      <c r="BI379" s="1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3"/>
      <c r="BU379" s="4"/>
      <c r="CG379" s="107"/>
      <c r="CH379" s="107"/>
      <c r="CI379" s="107"/>
      <c r="CJ379" s="107"/>
    </row>
    <row r="380">
      <c r="A380" s="5" t="s">
        <v>87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5" t="s">
        <v>87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5" t="s">
        <v>3</v>
      </c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5" t="s">
        <v>3</v>
      </c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5" t="s">
        <v>3</v>
      </c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5" t="s">
        <v>3</v>
      </c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5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107"/>
      <c r="CH380" s="107"/>
      <c r="CI380" s="107"/>
      <c r="CJ380" s="107"/>
    </row>
    <row r="381">
      <c r="A381" s="7" t="s">
        <v>5</v>
      </c>
      <c r="B381" s="8" t="s">
        <v>6</v>
      </c>
      <c r="C381" s="9" t="s">
        <v>7</v>
      </c>
      <c r="D381" s="10" t="s">
        <v>8</v>
      </c>
      <c r="E381" s="11" t="s">
        <v>9</v>
      </c>
      <c r="F381" s="11" t="s">
        <v>10</v>
      </c>
      <c r="G381" s="12" t="s">
        <v>11</v>
      </c>
      <c r="H381" s="12" t="s">
        <v>12</v>
      </c>
      <c r="I381" s="12" t="s">
        <v>13</v>
      </c>
      <c r="J381" s="13" t="s">
        <v>14</v>
      </c>
      <c r="K381" s="67" t="s">
        <v>15</v>
      </c>
      <c r="L381" s="14" t="s">
        <v>16</v>
      </c>
      <c r="M381" s="7" t="s">
        <v>5</v>
      </c>
      <c r="N381" s="8" t="s">
        <v>6</v>
      </c>
      <c r="O381" s="9" t="s">
        <v>7</v>
      </c>
      <c r="P381" s="10" t="s">
        <v>8</v>
      </c>
      <c r="Q381" s="11" t="s">
        <v>9</v>
      </c>
      <c r="R381" s="11" t="s">
        <v>10</v>
      </c>
      <c r="S381" s="12" t="s">
        <v>11</v>
      </c>
      <c r="T381" s="12" t="s">
        <v>12</v>
      </c>
      <c r="U381" s="12" t="s">
        <v>13</v>
      </c>
      <c r="V381" s="13" t="s">
        <v>14</v>
      </c>
      <c r="W381" s="13" t="s">
        <v>15</v>
      </c>
      <c r="X381" s="14" t="s">
        <v>16</v>
      </c>
      <c r="Y381" s="7" t="s">
        <v>5</v>
      </c>
      <c r="Z381" s="8" t="s">
        <v>6</v>
      </c>
      <c r="AA381" s="9" t="s">
        <v>7</v>
      </c>
      <c r="AB381" s="10" t="s">
        <v>8</v>
      </c>
      <c r="AC381" s="11" t="s">
        <v>9</v>
      </c>
      <c r="AD381" s="11" t="s">
        <v>10</v>
      </c>
      <c r="AE381" s="12" t="s">
        <v>11</v>
      </c>
      <c r="AF381" s="12" t="s">
        <v>12</v>
      </c>
      <c r="AG381" s="12" t="s">
        <v>13</v>
      </c>
      <c r="AH381" s="13" t="s">
        <v>14</v>
      </c>
      <c r="AI381" s="13" t="s">
        <v>15</v>
      </c>
      <c r="AJ381" s="14" t="s">
        <v>16</v>
      </c>
      <c r="AK381" s="7" t="s">
        <v>5</v>
      </c>
      <c r="AL381" s="8" t="s">
        <v>84</v>
      </c>
      <c r="AM381" s="9" t="s">
        <v>7</v>
      </c>
      <c r="AN381" s="10" t="s">
        <v>8</v>
      </c>
      <c r="AO381" s="11" t="s">
        <v>9</v>
      </c>
      <c r="AP381" s="11" t="s">
        <v>10</v>
      </c>
      <c r="AQ381" s="12" t="s">
        <v>11</v>
      </c>
      <c r="AR381" s="12" t="s">
        <v>12</v>
      </c>
      <c r="AS381" s="12" t="s">
        <v>13</v>
      </c>
      <c r="AT381" s="13" t="s">
        <v>14</v>
      </c>
      <c r="AU381" s="13" t="s">
        <v>15</v>
      </c>
      <c r="AV381" s="14" t="s">
        <v>16</v>
      </c>
      <c r="AW381" s="7" t="s">
        <v>5</v>
      </c>
      <c r="AX381" s="8" t="s">
        <v>6</v>
      </c>
      <c r="AY381" s="9" t="s">
        <v>7</v>
      </c>
      <c r="AZ381" s="10" t="s">
        <v>8</v>
      </c>
      <c r="BA381" s="11" t="s">
        <v>9</v>
      </c>
      <c r="BB381" s="11" t="s">
        <v>10</v>
      </c>
      <c r="BC381" s="12" t="s">
        <v>11</v>
      </c>
      <c r="BD381" s="12" t="s">
        <v>12</v>
      </c>
      <c r="BE381" s="12" t="s">
        <v>13</v>
      </c>
      <c r="BF381" s="13" t="s">
        <v>14</v>
      </c>
      <c r="BG381" s="13" t="s">
        <v>15</v>
      </c>
      <c r="BH381" s="14" t="s">
        <v>16</v>
      </c>
      <c r="BI381" s="7" t="s">
        <v>5</v>
      </c>
      <c r="BJ381" s="8" t="s">
        <v>6</v>
      </c>
      <c r="BK381" s="9" t="s">
        <v>7</v>
      </c>
      <c r="BL381" s="10" t="s">
        <v>8</v>
      </c>
      <c r="BM381" s="11" t="s">
        <v>9</v>
      </c>
      <c r="BN381" s="11" t="s">
        <v>10</v>
      </c>
      <c r="BO381" s="12" t="s">
        <v>11</v>
      </c>
      <c r="BP381" s="12" t="s">
        <v>12</v>
      </c>
      <c r="BQ381" s="12" t="s">
        <v>13</v>
      </c>
      <c r="BR381" s="13" t="s">
        <v>14</v>
      </c>
      <c r="BS381" s="13" t="s">
        <v>15</v>
      </c>
      <c r="BT381" s="14" t="s">
        <v>16</v>
      </c>
      <c r="BU381" s="109"/>
      <c r="BV381" s="108"/>
      <c r="BW381" s="108"/>
      <c r="BX381" s="108"/>
      <c r="BY381" s="108"/>
      <c r="BZ381" s="108"/>
      <c r="CA381" s="109"/>
      <c r="CB381" s="109"/>
      <c r="CC381" s="109"/>
      <c r="CD381" s="107"/>
      <c r="CE381" s="107"/>
      <c r="CF381" s="107"/>
      <c r="CG381" s="107"/>
      <c r="CH381" s="107"/>
      <c r="CI381" s="107"/>
      <c r="CJ381" s="107"/>
    </row>
    <row r="382">
      <c r="A382" s="15"/>
      <c r="B382" s="16"/>
      <c r="C382" s="17"/>
      <c r="D382" s="18"/>
      <c r="E382" s="20">
        <v>1500000.0</v>
      </c>
      <c r="F382" s="20"/>
      <c r="G382" s="21">
        <f t="shared" ref="G382:G405" si="140">SUM(B382)-(B382*15%)+(C382)-(C382*20.8%)+(D382)+(E382)-(E382*0.95%)+(F382)-(F382*15.5%)</f>
        <v>1485750</v>
      </c>
      <c r="H382" s="22">
        <f>SUM(B382:F405)</f>
        <v>4295000</v>
      </c>
      <c r="I382" s="21">
        <f>SUM(G382:G405)</f>
        <v>3936105.5</v>
      </c>
      <c r="J382" s="21">
        <f>SUM(I382)-(I382*97%)</f>
        <v>118083.165</v>
      </c>
      <c r="K382" s="21">
        <f>SUM(I382)-(I382*95%)</f>
        <v>196805.275</v>
      </c>
      <c r="L382" s="23">
        <f>SUM(I382)-(I382*93%)</f>
        <v>275527.385</v>
      </c>
      <c r="M382" s="15"/>
      <c r="N382" s="24"/>
      <c r="O382" s="25"/>
      <c r="P382" s="18"/>
      <c r="Q382" s="20">
        <v>100000.0</v>
      </c>
      <c r="R382" s="145"/>
      <c r="S382" s="21">
        <f t="shared" ref="S382:S405" si="141">SUM(N382)-(N382*15%)+(O382)-(O382*20.8%)+(P382)+(Q382)-(Q382*0.95%)+(R382)-(R382*15.5%)</f>
        <v>99050</v>
      </c>
      <c r="T382" s="22">
        <f>SUM(N382:R405)</f>
        <v>7150000</v>
      </c>
      <c r="U382" s="21">
        <f>SUM(S382:S405)</f>
        <v>6235625</v>
      </c>
      <c r="V382" s="21">
        <f>SUM(U382)-(U382*97%)</f>
        <v>187068.75</v>
      </c>
      <c r="W382" s="21">
        <f>SUM(U382)-(U382*95%)</f>
        <v>311781.25</v>
      </c>
      <c r="X382" s="23">
        <f>SUM(U382)-(U382*93%)</f>
        <v>436493.75</v>
      </c>
      <c r="Y382" s="60"/>
      <c r="Z382" s="24"/>
      <c r="AA382" s="25"/>
      <c r="AB382" s="18"/>
      <c r="AC382" s="20"/>
      <c r="AD382" s="20"/>
      <c r="AE382" s="21">
        <f t="shared" ref="AE382:AE405" si="142">SUM(Z382)-(Z382*15%)+(AA382)-(AA382*20.8%)+(AB382)+(AC382)-(AC382*0.95%)+(AD382)-(AD382*15.5%)</f>
        <v>0</v>
      </c>
      <c r="AF382" s="22">
        <f>SUM(Z382:AD405)</f>
        <v>0</v>
      </c>
      <c r="AG382" s="21">
        <f>SUM(AE382:AE405)</f>
        <v>0</v>
      </c>
      <c r="AH382" s="21">
        <f>SUM(AG382)-(AG382*97%)</f>
        <v>0</v>
      </c>
      <c r="AI382" s="21">
        <f>SUM(AG382)-(AG382*95%)</f>
        <v>0</v>
      </c>
      <c r="AJ382" s="23">
        <f>SUM(AG382)-(AG382*93%)</f>
        <v>0</v>
      </c>
      <c r="AK382" s="15">
        <v>11.0</v>
      </c>
      <c r="AL382" s="24"/>
      <c r="AM382" s="25"/>
      <c r="AN382" s="18"/>
      <c r="AO382" s="20"/>
      <c r="AP382" s="20"/>
      <c r="AQ382" s="21">
        <f t="shared" ref="AQ382:AQ405" si="143">SUM(AL382)-(AL382*15%)+(AM382)-(AM382*20.8%)+(AN382)+(AO382)-(AO382*0.95%)+(AP382)-(AP382*15.5%)</f>
        <v>0</v>
      </c>
      <c r="AR382" s="22">
        <f>SUM(AL382:AP405)</f>
        <v>0</v>
      </c>
      <c r="AS382" s="21">
        <f>SUM(AQ382:AQ405)</f>
        <v>0</v>
      </c>
      <c r="AT382" s="21">
        <f>SUM(AS382)-(AS382*97%)</f>
        <v>0</v>
      </c>
      <c r="AU382" s="21">
        <f>SUM(AS382)-(AS382*95%)</f>
        <v>0</v>
      </c>
      <c r="AV382" s="23">
        <f>SUM(AS382)-(AS382*93%)</f>
        <v>0</v>
      </c>
      <c r="AW382" s="15">
        <v>31.0</v>
      </c>
      <c r="AX382" s="24"/>
      <c r="AY382" s="25"/>
      <c r="AZ382" s="18"/>
      <c r="BA382" s="20"/>
      <c r="BB382" s="20"/>
      <c r="BC382" s="21">
        <f t="shared" ref="BC382:BC405" si="144">SUM(AX382)-(AX382*15%)+(AY382)-(AY382*20.8%)+(AZ382)+(BA382)-(BA382*0.95%)+(BB382)-(BB382*15.5%)</f>
        <v>0</v>
      </c>
      <c r="BD382" s="22">
        <f>SUM(AX382:BB405)</f>
        <v>0</v>
      </c>
      <c r="BE382" s="21">
        <f>SUM(BC382:BC405)</f>
        <v>0</v>
      </c>
      <c r="BF382" s="21">
        <f>SUM(BE382)-(BE382*97%)</f>
        <v>0</v>
      </c>
      <c r="BG382" s="21">
        <f>SUM(BE382)-(BE382*95%)</f>
        <v>0</v>
      </c>
      <c r="BH382" s="23">
        <f>SUM(BE382)-(BE382*93%)</f>
        <v>0</v>
      </c>
      <c r="BI382" s="15"/>
      <c r="BJ382" s="24"/>
      <c r="BK382" s="25"/>
      <c r="BL382" s="18"/>
      <c r="BM382" s="20"/>
      <c r="BN382" s="20"/>
      <c r="BO382" s="21">
        <f t="shared" ref="BO382:BO405" si="145">SUM(BJ382)-(BJ382*15%)+(BK382)-(BK382*20.8%)+(BL382)+(BM382)-(BM382*0.95%)+(BN382)-(BN382*15.5%)</f>
        <v>0</v>
      </c>
      <c r="BP382" s="22">
        <f>SUM(BJ382:BN405)</f>
        <v>0</v>
      </c>
      <c r="BQ382" s="21">
        <f>SUM(BO382:BO405)</f>
        <v>0</v>
      </c>
      <c r="BR382" s="21">
        <f>SUM(BQ382)-(BQ382*97%)</f>
        <v>0</v>
      </c>
      <c r="BS382" s="21">
        <f>SUM(BQ382)-(BQ382*95%)</f>
        <v>0</v>
      </c>
      <c r="BT382" s="23">
        <f>SUM(BQ382)-(BQ382*93%)</f>
        <v>0</v>
      </c>
      <c r="BU382" s="110"/>
      <c r="BV382" s="107"/>
      <c r="BW382" s="107"/>
      <c r="BX382" s="107"/>
      <c r="BY382" s="107"/>
      <c r="BZ382" s="107"/>
      <c r="CA382" s="111"/>
      <c r="CB382" s="112"/>
      <c r="CC382" s="111"/>
      <c r="CD382" s="111"/>
      <c r="CE382" s="111"/>
      <c r="CF382" s="111"/>
      <c r="CG382" s="107"/>
      <c r="CH382" s="107"/>
      <c r="CI382" s="107"/>
      <c r="CJ382" s="107"/>
    </row>
    <row r="383">
      <c r="A383" s="15"/>
      <c r="B383" s="27">
        <v>764000.0</v>
      </c>
      <c r="C383" s="17"/>
      <c r="D383" s="40"/>
      <c r="E383" s="20">
        <v>236000.0</v>
      </c>
      <c r="F383" s="30"/>
      <c r="G383" s="21">
        <f t="shared" si="140"/>
        <v>883158</v>
      </c>
      <c r="H383" s="31" t="s">
        <v>20</v>
      </c>
      <c r="I383" s="13"/>
      <c r="J383" s="13" t="s">
        <v>21</v>
      </c>
      <c r="K383" s="13" t="s">
        <v>22</v>
      </c>
      <c r="L383" s="14" t="s">
        <v>23</v>
      </c>
      <c r="M383" s="15"/>
      <c r="N383" s="37"/>
      <c r="O383" s="25"/>
      <c r="P383" s="33"/>
      <c r="Q383" s="30">
        <v>30000.0</v>
      </c>
      <c r="R383" s="30"/>
      <c r="S383" s="21">
        <f t="shared" si="141"/>
        <v>29715</v>
      </c>
      <c r="T383" s="31" t="s">
        <v>20</v>
      </c>
      <c r="U383" s="13"/>
      <c r="V383" s="13" t="s">
        <v>21</v>
      </c>
      <c r="W383" s="13" t="s">
        <v>22</v>
      </c>
      <c r="X383" s="14" t="s">
        <v>23</v>
      </c>
      <c r="Y383" s="60"/>
      <c r="Z383" s="32"/>
      <c r="AA383" s="25"/>
      <c r="AB383" s="33"/>
      <c r="AC383" s="30"/>
      <c r="AD383" s="30"/>
      <c r="AE383" s="21">
        <f t="shared" si="142"/>
        <v>0</v>
      </c>
      <c r="AF383" s="31" t="s">
        <v>20</v>
      </c>
      <c r="AG383" s="13"/>
      <c r="AH383" s="13" t="s">
        <v>21</v>
      </c>
      <c r="AI383" s="13" t="s">
        <v>22</v>
      </c>
      <c r="AJ383" s="14" t="s">
        <v>23</v>
      </c>
      <c r="AK383" s="15">
        <v>23.0</v>
      </c>
      <c r="AL383" s="32"/>
      <c r="AM383" s="25"/>
      <c r="AN383" s="33"/>
      <c r="AO383" s="30"/>
      <c r="AP383" s="30"/>
      <c r="AQ383" s="21">
        <f t="shared" si="143"/>
        <v>0</v>
      </c>
      <c r="AR383" s="31" t="s">
        <v>20</v>
      </c>
      <c r="AS383" s="13"/>
      <c r="AT383" s="13" t="s">
        <v>21</v>
      </c>
      <c r="AU383" s="13" t="s">
        <v>22</v>
      </c>
      <c r="AV383" s="14" t="s">
        <v>23</v>
      </c>
      <c r="AW383" s="60"/>
      <c r="AX383" s="32"/>
      <c r="AY383" s="25"/>
      <c r="AZ383" s="33"/>
      <c r="BA383" s="30"/>
      <c r="BB383" s="30"/>
      <c r="BC383" s="21">
        <f t="shared" si="144"/>
        <v>0</v>
      </c>
      <c r="BD383" s="31" t="s">
        <v>20</v>
      </c>
      <c r="BE383" s="13"/>
      <c r="BF383" s="13" t="s">
        <v>21</v>
      </c>
      <c r="BG383" s="13" t="s">
        <v>22</v>
      </c>
      <c r="BH383" s="14" t="s">
        <v>23</v>
      </c>
      <c r="BI383" s="60"/>
      <c r="BJ383" s="32"/>
      <c r="BK383" s="25"/>
      <c r="BL383" s="33"/>
      <c r="BM383" s="30"/>
      <c r="BN383" s="30"/>
      <c r="BO383" s="21">
        <f t="shared" si="145"/>
        <v>0</v>
      </c>
      <c r="BP383" s="31" t="s">
        <v>20</v>
      </c>
      <c r="BQ383" s="13"/>
      <c r="BR383" s="13" t="s">
        <v>21</v>
      </c>
      <c r="BS383" s="13" t="s">
        <v>22</v>
      </c>
      <c r="BT383" s="14" t="s">
        <v>23</v>
      </c>
      <c r="BU383" s="110"/>
      <c r="BV383" s="107"/>
      <c r="BW383" s="107"/>
      <c r="BX383" s="107"/>
      <c r="BY383" s="107"/>
      <c r="BZ383" s="107"/>
      <c r="CA383" s="111"/>
      <c r="CB383" s="113"/>
      <c r="CC383" s="107"/>
      <c r="CD383" s="107"/>
      <c r="CE383" s="107"/>
      <c r="CF383" s="107"/>
      <c r="CG383" s="107"/>
      <c r="CH383" s="107"/>
      <c r="CI383" s="107"/>
      <c r="CJ383" s="107"/>
    </row>
    <row r="384">
      <c r="A384" s="15"/>
      <c r="B384" s="35"/>
      <c r="C384" s="17"/>
      <c r="D384" s="18"/>
      <c r="E384" s="20">
        <v>95000.0</v>
      </c>
      <c r="F384" s="20"/>
      <c r="G384" s="21">
        <f t="shared" si="140"/>
        <v>94097.5</v>
      </c>
      <c r="H384" s="36"/>
      <c r="I384" s="13"/>
      <c r="J384" s="21">
        <f t="shared" ref="J384:L384" si="146">SUM(J382)-(J382*10%)</f>
        <v>106274.8485</v>
      </c>
      <c r="K384" s="21">
        <f t="shared" si="146"/>
        <v>177124.7475</v>
      </c>
      <c r="L384" s="23">
        <f t="shared" si="146"/>
        <v>247974.6465</v>
      </c>
      <c r="M384" s="15"/>
      <c r="N384" s="37">
        <v>1400000.0</v>
      </c>
      <c r="O384" s="25"/>
      <c r="P384" s="33"/>
      <c r="Q384" s="20"/>
      <c r="R384" s="20"/>
      <c r="S384" s="21">
        <f t="shared" si="141"/>
        <v>1190000</v>
      </c>
      <c r="T384" s="36"/>
      <c r="U384" s="13"/>
      <c r="V384" s="21">
        <f t="shared" ref="V384:X384" si="147">SUM(V382)-(V382*10%)</f>
        <v>168361.875</v>
      </c>
      <c r="W384" s="21">
        <f t="shared" si="147"/>
        <v>280603.125</v>
      </c>
      <c r="X384" s="23">
        <f t="shared" si="147"/>
        <v>392844.375</v>
      </c>
      <c r="Y384" s="60"/>
      <c r="Z384" s="32"/>
      <c r="AA384" s="25"/>
      <c r="AB384" s="33"/>
      <c r="AC384" s="20"/>
      <c r="AD384" s="20"/>
      <c r="AE384" s="21">
        <f t="shared" si="142"/>
        <v>0</v>
      </c>
      <c r="AF384" s="36"/>
      <c r="AG384" s="13"/>
      <c r="AH384" s="21">
        <f t="shared" ref="AH384:AJ384" si="148">SUM(AH382)-(AH382*10%)</f>
        <v>0</v>
      </c>
      <c r="AI384" s="21">
        <f t="shared" si="148"/>
        <v>0</v>
      </c>
      <c r="AJ384" s="23">
        <f t="shared" si="148"/>
        <v>0</v>
      </c>
      <c r="AK384" s="15">
        <v>31.0</v>
      </c>
      <c r="AL384" s="37"/>
      <c r="AM384" s="25"/>
      <c r="AN384" s="33"/>
      <c r="AO384" s="20"/>
      <c r="AP384" s="20"/>
      <c r="AQ384" s="21">
        <f t="shared" si="143"/>
        <v>0</v>
      </c>
      <c r="AR384" s="36"/>
      <c r="AS384" s="13"/>
      <c r="AT384" s="21">
        <f t="shared" ref="AT384:AV384" si="149">SUM(AT382)-(AT382*10%)</f>
        <v>0</v>
      </c>
      <c r="AU384" s="21">
        <f t="shared" si="149"/>
        <v>0</v>
      </c>
      <c r="AV384" s="23">
        <f t="shared" si="149"/>
        <v>0</v>
      </c>
      <c r="AW384" s="60"/>
      <c r="AX384" s="32"/>
      <c r="AY384" s="25"/>
      <c r="AZ384" s="33"/>
      <c r="BA384" s="20"/>
      <c r="BB384" s="20"/>
      <c r="BC384" s="21">
        <f t="shared" si="144"/>
        <v>0</v>
      </c>
      <c r="BD384" s="36"/>
      <c r="BE384" s="13"/>
      <c r="BF384" s="21">
        <f t="shared" ref="BF384:BH384" si="150">SUM(BF382)-(BF382*10%)</f>
        <v>0</v>
      </c>
      <c r="BG384" s="21">
        <f t="shared" si="150"/>
        <v>0</v>
      </c>
      <c r="BH384" s="23">
        <f t="shared" si="150"/>
        <v>0</v>
      </c>
      <c r="BI384" s="60"/>
      <c r="BJ384" s="32"/>
      <c r="BK384" s="25"/>
      <c r="BL384" s="33"/>
      <c r="BM384" s="20"/>
      <c r="BN384" s="20"/>
      <c r="BO384" s="21">
        <f t="shared" si="145"/>
        <v>0</v>
      </c>
      <c r="BP384" s="36"/>
      <c r="BQ384" s="13"/>
      <c r="BR384" s="21">
        <f t="shared" ref="BR384:BT384" si="151">SUM(BR382)-(BR382*10%)</f>
        <v>0</v>
      </c>
      <c r="BS384" s="21">
        <f t="shared" si="151"/>
        <v>0</v>
      </c>
      <c r="BT384" s="23">
        <f t="shared" si="151"/>
        <v>0</v>
      </c>
      <c r="BU384" s="110"/>
      <c r="BV384" s="107"/>
      <c r="BW384" s="107"/>
      <c r="BX384" s="107"/>
      <c r="BY384" s="107"/>
      <c r="BZ384" s="107"/>
      <c r="CA384" s="111"/>
      <c r="CB384" s="107"/>
      <c r="CC384" s="107"/>
      <c r="CD384" s="111"/>
      <c r="CE384" s="111"/>
      <c r="CF384" s="111"/>
      <c r="CG384" s="107"/>
      <c r="CH384" s="107"/>
      <c r="CI384" s="107"/>
      <c r="CJ384" s="107"/>
    </row>
    <row r="385">
      <c r="A385" s="60"/>
      <c r="B385" s="27">
        <v>1500000.0</v>
      </c>
      <c r="C385" s="17"/>
      <c r="D385" s="18"/>
      <c r="E385" s="20"/>
      <c r="F385" s="20"/>
      <c r="G385" s="21">
        <f t="shared" si="140"/>
        <v>1275000</v>
      </c>
      <c r="H385" s="13"/>
      <c r="I385" s="13"/>
      <c r="J385" s="13"/>
      <c r="K385" s="13"/>
      <c r="L385" s="14"/>
      <c r="M385" s="60"/>
      <c r="N385" s="37"/>
      <c r="O385" s="93"/>
      <c r="P385" s="33"/>
      <c r="Q385" s="20">
        <v>1000000.0</v>
      </c>
      <c r="R385" s="20">
        <v>2000000.0</v>
      </c>
      <c r="S385" s="21">
        <f t="shared" si="141"/>
        <v>2680500</v>
      </c>
      <c r="T385" s="13"/>
      <c r="U385" s="13"/>
      <c r="V385" s="13"/>
      <c r="W385" s="13"/>
      <c r="X385" s="14"/>
      <c r="Y385" s="60"/>
      <c r="Z385" s="32"/>
      <c r="AA385" s="93"/>
      <c r="AB385" s="33"/>
      <c r="AC385" s="20"/>
      <c r="AD385" s="20"/>
      <c r="AE385" s="21">
        <f t="shared" si="142"/>
        <v>0</v>
      </c>
      <c r="AF385" s="13"/>
      <c r="AG385" s="13"/>
      <c r="AH385" s="13"/>
      <c r="AI385" s="13"/>
      <c r="AJ385" s="14"/>
      <c r="AK385" s="15"/>
      <c r="AL385" s="32"/>
      <c r="AM385" s="93"/>
      <c r="AN385" s="33"/>
      <c r="AO385" s="20"/>
      <c r="AP385" s="20"/>
      <c r="AQ385" s="21">
        <f t="shared" si="143"/>
        <v>0</v>
      </c>
      <c r="AR385" s="13"/>
      <c r="AS385" s="13"/>
      <c r="AT385" s="13"/>
      <c r="AU385" s="13"/>
      <c r="AV385" s="14"/>
      <c r="AW385" s="60"/>
      <c r="AX385" s="32"/>
      <c r="AY385" s="93"/>
      <c r="AZ385" s="33"/>
      <c r="BA385" s="20"/>
      <c r="BB385" s="20"/>
      <c r="BC385" s="21">
        <f t="shared" si="144"/>
        <v>0</v>
      </c>
      <c r="BD385" s="13"/>
      <c r="BE385" s="13"/>
      <c r="BF385" s="13"/>
      <c r="BG385" s="13"/>
      <c r="BH385" s="14"/>
      <c r="BI385" s="60"/>
      <c r="BJ385" s="32"/>
      <c r="BK385" s="93"/>
      <c r="BL385" s="33"/>
      <c r="BM385" s="20"/>
      <c r="BN385" s="20"/>
      <c r="BO385" s="21">
        <f t="shared" si="145"/>
        <v>0</v>
      </c>
      <c r="BP385" s="13"/>
      <c r="BQ385" s="13"/>
      <c r="BR385" s="13"/>
      <c r="BS385" s="13"/>
      <c r="BT385" s="14"/>
      <c r="BU385" s="110"/>
      <c r="BV385" s="107"/>
      <c r="BW385" s="107"/>
      <c r="BX385" s="107"/>
      <c r="BY385" s="107"/>
      <c r="BZ385" s="107"/>
      <c r="CA385" s="111"/>
      <c r="CB385" s="107"/>
      <c r="CC385" s="107"/>
      <c r="CD385" s="107"/>
      <c r="CE385" s="107"/>
      <c r="CF385" s="107"/>
      <c r="CG385" s="107"/>
      <c r="CH385" s="107"/>
      <c r="CI385" s="107"/>
      <c r="CJ385" s="107"/>
    </row>
    <row r="386">
      <c r="A386" s="15"/>
      <c r="B386" s="35"/>
      <c r="C386" s="17"/>
      <c r="D386" s="18"/>
      <c r="E386" s="20">
        <v>200000.0</v>
      </c>
      <c r="F386" s="20"/>
      <c r="G386" s="21">
        <f t="shared" si="140"/>
        <v>198100</v>
      </c>
      <c r="H386" s="13"/>
      <c r="I386" s="13"/>
      <c r="J386" s="13"/>
      <c r="K386" s="13"/>
      <c r="L386" s="14"/>
      <c r="M386" s="60"/>
      <c r="N386" s="37"/>
      <c r="O386" s="25"/>
      <c r="P386" s="33"/>
      <c r="Q386" s="20"/>
      <c r="R386" s="20">
        <v>1500000.0</v>
      </c>
      <c r="S386" s="21">
        <f t="shared" si="141"/>
        <v>1267500</v>
      </c>
      <c r="T386" s="13"/>
      <c r="U386" s="13"/>
      <c r="V386" s="13"/>
      <c r="W386" s="13"/>
      <c r="X386" s="14"/>
      <c r="Y386" s="60"/>
      <c r="Z386" s="32"/>
      <c r="AA386" s="25"/>
      <c r="AB386" s="33"/>
      <c r="AC386" s="20"/>
      <c r="AD386" s="20"/>
      <c r="AE386" s="21">
        <f t="shared" si="142"/>
        <v>0</v>
      </c>
      <c r="AF386" s="13"/>
      <c r="AG386" s="13"/>
      <c r="AH386" s="13"/>
      <c r="AI386" s="13"/>
      <c r="AJ386" s="14"/>
      <c r="AK386" s="15"/>
      <c r="AL386" s="32"/>
      <c r="AM386" s="25"/>
      <c r="AN386" s="33"/>
      <c r="AO386" s="20"/>
      <c r="AP386" s="20"/>
      <c r="AQ386" s="21">
        <f t="shared" si="143"/>
        <v>0</v>
      </c>
      <c r="AR386" s="13"/>
      <c r="AS386" s="13"/>
      <c r="AT386" s="13"/>
      <c r="AU386" s="13"/>
      <c r="AV386" s="14"/>
      <c r="AW386" s="60"/>
      <c r="AX386" s="32"/>
      <c r="AY386" s="25"/>
      <c r="AZ386" s="33"/>
      <c r="BA386" s="20"/>
      <c r="BB386" s="20"/>
      <c r="BC386" s="21">
        <f t="shared" si="144"/>
        <v>0</v>
      </c>
      <c r="BD386" s="13"/>
      <c r="BE386" s="13"/>
      <c r="BF386" s="13"/>
      <c r="BG386" s="13"/>
      <c r="BH386" s="14"/>
      <c r="BI386" s="60"/>
      <c r="BJ386" s="32"/>
      <c r="BK386" s="25"/>
      <c r="BL386" s="33"/>
      <c r="BM386" s="20"/>
      <c r="BN386" s="20"/>
      <c r="BO386" s="21">
        <f t="shared" si="145"/>
        <v>0</v>
      </c>
      <c r="BP386" s="13"/>
      <c r="BQ386" s="13"/>
      <c r="BR386" s="13"/>
      <c r="BS386" s="13"/>
      <c r="BT386" s="14"/>
      <c r="BU386" s="110"/>
      <c r="BV386" s="107"/>
      <c r="BW386" s="107"/>
      <c r="BX386" s="107"/>
      <c r="BY386" s="107"/>
      <c r="BZ386" s="107"/>
      <c r="CA386" s="111"/>
      <c r="CB386" s="107"/>
      <c r="CC386" s="107"/>
      <c r="CD386" s="107"/>
      <c r="CE386" s="107"/>
      <c r="CF386" s="107"/>
      <c r="CG386" s="107"/>
      <c r="CH386" s="107"/>
      <c r="CI386" s="107"/>
      <c r="CJ386" s="107"/>
    </row>
    <row r="387">
      <c r="A387" s="60"/>
      <c r="B387" s="39"/>
      <c r="C387" s="43"/>
      <c r="D387" s="18"/>
      <c r="E387" s="20"/>
      <c r="F387" s="20"/>
      <c r="G387" s="21">
        <f t="shared" si="140"/>
        <v>0</v>
      </c>
      <c r="H387" s="13"/>
      <c r="I387" s="13"/>
      <c r="J387" s="13"/>
      <c r="K387" s="13">
        <f>H389</f>
        <v>10171730.5</v>
      </c>
      <c r="L387" s="14"/>
      <c r="M387" s="60"/>
      <c r="N387" s="32"/>
      <c r="O387" s="93"/>
      <c r="P387" s="33"/>
      <c r="Q387" s="20">
        <v>120000.0</v>
      </c>
      <c r="R387" s="20"/>
      <c r="S387" s="21">
        <f t="shared" si="141"/>
        <v>118860</v>
      </c>
      <c r="T387" s="13"/>
      <c r="U387" s="13"/>
      <c r="V387" s="13"/>
      <c r="W387" s="13"/>
      <c r="X387" s="14"/>
      <c r="Y387" s="60"/>
      <c r="Z387" s="32"/>
      <c r="AA387" s="25"/>
      <c r="AB387" s="33"/>
      <c r="AC387" s="20"/>
      <c r="AD387" s="20"/>
      <c r="AE387" s="21">
        <f t="shared" si="142"/>
        <v>0</v>
      </c>
      <c r="AF387" s="13"/>
      <c r="AG387" s="13"/>
      <c r="AH387" s="13"/>
      <c r="AI387" s="13"/>
      <c r="AJ387" s="14"/>
      <c r="AK387" s="15"/>
      <c r="AL387" s="32"/>
      <c r="AM387" s="25"/>
      <c r="AN387" s="33"/>
      <c r="AO387" s="20"/>
      <c r="AP387" s="20"/>
      <c r="AQ387" s="21">
        <f t="shared" si="143"/>
        <v>0</v>
      </c>
      <c r="AR387" s="13"/>
      <c r="AS387" s="13"/>
      <c r="AT387" s="13"/>
      <c r="AU387" s="13"/>
      <c r="AV387" s="14"/>
      <c r="AW387" s="60"/>
      <c r="AX387" s="32"/>
      <c r="AY387" s="25"/>
      <c r="AZ387" s="33"/>
      <c r="BA387" s="20"/>
      <c r="BB387" s="20"/>
      <c r="BC387" s="21">
        <f t="shared" si="144"/>
        <v>0</v>
      </c>
      <c r="BD387" s="13"/>
      <c r="BE387" s="13"/>
      <c r="BF387" s="13"/>
      <c r="BG387" s="13"/>
      <c r="BH387" s="14"/>
      <c r="BI387" s="60"/>
      <c r="BJ387" s="32"/>
      <c r="BK387" s="25"/>
      <c r="BL387" s="33"/>
      <c r="BM387" s="20"/>
      <c r="BN387" s="20"/>
      <c r="BO387" s="21">
        <f t="shared" si="145"/>
        <v>0</v>
      </c>
      <c r="BP387" s="13"/>
      <c r="BQ387" s="13"/>
      <c r="BR387" s="13"/>
      <c r="BS387" s="13"/>
      <c r="BT387" s="14"/>
      <c r="BU387" s="110"/>
      <c r="BV387" s="107"/>
      <c r="BW387" s="107"/>
      <c r="BX387" s="107"/>
      <c r="BY387" s="107"/>
      <c r="BZ387" s="107"/>
      <c r="CA387" s="111"/>
      <c r="CB387" s="107"/>
      <c r="CC387" s="107"/>
      <c r="CD387" s="107"/>
      <c r="CE387" s="107"/>
      <c r="CF387" s="107"/>
      <c r="CG387" s="107"/>
      <c r="CH387" s="107"/>
      <c r="CI387" s="107"/>
      <c r="CJ387" s="107"/>
    </row>
    <row r="388">
      <c r="A388" s="60"/>
      <c r="B388" s="35"/>
      <c r="C388" s="17"/>
      <c r="D388" s="18"/>
      <c r="E388" s="20"/>
      <c r="F388" s="20"/>
      <c r="G388" s="21">
        <f t="shared" si="140"/>
        <v>0</v>
      </c>
      <c r="H388" s="94" t="s">
        <v>13</v>
      </c>
      <c r="I388" s="86" t="s">
        <v>57</v>
      </c>
      <c r="J388" s="86" t="s">
        <v>57</v>
      </c>
      <c r="K388" s="86" t="s">
        <v>65</v>
      </c>
      <c r="L388" s="95"/>
      <c r="M388" s="60"/>
      <c r="N388" s="37">
        <v>1000000.0</v>
      </c>
      <c r="O388" s="25"/>
      <c r="P388" s="33"/>
      <c r="Q388" s="20"/>
      <c r="R388" s="20"/>
      <c r="S388" s="21">
        <f t="shared" si="141"/>
        <v>850000</v>
      </c>
      <c r="T388" s="13"/>
      <c r="U388" s="13"/>
      <c r="V388" s="13"/>
      <c r="W388" s="13"/>
      <c r="X388" s="14"/>
      <c r="Y388" s="38"/>
      <c r="Z388" s="32"/>
      <c r="AA388" s="25"/>
      <c r="AB388" s="33"/>
      <c r="AC388" s="20"/>
      <c r="AD388" s="20"/>
      <c r="AE388" s="21">
        <f t="shared" si="142"/>
        <v>0</v>
      </c>
      <c r="AF388" s="13"/>
      <c r="AG388" s="13"/>
      <c r="AH388" s="13"/>
      <c r="AI388" s="13"/>
      <c r="AJ388" s="14"/>
      <c r="AK388" s="15"/>
      <c r="AL388" s="32"/>
      <c r="AM388" s="25"/>
      <c r="AN388" s="33"/>
      <c r="AO388" s="20"/>
      <c r="AP388" s="20"/>
      <c r="AQ388" s="21">
        <f t="shared" si="143"/>
        <v>0</v>
      </c>
      <c r="AR388" s="13"/>
      <c r="AS388" s="13"/>
      <c r="AT388" s="13"/>
      <c r="AU388" s="13"/>
      <c r="AV388" s="14"/>
      <c r="AW388" s="38"/>
      <c r="AX388" s="32"/>
      <c r="AY388" s="25"/>
      <c r="AZ388" s="33"/>
      <c r="BA388" s="20"/>
      <c r="BB388" s="20"/>
      <c r="BC388" s="21">
        <f t="shared" si="144"/>
        <v>0</v>
      </c>
      <c r="BD388" s="13"/>
      <c r="BE388" s="13"/>
      <c r="BF388" s="13"/>
      <c r="BG388" s="13"/>
      <c r="BH388" s="14"/>
      <c r="BI388" s="38"/>
      <c r="BJ388" s="32"/>
      <c r="BK388" s="25"/>
      <c r="BL388" s="33"/>
      <c r="BM388" s="20"/>
      <c r="BN388" s="20"/>
      <c r="BO388" s="21">
        <f t="shared" si="145"/>
        <v>0</v>
      </c>
      <c r="BP388" s="13"/>
      <c r="BQ388" s="13"/>
      <c r="BR388" s="13"/>
      <c r="BS388" s="13"/>
      <c r="BT388" s="14"/>
      <c r="BU388" s="110"/>
      <c r="BV388" s="107"/>
      <c r="BW388" s="107"/>
      <c r="BX388" s="107"/>
      <c r="BY388" s="107"/>
      <c r="BZ388" s="107"/>
      <c r="CA388" s="111"/>
      <c r="CB388" s="107"/>
      <c r="CC388" s="107"/>
      <c r="CD388" s="107"/>
      <c r="CE388" s="107"/>
      <c r="CF388" s="107"/>
      <c r="CG388" s="107"/>
      <c r="CH388" s="107"/>
      <c r="CI388" s="107"/>
      <c r="CJ388" s="107"/>
    </row>
    <row r="389">
      <c r="A389" s="60"/>
      <c r="B389" s="16"/>
      <c r="C389" s="17"/>
      <c r="D389" s="42"/>
      <c r="E389" s="30"/>
      <c r="F389" s="30"/>
      <c r="G389" s="21">
        <f t="shared" si="140"/>
        <v>0</v>
      </c>
      <c r="H389" s="95">
        <f>AG382+I382+U382+AS382+BE382+BQ382+CC382</f>
        <v>10171730.5</v>
      </c>
      <c r="I389" s="102" t="s">
        <v>52</v>
      </c>
      <c r="J389" s="102" t="s">
        <v>44</v>
      </c>
      <c r="K389" s="102" t="s">
        <v>52</v>
      </c>
      <c r="L389" s="102" t="s">
        <v>44</v>
      </c>
      <c r="M389" s="60"/>
      <c r="N389" s="37"/>
      <c r="O389" s="25"/>
      <c r="P389" s="41"/>
      <c r="Q389" s="20"/>
      <c r="R389" s="20"/>
      <c r="S389" s="21">
        <f t="shared" si="141"/>
        <v>0</v>
      </c>
      <c r="T389" s="67" t="s">
        <v>76</v>
      </c>
      <c r="U389" s="67">
        <v>1500.0</v>
      </c>
      <c r="V389" s="67">
        <v>37500.0</v>
      </c>
      <c r="W389" s="13"/>
      <c r="X389" s="14"/>
      <c r="Y389" s="38"/>
      <c r="Z389" s="37"/>
      <c r="AA389" s="25"/>
      <c r="AB389" s="41"/>
      <c r="AC389" s="20"/>
      <c r="AD389" s="20"/>
      <c r="AE389" s="21">
        <f t="shared" si="142"/>
        <v>0</v>
      </c>
      <c r="AF389" s="13"/>
      <c r="AG389" s="13"/>
      <c r="AH389" s="13"/>
      <c r="AI389" s="13"/>
      <c r="AJ389" s="14"/>
      <c r="AK389" s="15"/>
      <c r="AL389" s="37"/>
      <c r="AM389" s="25"/>
      <c r="AN389" s="41"/>
      <c r="AO389" s="20"/>
      <c r="AP389" s="20"/>
      <c r="AQ389" s="21">
        <f t="shared" si="143"/>
        <v>0</v>
      </c>
      <c r="AR389" s="13"/>
      <c r="AS389" s="13"/>
      <c r="AT389" s="13"/>
      <c r="AU389" s="13"/>
      <c r="AV389" s="14"/>
      <c r="AW389" s="38"/>
      <c r="AX389" s="37"/>
      <c r="AY389" s="25"/>
      <c r="AZ389" s="41"/>
      <c r="BA389" s="20"/>
      <c r="BB389" s="20"/>
      <c r="BC389" s="21">
        <f t="shared" si="144"/>
        <v>0</v>
      </c>
      <c r="BD389" s="13"/>
      <c r="BE389" s="13"/>
      <c r="BF389" s="13"/>
      <c r="BG389" s="13"/>
      <c r="BH389" s="14"/>
      <c r="BI389" s="38"/>
      <c r="BJ389" s="37"/>
      <c r="BK389" s="25"/>
      <c r="BL389" s="41"/>
      <c r="BM389" s="20"/>
      <c r="BN389" s="20"/>
      <c r="BO389" s="21">
        <f t="shared" si="145"/>
        <v>0</v>
      </c>
      <c r="BP389" s="13"/>
      <c r="BQ389" s="13"/>
      <c r="BR389" s="13"/>
      <c r="BS389" s="13"/>
      <c r="BT389" s="14"/>
      <c r="BU389" s="107"/>
      <c r="BV389" s="107"/>
      <c r="BW389" s="107"/>
      <c r="BX389" s="107"/>
      <c r="BY389" s="107"/>
      <c r="BZ389" s="107"/>
      <c r="CA389" s="111"/>
      <c r="CB389" s="107"/>
      <c r="CC389" s="107"/>
      <c r="CD389" s="107"/>
      <c r="CE389" s="107"/>
      <c r="CF389" s="107"/>
      <c r="CG389" s="107"/>
      <c r="CH389" s="107"/>
      <c r="CI389" s="107"/>
      <c r="CJ389" s="107"/>
    </row>
    <row r="390">
      <c r="A390" s="60"/>
      <c r="B390" s="35"/>
      <c r="C390" s="17"/>
      <c r="D390" s="18"/>
      <c r="E390" s="20"/>
      <c r="F390" s="20"/>
      <c r="G390" s="21">
        <f t="shared" si="140"/>
        <v>0</v>
      </c>
      <c r="H390" s="95"/>
      <c r="I390" s="115">
        <f>SUM(H389)-(H389*99%)</f>
        <v>101717.305</v>
      </c>
      <c r="J390" s="87">
        <f>SUM(H389)-(H389*98.5%)</f>
        <v>152575.9575</v>
      </c>
      <c r="K390" s="87">
        <f>SUM(K387)-(K387*99%)</f>
        <v>101717.305</v>
      </c>
      <c r="L390" s="87">
        <f>SUM(K387)-(K387*98.5%)</f>
        <v>152575.9575</v>
      </c>
      <c r="M390" s="60"/>
      <c r="N390" s="24"/>
      <c r="O390" s="25"/>
      <c r="P390" s="41"/>
      <c r="Q390" s="30"/>
      <c r="R390" s="30"/>
      <c r="S390" s="21">
        <f t="shared" si="141"/>
        <v>0</v>
      </c>
      <c r="T390" s="13"/>
      <c r="U390" s="13"/>
      <c r="V390" s="13"/>
      <c r="W390" s="13"/>
      <c r="X390" s="14"/>
      <c r="Y390" s="38"/>
      <c r="Z390" s="24"/>
      <c r="AA390" s="25"/>
      <c r="AB390" s="41"/>
      <c r="AC390" s="30"/>
      <c r="AD390" s="30"/>
      <c r="AE390" s="21">
        <f t="shared" si="142"/>
        <v>0</v>
      </c>
      <c r="AF390" s="13"/>
      <c r="AG390" s="13"/>
      <c r="AH390" s="13"/>
      <c r="AI390" s="13"/>
      <c r="AJ390" s="14"/>
      <c r="AK390" s="38"/>
      <c r="AL390" s="24"/>
      <c r="AM390" s="25"/>
      <c r="AN390" s="41"/>
      <c r="AO390" s="30"/>
      <c r="AP390" s="30"/>
      <c r="AQ390" s="21">
        <f t="shared" si="143"/>
        <v>0</v>
      </c>
      <c r="AR390" s="13"/>
      <c r="AS390" s="13"/>
      <c r="AT390" s="13"/>
      <c r="AU390" s="13"/>
      <c r="AV390" s="14"/>
      <c r="AW390" s="38"/>
      <c r="AX390" s="24"/>
      <c r="AY390" s="25"/>
      <c r="AZ390" s="41"/>
      <c r="BA390" s="30"/>
      <c r="BB390" s="30"/>
      <c r="BC390" s="21">
        <f t="shared" si="144"/>
        <v>0</v>
      </c>
      <c r="BD390" s="67"/>
      <c r="BE390" s="67"/>
      <c r="BF390" s="13"/>
      <c r="BG390" s="13"/>
      <c r="BH390" s="14"/>
      <c r="BI390" s="38"/>
      <c r="BJ390" s="24"/>
      <c r="BK390" s="25"/>
      <c r="BL390" s="41"/>
      <c r="BM390" s="30"/>
      <c r="BN390" s="30"/>
      <c r="BO390" s="21">
        <f t="shared" si="145"/>
        <v>0</v>
      </c>
      <c r="BP390" s="13"/>
      <c r="BQ390" s="13"/>
      <c r="BR390" s="13"/>
      <c r="BS390" s="13"/>
      <c r="BT390" s="14"/>
      <c r="BU390" s="107"/>
      <c r="BV390" s="107"/>
      <c r="BW390" s="107"/>
      <c r="BX390" s="107"/>
      <c r="BY390" s="107"/>
      <c r="BZ390" s="107"/>
      <c r="CA390" s="111"/>
      <c r="CB390" s="107"/>
      <c r="CC390" s="107"/>
      <c r="CD390" s="107"/>
      <c r="CE390" s="107"/>
      <c r="CF390" s="107"/>
      <c r="CG390" s="107"/>
      <c r="CH390" s="107"/>
      <c r="CI390" s="107"/>
      <c r="CJ390" s="107"/>
    </row>
    <row r="391">
      <c r="A391" s="60"/>
      <c r="B391" s="24"/>
      <c r="C391" s="25"/>
      <c r="D391" s="41"/>
      <c r="E391" s="46"/>
      <c r="F391" s="46"/>
      <c r="G391" s="21">
        <f t="shared" si="140"/>
        <v>0</v>
      </c>
      <c r="H391" s="95"/>
      <c r="I391" s="86" t="s">
        <v>53</v>
      </c>
      <c r="J391" s="86" t="s">
        <v>36</v>
      </c>
      <c r="K391" s="86" t="s">
        <v>53</v>
      </c>
      <c r="L391" s="86" t="s">
        <v>36</v>
      </c>
      <c r="M391" s="38"/>
      <c r="N391" s="37"/>
      <c r="O391" s="25"/>
      <c r="P391" s="41"/>
      <c r="Q391" s="20"/>
      <c r="R391" s="20"/>
      <c r="S391" s="21">
        <f t="shared" si="141"/>
        <v>0</v>
      </c>
      <c r="T391" s="13"/>
      <c r="U391" s="13"/>
      <c r="V391" s="13"/>
      <c r="W391" s="13"/>
      <c r="X391" s="14"/>
      <c r="Y391" s="38"/>
      <c r="Z391" s="37"/>
      <c r="AA391" s="25"/>
      <c r="AB391" s="41"/>
      <c r="AC391" s="20"/>
      <c r="AD391" s="20"/>
      <c r="AE391" s="21">
        <f t="shared" si="142"/>
        <v>0</v>
      </c>
      <c r="AF391" s="13"/>
      <c r="AG391" s="13"/>
      <c r="AH391" s="13"/>
      <c r="AI391" s="13"/>
      <c r="AJ391" s="14"/>
      <c r="AK391" s="38"/>
      <c r="AL391" s="37"/>
      <c r="AM391" s="25"/>
      <c r="AN391" s="41"/>
      <c r="AO391" s="20"/>
      <c r="AP391" s="20"/>
      <c r="AQ391" s="21">
        <f t="shared" si="143"/>
        <v>0</v>
      </c>
      <c r="AR391" s="13"/>
      <c r="AS391" s="13"/>
      <c r="AT391" s="13"/>
      <c r="AU391" s="13"/>
      <c r="AV391" s="14"/>
      <c r="AW391" s="38"/>
      <c r="AX391" s="37"/>
      <c r="AY391" s="25"/>
      <c r="AZ391" s="41"/>
      <c r="BA391" s="20"/>
      <c r="BB391" s="20"/>
      <c r="BC391" s="21">
        <f t="shared" si="144"/>
        <v>0</v>
      </c>
      <c r="BD391" s="13"/>
      <c r="BE391" s="13"/>
      <c r="BF391" s="13"/>
      <c r="BG391" s="13"/>
      <c r="BH391" s="14"/>
      <c r="BI391" s="38"/>
      <c r="BJ391" s="37"/>
      <c r="BK391" s="25"/>
      <c r="BL391" s="41"/>
      <c r="BM391" s="20"/>
      <c r="BN391" s="20"/>
      <c r="BO391" s="21">
        <f t="shared" si="145"/>
        <v>0</v>
      </c>
      <c r="BP391" s="13"/>
      <c r="BQ391" s="13"/>
      <c r="BR391" s="13"/>
      <c r="BS391" s="13"/>
      <c r="BT391" s="14"/>
      <c r="BU391" s="107"/>
      <c r="BV391" s="107"/>
      <c r="BW391" s="107"/>
      <c r="BX391" s="107"/>
      <c r="BY391" s="107"/>
      <c r="BZ391" s="107"/>
      <c r="CA391" s="111"/>
      <c r="CB391" s="107"/>
      <c r="CC391" s="107"/>
      <c r="CD391" s="107"/>
      <c r="CE391" s="107"/>
      <c r="CF391" s="107"/>
      <c r="CG391" s="107"/>
      <c r="CH391" s="107"/>
      <c r="CI391" s="107"/>
      <c r="CJ391" s="107"/>
    </row>
    <row r="392">
      <c r="A392" s="60"/>
      <c r="B392" s="47"/>
      <c r="C392" s="25"/>
      <c r="D392" s="33"/>
      <c r="E392" s="46"/>
      <c r="F392" s="46"/>
      <c r="G392" s="21">
        <f t="shared" si="140"/>
        <v>0</v>
      </c>
      <c r="H392" s="94" t="s">
        <v>12</v>
      </c>
      <c r="I392" s="87">
        <f t="shared" ref="I392:L392" si="152">SUM(I390)-(I390*10%)</f>
        <v>91545.5745</v>
      </c>
      <c r="J392" s="87">
        <f t="shared" si="152"/>
        <v>137318.3618</v>
      </c>
      <c r="K392" s="87">
        <f t="shared" si="152"/>
        <v>91545.5745</v>
      </c>
      <c r="L392" s="87">
        <f t="shared" si="152"/>
        <v>137318.3618</v>
      </c>
      <c r="M392" s="38"/>
      <c r="N392" s="24"/>
      <c r="O392" s="25"/>
      <c r="P392" s="41"/>
      <c r="Q392" s="46"/>
      <c r="R392" s="46"/>
      <c r="S392" s="21">
        <f t="shared" si="141"/>
        <v>0</v>
      </c>
      <c r="T392" s="13"/>
      <c r="U392" s="13"/>
      <c r="V392" s="13"/>
      <c r="W392" s="13"/>
      <c r="X392" s="14"/>
      <c r="Y392" s="38"/>
      <c r="Z392" s="24"/>
      <c r="AA392" s="25"/>
      <c r="AB392" s="41"/>
      <c r="AC392" s="46"/>
      <c r="AD392" s="46"/>
      <c r="AE392" s="21">
        <f t="shared" si="142"/>
        <v>0</v>
      </c>
      <c r="AF392" s="13"/>
      <c r="AG392" s="13"/>
      <c r="AH392" s="13"/>
      <c r="AI392" s="13"/>
      <c r="AJ392" s="14"/>
      <c r="AK392" s="38"/>
      <c r="AL392" s="24"/>
      <c r="AM392" s="25"/>
      <c r="AN392" s="41"/>
      <c r="AO392" s="46"/>
      <c r="AP392" s="46"/>
      <c r="AQ392" s="21">
        <f t="shared" si="143"/>
        <v>0</v>
      </c>
      <c r="AR392" s="13"/>
      <c r="AS392" s="13"/>
      <c r="AT392" s="13"/>
      <c r="AU392" s="13"/>
      <c r="AV392" s="14"/>
      <c r="AW392" s="38"/>
      <c r="AX392" s="24"/>
      <c r="AY392" s="25"/>
      <c r="AZ392" s="41"/>
      <c r="BA392" s="46"/>
      <c r="BB392" s="46"/>
      <c r="BC392" s="21">
        <f t="shared" si="144"/>
        <v>0</v>
      </c>
      <c r="BD392" s="13"/>
      <c r="BE392" s="13"/>
      <c r="BF392" s="13"/>
      <c r="BG392" s="13"/>
      <c r="BH392" s="14"/>
      <c r="BI392" s="38"/>
      <c r="BJ392" s="24"/>
      <c r="BK392" s="25"/>
      <c r="BL392" s="41"/>
      <c r="BM392" s="46"/>
      <c r="BN392" s="46"/>
      <c r="BO392" s="21">
        <f t="shared" si="145"/>
        <v>0</v>
      </c>
      <c r="BP392" s="13"/>
      <c r="BQ392" s="13"/>
      <c r="BR392" s="13"/>
      <c r="BS392" s="13"/>
      <c r="BT392" s="14"/>
      <c r="BU392" s="107"/>
      <c r="BV392" s="107"/>
      <c r="BW392" s="107"/>
      <c r="BX392" s="107"/>
      <c r="BY392" s="107"/>
      <c r="BZ392" s="107"/>
      <c r="CA392" s="111"/>
      <c r="CB392" s="107"/>
      <c r="CC392" s="107"/>
      <c r="CD392" s="107"/>
      <c r="CE392" s="107"/>
      <c r="CF392" s="107"/>
      <c r="CG392" s="107"/>
      <c r="CH392" s="107"/>
      <c r="CI392" s="107"/>
      <c r="CJ392" s="107"/>
    </row>
    <row r="393">
      <c r="A393" s="105"/>
      <c r="B393" s="47"/>
      <c r="C393" s="25"/>
      <c r="D393" s="33"/>
      <c r="E393" s="46"/>
      <c r="F393" s="46"/>
      <c r="G393" s="21">
        <f t="shared" si="140"/>
        <v>0</v>
      </c>
      <c r="H393" s="95">
        <f>H382+T382+AF382+AR382+BD382+BP382+CB382</f>
        <v>11445000</v>
      </c>
      <c r="I393" s="95"/>
      <c r="J393" s="95"/>
      <c r="K393" s="86" t="s">
        <v>66</v>
      </c>
      <c r="L393" s="95"/>
      <c r="M393" s="38"/>
      <c r="N393" s="47"/>
      <c r="O393" s="93"/>
      <c r="P393" s="41"/>
      <c r="Q393" s="46"/>
      <c r="R393" s="46"/>
      <c r="S393" s="21">
        <f t="shared" si="141"/>
        <v>0</v>
      </c>
      <c r="T393" s="13"/>
      <c r="U393" s="13"/>
      <c r="V393" s="13"/>
      <c r="W393" s="13"/>
      <c r="X393" s="14"/>
      <c r="Y393" s="38"/>
      <c r="Z393" s="47"/>
      <c r="AA393" s="25"/>
      <c r="AB393" s="41"/>
      <c r="AC393" s="46"/>
      <c r="AD393" s="46"/>
      <c r="AE393" s="21">
        <f t="shared" si="142"/>
        <v>0</v>
      </c>
      <c r="AF393" s="13"/>
      <c r="AG393" s="13"/>
      <c r="AH393" s="13"/>
      <c r="AI393" s="13"/>
      <c r="AJ393" s="14"/>
      <c r="AK393" s="38"/>
      <c r="AL393" s="47"/>
      <c r="AM393" s="25"/>
      <c r="AN393" s="41"/>
      <c r="AO393" s="46"/>
      <c r="AP393" s="46"/>
      <c r="AQ393" s="21">
        <f t="shared" si="143"/>
        <v>0</v>
      </c>
      <c r="AR393" s="13"/>
      <c r="AS393" s="13"/>
      <c r="AT393" s="13"/>
      <c r="AU393" s="13"/>
      <c r="AV393" s="14"/>
      <c r="AW393" s="38"/>
      <c r="AX393" s="47"/>
      <c r="AY393" s="25"/>
      <c r="AZ393" s="41"/>
      <c r="BA393" s="46"/>
      <c r="BB393" s="46"/>
      <c r="BC393" s="21">
        <f t="shared" si="144"/>
        <v>0</v>
      </c>
      <c r="BD393" s="13"/>
      <c r="BE393" s="13"/>
      <c r="BF393" s="13"/>
      <c r="BG393" s="13"/>
      <c r="BH393" s="14"/>
      <c r="BI393" s="38"/>
      <c r="BJ393" s="47"/>
      <c r="BK393" s="25"/>
      <c r="BL393" s="41"/>
      <c r="BM393" s="46"/>
      <c r="BN393" s="46"/>
      <c r="BO393" s="21">
        <f t="shared" si="145"/>
        <v>0</v>
      </c>
      <c r="BP393" s="13"/>
      <c r="BQ393" s="13"/>
      <c r="BR393" s="13"/>
      <c r="BS393" s="13"/>
      <c r="BT393" s="14"/>
      <c r="BU393" s="107"/>
      <c r="BV393" s="107"/>
      <c r="BW393" s="107"/>
      <c r="BX393" s="107"/>
      <c r="BY393" s="107"/>
      <c r="BZ393" s="107"/>
      <c r="CA393" s="111"/>
      <c r="CB393" s="107"/>
      <c r="CC393" s="107"/>
      <c r="CD393" s="107"/>
      <c r="CE393" s="107"/>
      <c r="CF393" s="107"/>
      <c r="CG393" s="107"/>
      <c r="CH393" s="107"/>
      <c r="CI393" s="107"/>
      <c r="CJ393" s="107"/>
    </row>
    <row r="394">
      <c r="A394" s="105"/>
      <c r="B394" s="32"/>
      <c r="C394" s="25"/>
      <c r="D394" s="41"/>
      <c r="E394" s="46"/>
      <c r="F394" s="46"/>
      <c r="G394" s="21">
        <f t="shared" si="140"/>
        <v>0</v>
      </c>
      <c r="H394" s="95"/>
      <c r="I394" s="95"/>
      <c r="J394" s="95"/>
      <c r="K394" s="95">
        <f>J384+K392</f>
        <v>197820.423</v>
      </c>
      <c r="L394" s="95"/>
      <c r="M394" s="38"/>
      <c r="N394" s="32"/>
      <c r="O394" s="25"/>
      <c r="P394" s="41"/>
      <c r="Q394" s="46"/>
      <c r="R394" s="46"/>
      <c r="S394" s="21">
        <f t="shared" si="141"/>
        <v>0</v>
      </c>
      <c r="T394" s="13"/>
      <c r="U394" s="13"/>
      <c r="V394" s="13"/>
      <c r="W394" s="13"/>
      <c r="X394" s="14"/>
      <c r="Y394" s="38"/>
      <c r="Z394" s="32"/>
      <c r="AA394" s="25"/>
      <c r="AB394" s="41"/>
      <c r="AC394" s="46"/>
      <c r="AD394" s="46"/>
      <c r="AE394" s="21">
        <f t="shared" si="142"/>
        <v>0</v>
      </c>
      <c r="AF394" s="13"/>
      <c r="AG394" s="13"/>
      <c r="AH394" s="13"/>
      <c r="AI394" s="13"/>
      <c r="AJ394" s="14"/>
      <c r="AK394" s="38"/>
      <c r="AL394" s="32"/>
      <c r="AM394" s="25"/>
      <c r="AN394" s="41"/>
      <c r="AO394" s="46"/>
      <c r="AP394" s="46"/>
      <c r="AQ394" s="21">
        <f t="shared" si="143"/>
        <v>0</v>
      </c>
      <c r="AR394" s="13"/>
      <c r="AS394" s="13"/>
      <c r="AT394" s="13"/>
      <c r="AU394" s="13"/>
      <c r="AV394" s="14"/>
      <c r="AW394" s="38"/>
      <c r="AX394" s="32"/>
      <c r="AY394" s="25"/>
      <c r="AZ394" s="41"/>
      <c r="BA394" s="46"/>
      <c r="BB394" s="46"/>
      <c r="BC394" s="21">
        <f t="shared" si="144"/>
        <v>0</v>
      </c>
      <c r="BD394" s="13"/>
      <c r="BE394" s="13"/>
      <c r="BF394" s="13"/>
      <c r="BG394" s="13"/>
      <c r="BH394" s="14"/>
      <c r="BI394" s="38"/>
      <c r="BJ394" s="32"/>
      <c r="BK394" s="25"/>
      <c r="BL394" s="41"/>
      <c r="BM394" s="46"/>
      <c r="BN394" s="46"/>
      <c r="BO394" s="21">
        <f t="shared" si="145"/>
        <v>0</v>
      </c>
      <c r="BP394" s="13"/>
      <c r="BQ394" s="13"/>
      <c r="BR394" s="13"/>
      <c r="BS394" s="13"/>
      <c r="BT394" s="14"/>
      <c r="BU394" s="107"/>
      <c r="BV394" s="107"/>
      <c r="BW394" s="107"/>
      <c r="BX394" s="107"/>
      <c r="BY394" s="107"/>
      <c r="BZ394" s="107"/>
      <c r="CA394" s="111"/>
      <c r="CB394" s="107"/>
      <c r="CC394" s="107"/>
      <c r="CD394" s="107"/>
      <c r="CE394" s="107"/>
      <c r="CF394" s="107"/>
      <c r="CG394" s="107"/>
      <c r="CH394" s="107"/>
      <c r="CI394" s="107"/>
      <c r="CJ394" s="107"/>
    </row>
    <row r="395">
      <c r="A395" s="105"/>
      <c r="B395" s="47"/>
      <c r="C395" s="25"/>
      <c r="D395" s="41"/>
      <c r="E395" s="46"/>
      <c r="F395" s="46"/>
      <c r="G395" s="21">
        <f t="shared" si="140"/>
        <v>0</v>
      </c>
      <c r="H395" s="13"/>
      <c r="I395" s="13"/>
      <c r="J395" s="13"/>
      <c r="K395" s="13"/>
      <c r="L395" s="14"/>
      <c r="M395" s="38"/>
      <c r="N395" s="47"/>
      <c r="O395" s="25"/>
      <c r="P395" s="41"/>
      <c r="Q395" s="46"/>
      <c r="R395" s="46"/>
      <c r="S395" s="21">
        <f t="shared" si="141"/>
        <v>0</v>
      </c>
      <c r="T395" s="13"/>
      <c r="U395" s="116"/>
      <c r="V395" s="117" t="s">
        <v>78</v>
      </c>
      <c r="W395" s="116"/>
      <c r="X395" s="14"/>
      <c r="Y395" s="38"/>
      <c r="Z395" s="47"/>
      <c r="AA395" s="25"/>
      <c r="AB395" s="41"/>
      <c r="AC395" s="46"/>
      <c r="AD395" s="46"/>
      <c r="AE395" s="21">
        <f t="shared" si="142"/>
        <v>0</v>
      </c>
      <c r="AF395" s="13"/>
      <c r="AG395" s="116"/>
      <c r="AH395" s="117" t="s">
        <v>59</v>
      </c>
      <c r="AI395" s="116"/>
      <c r="AJ395" s="14"/>
      <c r="AK395" s="38"/>
      <c r="AL395" s="47"/>
      <c r="AM395" s="25"/>
      <c r="AN395" s="41"/>
      <c r="AO395" s="46"/>
      <c r="AP395" s="46"/>
      <c r="AQ395" s="21">
        <f t="shared" si="143"/>
        <v>0</v>
      </c>
      <c r="AR395" s="13"/>
      <c r="AS395" s="116"/>
      <c r="AT395" s="117" t="s">
        <v>60</v>
      </c>
      <c r="AU395" s="116"/>
      <c r="AV395" s="14"/>
      <c r="AW395" s="38"/>
      <c r="AX395" s="47"/>
      <c r="AY395" s="25"/>
      <c r="AZ395" s="41"/>
      <c r="BA395" s="46"/>
      <c r="BB395" s="46"/>
      <c r="BC395" s="21">
        <f t="shared" si="144"/>
        <v>0</v>
      </c>
      <c r="BD395" s="13"/>
      <c r="BE395" s="116"/>
      <c r="BF395" s="117"/>
      <c r="BG395" s="116"/>
      <c r="BH395" s="14"/>
      <c r="BI395" s="38"/>
      <c r="BJ395" s="47"/>
      <c r="BK395" s="25"/>
      <c r="BL395" s="41"/>
      <c r="BM395" s="46"/>
      <c r="BN395" s="46"/>
      <c r="BO395" s="21">
        <f t="shared" si="145"/>
        <v>0</v>
      </c>
      <c r="BP395" s="13"/>
      <c r="BQ395" s="116"/>
      <c r="BR395" s="117" t="s">
        <v>59</v>
      </c>
      <c r="BS395" s="116"/>
      <c r="BT395" s="14"/>
      <c r="BU395" s="107"/>
      <c r="BV395" s="107"/>
      <c r="BW395" s="107"/>
      <c r="BX395" s="107"/>
      <c r="BY395" s="107"/>
      <c r="BZ395" s="107"/>
      <c r="CA395" s="111"/>
      <c r="CB395" s="107"/>
      <c r="CC395" s="107"/>
      <c r="CD395" s="107"/>
      <c r="CE395" s="107"/>
      <c r="CF395" s="107"/>
      <c r="CG395" s="107"/>
      <c r="CH395" s="107"/>
      <c r="CI395" s="107"/>
      <c r="CJ395" s="107"/>
    </row>
    <row r="396">
      <c r="A396" s="38"/>
      <c r="B396" s="47"/>
      <c r="C396" s="25"/>
      <c r="D396" s="41"/>
      <c r="E396" s="46"/>
      <c r="F396" s="46"/>
      <c r="G396" s="21">
        <f t="shared" si="140"/>
        <v>0</v>
      </c>
      <c r="H396" s="116"/>
      <c r="I396" s="117" t="s">
        <v>61</v>
      </c>
      <c r="J396" s="116"/>
      <c r="K396" s="13"/>
      <c r="L396" s="14"/>
      <c r="M396" s="38"/>
      <c r="N396" s="47"/>
      <c r="O396" s="25"/>
      <c r="P396" s="41"/>
      <c r="Q396" s="46"/>
      <c r="R396" s="46"/>
      <c r="S396" s="21">
        <f t="shared" si="141"/>
        <v>0</v>
      </c>
      <c r="T396" s="13"/>
      <c r="U396" s="118">
        <v>0.01</v>
      </c>
      <c r="V396" s="118">
        <v>0.01</v>
      </c>
      <c r="W396" s="117" t="s">
        <v>80</v>
      </c>
      <c r="X396" s="14"/>
      <c r="Y396" s="38"/>
      <c r="Z396" s="47"/>
      <c r="AA396" s="25"/>
      <c r="AB396" s="41"/>
      <c r="AC396" s="46"/>
      <c r="AD396" s="46"/>
      <c r="AE396" s="21">
        <f t="shared" si="142"/>
        <v>0</v>
      </c>
      <c r="AF396" s="13"/>
      <c r="AG396" s="118">
        <v>0.02</v>
      </c>
      <c r="AH396" s="118">
        <v>0.04</v>
      </c>
      <c r="AI396" s="118">
        <v>0.06</v>
      </c>
      <c r="AJ396" s="14"/>
      <c r="AK396" s="38"/>
      <c r="AL396" s="47"/>
      <c r="AM396" s="25"/>
      <c r="AN396" s="41"/>
      <c r="AO396" s="46"/>
      <c r="AP396" s="46"/>
      <c r="AQ396" s="21">
        <f t="shared" si="143"/>
        <v>0</v>
      </c>
      <c r="AR396" s="13"/>
      <c r="AS396" s="118">
        <v>0.03</v>
      </c>
      <c r="AT396" s="118">
        <v>0.05</v>
      </c>
      <c r="AU396" s="118">
        <v>0.07</v>
      </c>
      <c r="AV396" s="14"/>
      <c r="AW396" s="38"/>
      <c r="AX396" s="47"/>
      <c r="AY396" s="25"/>
      <c r="AZ396" s="41"/>
      <c r="BA396" s="46"/>
      <c r="BB396" s="46"/>
      <c r="BC396" s="21">
        <f t="shared" si="144"/>
        <v>0</v>
      </c>
      <c r="BD396" s="13"/>
      <c r="BE396" s="118"/>
      <c r="BF396" s="118"/>
      <c r="BG396" s="117"/>
      <c r="BH396" s="14"/>
      <c r="BI396" s="38"/>
      <c r="BJ396" s="47"/>
      <c r="BK396" s="25"/>
      <c r="BL396" s="41"/>
      <c r="BM396" s="46"/>
      <c r="BN396" s="46"/>
      <c r="BO396" s="21">
        <f t="shared" si="145"/>
        <v>0</v>
      </c>
      <c r="BP396" s="13"/>
      <c r="BQ396" s="118">
        <v>0.03</v>
      </c>
      <c r="BR396" s="118">
        <v>0.05</v>
      </c>
      <c r="BS396" s="118">
        <v>0.07</v>
      </c>
      <c r="BT396" s="14"/>
      <c r="BU396" s="107"/>
      <c r="BV396" s="107"/>
      <c r="BW396" s="107"/>
      <c r="BX396" s="107"/>
      <c r="BY396" s="107"/>
      <c r="BZ396" s="107"/>
      <c r="CA396" s="111"/>
      <c r="CB396" s="107"/>
      <c r="CC396" s="107"/>
      <c r="CD396" s="107"/>
      <c r="CE396" s="107"/>
      <c r="CF396" s="107"/>
      <c r="CG396" s="107"/>
      <c r="CH396" s="107"/>
      <c r="CI396" s="107"/>
      <c r="CJ396" s="107"/>
    </row>
    <row r="397">
      <c r="A397" s="38"/>
      <c r="B397" s="47"/>
      <c r="C397" s="25"/>
      <c r="D397" s="41"/>
      <c r="E397" s="46"/>
      <c r="F397" s="46"/>
      <c r="G397" s="21">
        <f t="shared" si="140"/>
        <v>0</v>
      </c>
      <c r="H397" s="118">
        <v>0.03</v>
      </c>
      <c r="I397" s="118">
        <v>0.05</v>
      </c>
      <c r="J397" s="118">
        <v>0.07</v>
      </c>
      <c r="K397" s="13"/>
      <c r="L397" s="14"/>
      <c r="M397" s="38"/>
      <c r="N397" s="47"/>
      <c r="O397" s="25"/>
      <c r="P397" s="41"/>
      <c r="Q397" s="46"/>
      <c r="R397" s="46"/>
      <c r="S397" s="21">
        <f t="shared" si="141"/>
        <v>0</v>
      </c>
      <c r="T397" s="13"/>
      <c r="U397" s="117">
        <v>5.0</v>
      </c>
      <c r="V397" s="117">
        <v>7.0</v>
      </c>
      <c r="W397" s="117">
        <v>10.0</v>
      </c>
      <c r="X397" s="14"/>
      <c r="Y397" s="38"/>
      <c r="Z397" s="47"/>
      <c r="AA397" s="25"/>
      <c r="AB397" s="41"/>
      <c r="AC397" s="46"/>
      <c r="AD397" s="46"/>
      <c r="AE397" s="21">
        <f t="shared" si="142"/>
        <v>0</v>
      </c>
      <c r="AF397" s="13"/>
      <c r="AG397" s="117">
        <v>5.0</v>
      </c>
      <c r="AH397" s="117">
        <v>7.0</v>
      </c>
      <c r="AI397" s="117">
        <v>10.0</v>
      </c>
      <c r="AJ397" s="14"/>
      <c r="AK397" s="38"/>
      <c r="AL397" s="47"/>
      <c r="AM397" s="25"/>
      <c r="AN397" s="41"/>
      <c r="AO397" s="46"/>
      <c r="AP397" s="46"/>
      <c r="AQ397" s="21">
        <f t="shared" si="143"/>
        <v>0</v>
      </c>
      <c r="AR397" s="13"/>
      <c r="AS397" s="117">
        <v>5.0</v>
      </c>
      <c r="AT397" s="117">
        <v>7.0</v>
      </c>
      <c r="AU397" s="117">
        <v>10.0</v>
      </c>
      <c r="AV397" s="14"/>
      <c r="AW397" s="38"/>
      <c r="AX397" s="47"/>
      <c r="AY397" s="25"/>
      <c r="AZ397" s="41"/>
      <c r="BA397" s="46"/>
      <c r="BB397" s="46"/>
      <c r="BC397" s="21">
        <f t="shared" si="144"/>
        <v>0</v>
      </c>
      <c r="BD397" s="13"/>
      <c r="BE397" s="117"/>
      <c r="BF397" s="117"/>
      <c r="BG397" s="117"/>
      <c r="BH397" s="14"/>
      <c r="BI397" s="38"/>
      <c r="BJ397" s="47"/>
      <c r="BK397" s="25"/>
      <c r="BL397" s="41"/>
      <c r="BM397" s="46"/>
      <c r="BN397" s="46"/>
      <c r="BO397" s="21">
        <f t="shared" si="145"/>
        <v>0</v>
      </c>
      <c r="BP397" s="13"/>
      <c r="BQ397" s="117">
        <v>5.0</v>
      </c>
      <c r="BR397" s="117">
        <v>7.0</v>
      </c>
      <c r="BS397" s="117">
        <v>10.0</v>
      </c>
      <c r="BT397" s="14"/>
      <c r="BU397" s="107"/>
      <c r="BV397" s="107"/>
      <c r="BW397" s="107"/>
      <c r="BX397" s="107"/>
      <c r="BY397" s="107"/>
      <c r="BZ397" s="107"/>
      <c r="CA397" s="111"/>
      <c r="CB397" s="107"/>
      <c r="CC397" s="107"/>
      <c r="CD397" s="107"/>
      <c r="CE397" s="107"/>
      <c r="CF397" s="107"/>
      <c r="CG397" s="107"/>
      <c r="CH397" s="107"/>
      <c r="CI397" s="107"/>
      <c r="CJ397" s="107"/>
    </row>
    <row r="398">
      <c r="A398" s="38"/>
      <c r="B398" s="32"/>
      <c r="C398" s="25"/>
      <c r="D398" s="41"/>
      <c r="E398" s="49"/>
      <c r="F398" s="49"/>
      <c r="G398" s="21">
        <f t="shared" si="140"/>
        <v>0</v>
      </c>
      <c r="H398" s="117">
        <v>5.0</v>
      </c>
      <c r="I398" s="117">
        <v>7.0</v>
      </c>
      <c r="J398" s="117">
        <v>10.0</v>
      </c>
      <c r="K398" s="13"/>
      <c r="L398" s="14"/>
      <c r="M398" s="38"/>
      <c r="N398" s="32"/>
      <c r="O398" s="25"/>
      <c r="P398" s="41"/>
      <c r="Q398" s="49"/>
      <c r="R398" s="49"/>
      <c r="S398" s="21">
        <f t="shared" si="141"/>
        <v>0</v>
      </c>
      <c r="T398" s="13"/>
      <c r="U398" s="13"/>
      <c r="V398" s="13"/>
      <c r="W398" s="13"/>
      <c r="X398" s="14"/>
      <c r="Y398" s="38"/>
      <c r="Z398" s="32"/>
      <c r="AA398" s="25"/>
      <c r="AB398" s="41"/>
      <c r="AC398" s="49"/>
      <c r="AD398" s="49"/>
      <c r="AE398" s="21">
        <f t="shared" si="142"/>
        <v>0</v>
      </c>
      <c r="AF398" s="13"/>
      <c r="AG398" s="13"/>
      <c r="AH398" s="13"/>
      <c r="AI398" s="13"/>
      <c r="AJ398" s="14"/>
      <c r="AK398" s="38"/>
      <c r="AL398" s="32"/>
      <c r="AM398" s="25"/>
      <c r="AN398" s="41"/>
      <c r="AO398" s="49"/>
      <c r="AP398" s="49"/>
      <c r="AQ398" s="21">
        <f t="shared" si="143"/>
        <v>0</v>
      </c>
      <c r="AR398" s="13"/>
      <c r="AS398" s="13"/>
      <c r="AT398" s="13"/>
      <c r="AU398" s="13"/>
      <c r="AV398" s="14"/>
      <c r="AW398" s="38"/>
      <c r="AX398" s="32"/>
      <c r="AY398" s="25"/>
      <c r="AZ398" s="41"/>
      <c r="BA398" s="49"/>
      <c r="BB398" s="49"/>
      <c r="BC398" s="21">
        <f t="shared" si="144"/>
        <v>0</v>
      </c>
      <c r="BD398" s="13"/>
      <c r="BE398" s="13"/>
      <c r="BF398" s="13"/>
      <c r="BG398" s="13"/>
      <c r="BH398" s="14"/>
      <c r="BI398" s="38"/>
      <c r="BJ398" s="32"/>
      <c r="BK398" s="25"/>
      <c r="BL398" s="41"/>
      <c r="BM398" s="49"/>
      <c r="BN398" s="49"/>
      <c r="BO398" s="21">
        <f t="shared" si="145"/>
        <v>0</v>
      </c>
      <c r="BP398" s="13"/>
      <c r="BQ398" s="13"/>
      <c r="BR398" s="13"/>
      <c r="BS398" s="13"/>
      <c r="BT398" s="14"/>
      <c r="BU398" s="107"/>
      <c r="BV398" s="107"/>
      <c r="BW398" s="107"/>
      <c r="BX398" s="107"/>
      <c r="BY398" s="107"/>
      <c r="BZ398" s="107"/>
      <c r="CA398" s="111"/>
      <c r="CB398" s="107"/>
      <c r="CC398" s="107"/>
      <c r="CD398" s="107"/>
      <c r="CE398" s="107"/>
      <c r="CF398" s="107"/>
      <c r="CG398" s="107"/>
      <c r="CH398" s="107"/>
      <c r="CI398" s="107"/>
      <c r="CJ398" s="107"/>
    </row>
    <row r="399">
      <c r="A399" s="38"/>
      <c r="B399" s="32"/>
      <c r="C399" s="25"/>
      <c r="D399" s="41"/>
      <c r="E399" s="49"/>
      <c r="F399" s="49"/>
      <c r="G399" s="21">
        <f t="shared" si="140"/>
        <v>0</v>
      </c>
      <c r="H399" s="13"/>
      <c r="I399" s="13"/>
      <c r="J399" s="13"/>
      <c r="K399" s="13"/>
      <c r="L399" s="14"/>
      <c r="M399" s="38"/>
      <c r="N399" s="32"/>
      <c r="O399" s="25"/>
      <c r="P399" s="41"/>
      <c r="Q399" s="49"/>
      <c r="R399" s="49"/>
      <c r="S399" s="21">
        <f t="shared" si="141"/>
        <v>0</v>
      </c>
      <c r="T399" s="13"/>
      <c r="U399" s="13"/>
      <c r="V399" s="13"/>
      <c r="W399" s="13"/>
      <c r="X399" s="14"/>
      <c r="Y399" s="38"/>
      <c r="Z399" s="32"/>
      <c r="AA399" s="25"/>
      <c r="AB399" s="41"/>
      <c r="AC399" s="49"/>
      <c r="AD399" s="49"/>
      <c r="AE399" s="21">
        <f t="shared" si="142"/>
        <v>0</v>
      </c>
      <c r="AF399" s="13"/>
      <c r="AG399" s="13"/>
      <c r="AH399" s="13"/>
      <c r="AI399" s="13"/>
      <c r="AJ399" s="14"/>
      <c r="AK399" s="38"/>
      <c r="AL399" s="32"/>
      <c r="AM399" s="25"/>
      <c r="AN399" s="41"/>
      <c r="AO399" s="49"/>
      <c r="AP399" s="49"/>
      <c r="AQ399" s="21">
        <f t="shared" si="143"/>
        <v>0</v>
      </c>
      <c r="AR399" s="13"/>
      <c r="AS399" s="13"/>
      <c r="AT399" s="13"/>
      <c r="AU399" s="13"/>
      <c r="AV399" s="14"/>
      <c r="AW399" s="38"/>
      <c r="AX399" s="32"/>
      <c r="AY399" s="25"/>
      <c r="AZ399" s="41"/>
      <c r="BA399" s="49"/>
      <c r="BB399" s="49"/>
      <c r="BC399" s="21">
        <f t="shared" si="144"/>
        <v>0</v>
      </c>
      <c r="BD399" s="13"/>
      <c r="BE399" s="13"/>
      <c r="BF399" s="13"/>
      <c r="BG399" s="13"/>
      <c r="BH399" s="14"/>
      <c r="BI399" s="38"/>
      <c r="BJ399" s="32"/>
      <c r="BK399" s="25"/>
      <c r="BL399" s="41"/>
      <c r="BM399" s="49"/>
      <c r="BN399" s="49"/>
      <c r="BO399" s="21">
        <f t="shared" si="145"/>
        <v>0</v>
      </c>
      <c r="BP399" s="13"/>
      <c r="BQ399" s="13"/>
      <c r="BR399" s="13"/>
      <c r="BS399" s="13"/>
      <c r="BT399" s="14"/>
      <c r="BU399" s="107"/>
      <c r="BV399" s="107"/>
      <c r="BW399" s="107"/>
      <c r="BX399" s="107"/>
      <c r="BY399" s="107"/>
      <c r="BZ399" s="107"/>
      <c r="CA399" s="111"/>
      <c r="CB399" s="107"/>
      <c r="CC399" s="107"/>
      <c r="CD399" s="107"/>
      <c r="CE399" s="107"/>
      <c r="CF399" s="107"/>
      <c r="CG399" s="107"/>
      <c r="CH399" s="107"/>
      <c r="CI399" s="107"/>
      <c r="CJ399" s="107"/>
    </row>
    <row r="400">
      <c r="A400" s="38"/>
      <c r="B400" s="32"/>
      <c r="C400" s="25"/>
      <c r="D400" s="41"/>
      <c r="E400" s="49"/>
      <c r="F400" s="49"/>
      <c r="G400" s="21">
        <f t="shared" si="140"/>
        <v>0</v>
      </c>
      <c r="H400" s="13"/>
      <c r="I400" s="13"/>
      <c r="J400" s="67"/>
      <c r="K400" s="13"/>
      <c r="L400" s="14"/>
      <c r="M400" s="38"/>
      <c r="N400" s="32"/>
      <c r="O400" s="25"/>
      <c r="P400" s="41"/>
      <c r="Q400" s="49"/>
      <c r="R400" s="49"/>
      <c r="S400" s="21">
        <f t="shared" si="141"/>
        <v>0</v>
      </c>
      <c r="T400" s="13"/>
      <c r="U400" s="13"/>
      <c r="V400" s="13"/>
      <c r="W400" s="13"/>
      <c r="X400" s="14"/>
      <c r="Y400" s="38"/>
      <c r="Z400" s="32"/>
      <c r="AA400" s="25"/>
      <c r="AB400" s="41"/>
      <c r="AC400" s="49"/>
      <c r="AD400" s="49"/>
      <c r="AE400" s="21">
        <f t="shared" si="142"/>
        <v>0</v>
      </c>
      <c r="AF400" s="13"/>
      <c r="AG400" s="13"/>
      <c r="AH400" s="13"/>
      <c r="AI400" s="13"/>
      <c r="AJ400" s="14"/>
      <c r="AK400" s="38"/>
      <c r="AL400" s="32"/>
      <c r="AM400" s="25"/>
      <c r="AN400" s="41"/>
      <c r="AO400" s="49"/>
      <c r="AP400" s="49"/>
      <c r="AQ400" s="21">
        <f t="shared" si="143"/>
        <v>0</v>
      </c>
      <c r="AR400" s="13"/>
      <c r="AS400" s="13"/>
      <c r="AT400" s="13"/>
      <c r="AU400" s="13"/>
      <c r="AV400" s="14"/>
      <c r="AW400" s="38"/>
      <c r="AX400" s="32"/>
      <c r="AY400" s="25"/>
      <c r="AZ400" s="41"/>
      <c r="BA400" s="49"/>
      <c r="BB400" s="49"/>
      <c r="BC400" s="21">
        <f t="shared" si="144"/>
        <v>0</v>
      </c>
      <c r="BD400" s="13"/>
      <c r="BE400" s="13"/>
      <c r="BF400" s="13"/>
      <c r="BG400" s="13"/>
      <c r="BH400" s="14"/>
      <c r="BI400" s="38"/>
      <c r="BJ400" s="32"/>
      <c r="BK400" s="25"/>
      <c r="BL400" s="41"/>
      <c r="BM400" s="49"/>
      <c r="BN400" s="49"/>
      <c r="BO400" s="21">
        <f t="shared" si="145"/>
        <v>0</v>
      </c>
      <c r="BP400" s="13"/>
      <c r="BQ400" s="13"/>
      <c r="BR400" s="13"/>
      <c r="BS400" s="13"/>
      <c r="BT400" s="14"/>
      <c r="BU400" s="107"/>
      <c r="BV400" s="107"/>
      <c r="BW400" s="107"/>
      <c r="BX400" s="107"/>
      <c r="BY400" s="107"/>
      <c r="BZ400" s="107"/>
      <c r="CA400" s="111"/>
      <c r="CB400" s="107"/>
      <c r="CC400" s="107"/>
      <c r="CD400" s="107"/>
      <c r="CE400" s="107"/>
      <c r="CF400" s="107"/>
      <c r="CG400" s="107"/>
      <c r="CH400" s="107"/>
      <c r="CI400" s="107"/>
      <c r="CJ400" s="107"/>
    </row>
    <row r="401">
      <c r="A401" s="38"/>
      <c r="B401" s="32"/>
      <c r="C401" s="25"/>
      <c r="D401" s="41"/>
      <c r="E401" s="46"/>
      <c r="F401" s="46"/>
      <c r="G401" s="21">
        <f t="shared" si="140"/>
        <v>0</v>
      </c>
      <c r="H401" s="13"/>
      <c r="I401" s="67" t="s">
        <v>85</v>
      </c>
      <c r="J401" s="13"/>
      <c r="K401" s="13"/>
      <c r="L401" s="14"/>
      <c r="M401" s="38"/>
      <c r="N401" s="32"/>
      <c r="O401" s="25"/>
      <c r="P401" s="41"/>
      <c r="Q401" s="46"/>
      <c r="R401" s="46"/>
      <c r="S401" s="21">
        <f t="shared" si="141"/>
        <v>0</v>
      </c>
      <c r="T401" s="13"/>
      <c r="U401" s="13"/>
      <c r="V401" s="13"/>
      <c r="W401" s="13"/>
      <c r="X401" s="14"/>
      <c r="Y401" s="38"/>
      <c r="Z401" s="32"/>
      <c r="AA401" s="25"/>
      <c r="AB401" s="41"/>
      <c r="AC401" s="46"/>
      <c r="AD401" s="46"/>
      <c r="AE401" s="21">
        <f t="shared" si="142"/>
        <v>0</v>
      </c>
      <c r="AF401" s="13"/>
      <c r="AG401" s="13"/>
      <c r="AH401" s="13"/>
      <c r="AI401" s="13"/>
      <c r="AJ401" s="14"/>
      <c r="AK401" s="38"/>
      <c r="AL401" s="32"/>
      <c r="AM401" s="25"/>
      <c r="AN401" s="41"/>
      <c r="AO401" s="46"/>
      <c r="AP401" s="46"/>
      <c r="AQ401" s="21">
        <f t="shared" si="143"/>
        <v>0</v>
      </c>
      <c r="AR401" s="13"/>
      <c r="AS401" s="13"/>
      <c r="AT401" s="13"/>
      <c r="AU401" s="13"/>
      <c r="AV401" s="14"/>
      <c r="AW401" s="38"/>
      <c r="AX401" s="32"/>
      <c r="AY401" s="25"/>
      <c r="AZ401" s="41"/>
      <c r="BA401" s="46"/>
      <c r="BB401" s="46"/>
      <c r="BC401" s="21">
        <f t="shared" si="144"/>
        <v>0</v>
      </c>
      <c r="BD401" s="13"/>
      <c r="BE401" s="13"/>
      <c r="BF401" s="13"/>
      <c r="BG401" s="13"/>
      <c r="BH401" s="14"/>
      <c r="BI401" s="38"/>
      <c r="BJ401" s="32"/>
      <c r="BK401" s="25"/>
      <c r="BL401" s="41"/>
      <c r="BM401" s="46"/>
      <c r="BN401" s="46"/>
      <c r="BO401" s="21">
        <f t="shared" si="145"/>
        <v>0</v>
      </c>
      <c r="BP401" s="13"/>
      <c r="BQ401" s="13"/>
      <c r="BR401" s="13"/>
      <c r="BS401" s="13"/>
      <c r="BT401" s="14"/>
      <c r="BU401" s="107"/>
      <c r="BV401" s="107"/>
      <c r="BW401" s="107"/>
      <c r="BX401" s="107"/>
      <c r="BY401" s="107"/>
      <c r="BZ401" s="107"/>
      <c r="CA401" s="111"/>
      <c r="CB401" s="107"/>
      <c r="CC401" s="107"/>
      <c r="CD401" s="107"/>
      <c r="CE401" s="107"/>
      <c r="CF401" s="107"/>
      <c r="CG401" s="107"/>
      <c r="CH401" s="107"/>
      <c r="CI401" s="107"/>
      <c r="CJ401" s="107"/>
    </row>
    <row r="402">
      <c r="A402" s="38"/>
      <c r="B402" s="47"/>
      <c r="C402" s="25"/>
      <c r="D402" s="41"/>
      <c r="E402" s="49"/>
      <c r="F402" s="49"/>
      <c r="G402" s="21">
        <f t="shared" si="140"/>
        <v>0</v>
      </c>
      <c r="H402" s="13"/>
      <c r="I402" s="142">
        <v>40363.0</v>
      </c>
      <c r="J402" s="13"/>
      <c r="K402" s="13"/>
      <c r="L402" s="14"/>
      <c r="M402" s="38"/>
      <c r="N402" s="47"/>
      <c r="O402" s="25"/>
      <c r="P402" s="41"/>
      <c r="Q402" s="49"/>
      <c r="R402" s="49"/>
      <c r="S402" s="21">
        <f t="shared" si="141"/>
        <v>0</v>
      </c>
      <c r="T402" s="13"/>
      <c r="U402" s="67"/>
      <c r="V402" s="67"/>
      <c r="W402" s="13"/>
      <c r="X402" s="14"/>
      <c r="Y402" s="38"/>
      <c r="Z402" s="47"/>
      <c r="AA402" s="25"/>
      <c r="AB402" s="41"/>
      <c r="AC402" s="49"/>
      <c r="AD402" s="49"/>
      <c r="AE402" s="21">
        <f t="shared" si="142"/>
        <v>0</v>
      </c>
      <c r="AF402" s="13"/>
      <c r="AG402" s="13"/>
      <c r="AH402" s="13"/>
      <c r="AI402" s="13"/>
      <c r="AJ402" s="14"/>
      <c r="AK402" s="38"/>
      <c r="AL402" s="47"/>
      <c r="AM402" s="25"/>
      <c r="AN402" s="41"/>
      <c r="AO402" s="49"/>
      <c r="AP402" s="49"/>
      <c r="AQ402" s="21">
        <f t="shared" si="143"/>
        <v>0</v>
      </c>
      <c r="AR402" s="13"/>
      <c r="AS402" s="13"/>
      <c r="AT402" s="13"/>
      <c r="AU402" s="13"/>
      <c r="AV402" s="14"/>
      <c r="AW402" s="38"/>
      <c r="AX402" s="47"/>
      <c r="AY402" s="25"/>
      <c r="AZ402" s="41"/>
      <c r="BA402" s="49"/>
      <c r="BB402" s="49"/>
      <c r="BC402" s="21">
        <f t="shared" si="144"/>
        <v>0</v>
      </c>
      <c r="BD402" s="13"/>
      <c r="BE402" s="13"/>
      <c r="BF402" s="13"/>
      <c r="BG402" s="13"/>
      <c r="BH402" s="14"/>
      <c r="BI402" s="38"/>
      <c r="BJ402" s="47"/>
      <c r="BK402" s="25"/>
      <c r="BL402" s="41"/>
      <c r="BM402" s="49"/>
      <c r="BN402" s="49"/>
      <c r="BO402" s="21">
        <f t="shared" si="145"/>
        <v>0</v>
      </c>
      <c r="BP402" s="13"/>
      <c r="BQ402" s="13"/>
      <c r="BR402" s="13"/>
      <c r="BS402" s="13"/>
      <c r="BT402" s="14"/>
      <c r="BU402" s="107"/>
      <c r="BV402" s="107"/>
      <c r="BW402" s="107"/>
      <c r="BX402" s="107"/>
      <c r="BY402" s="107"/>
      <c r="BZ402" s="107"/>
      <c r="CA402" s="111"/>
      <c r="CB402" s="107"/>
      <c r="CC402" s="107"/>
      <c r="CD402" s="107"/>
      <c r="CE402" s="107"/>
      <c r="CF402" s="107"/>
      <c r="CG402" s="107"/>
      <c r="CH402" s="107"/>
      <c r="CI402" s="107"/>
      <c r="CJ402" s="107"/>
    </row>
    <row r="403">
      <c r="A403" s="38"/>
      <c r="B403" s="32"/>
      <c r="C403" s="25"/>
      <c r="D403" s="41"/>
      <c r="E403" s="49"/>
      <c r="F403" s="49"/>
      <c r="G403" s="21">
        <f t="shared" si="140"/>
        <v>0</v>
      </c>
      <c r="H403" s="13"/>
      <c r="I403" s="67"/>
      <c r="J403" s="13"/>
      <c r="K403" s="13"/>
      <c r="L403" s="14"/>
      <c r="M403" s="38"/>
      <c r="N403" s="32"/>
      <c r="O403" s="25"/>
      <c r="P403" s="41"/>
      <c r="Q403" s="49"/>
      <c r="R403" s="49"/>
      <c r="S403" s="21">
        <f t="shared" si="141"/>
        <v>0</v>
      </c>
      <c r="T403" s="13"/>
      <c r="U403" s="13"/>
      <c r="V403" s="13"/>
      <c r="W403" s="13"/>
      <c r="X403" s="14"/>
      <c r="Y403" s="38"/>
      <c r="Z403" s="32"/>
      <c r="AA403" s="25"/>
      <c r="AB403" s="41"/>
      <c r="AC403" s="49"/>
      <c r="AD403" s="49"/>
      <c r="AE403" s="21">
        <f t="shared" si="142"/>
        <v>0</v>
      </c>
      <c r="AF403" s="13"/>
      <c r="AG403" s="13"/>
      <c r="AH403" s="13"/>
      <c r="AI403" s="13"/>
      <c r="AJ403" s="14"/>
      <c r="AK403" s="38"/>
      <c r="AL403" s="32"/>
      <c r="AM403" s="25"/>
      <c r="AN403" s="41"/>
      <c r="AO403" s="49"/>
      <c r="AP403" s="49"/>
      <c r="AQ403" s="21">
        <f t="shared" si="143"/>
        <v>0</v>
      </c>
      <c r="AR403" s="13"/>
      <c r="AS403" s="13"/>
      <c r="AT403" s="13"/>
      <c r="AU403" s="13"/>
      <c r="AV403" s="14"/>
      <c r="AW403" s="38"/>
      <c r="AX403" s="32"/>
      <c r="AY403" s="25"/>
      <c r="AZ403" s="41"/>
      <c r="BA403" s="49"/>
      <c r="BB403" s="49"/>
      <c r="BC403" s="21">
        <f t="shared" si="144"/>
        <v>0</v>
      </c>
      <c r="BD403" s="13"/>
      <c r="BE403" s="13"/>
      <c r="BF403" s="13"/>
      <c r="BG403" s="13"/>
      <c r="BH403" s="14"/>
      <c r="BI403" s="38"/>
      <c r="BJ403" s="32"/>
      <c r="BK403" s="25"/>
      <c r="BL403" s="41"/>
      <c r="BM403" s="49"/>
      <c r="BN403" s="49"/>
      <c r="BO403" s="21">
        <f t="shared" si="145"/>
        <v>0</v>
      </c>
      <c r="BP403" s="13"/>
      <c r="BQ403" s="13"/>
      <c r="BR403" s="13"/>
      <c r="BS403" s="13"/>
      <c r="BT403" s="14"/>
      <c r="BU403" s="107"/>
      <c r="BV403" s="107"/>
      <c r="BW403" s="107"/>
      <c r="BX403" s="107"/>
      <c r="BY403" s="107"/>
      <c r="BZ403" s="107"/>
      <c r="CA403" s="111"/>
      <c r="CB403" s="107"/>
      <c r="CC403" s="107"/>
      <c r="CD403" s="107"/>
      <c r="CE403" s="107"/>
      <c r="CF403" s="107"/>
      <c r="CG403" s="107"/>
      <c r="CH403" s="107"/>
      <c r="CI403" s="107"/>
      <c r="CJ403" s="107"/>
    </row>
    <row r="404">
      <c r="A404" s="38"/>
      <c r="B404" s="32"/>
      <c r="C404" s="25"/>
      <c r="D404" s="41"/>
      <c r="E404" s="49"/>
      <c r="F404" s="49"/>
      <c r="G404" s="21">
        <f t="shared" si="140"/>
        <v>0</v>
      </c>
      <c r="H404" s="13"/>
      <c r="I404" s="67"/>
      <c r="J404" s="13"/>
      <c r="K404" s="13"/>
      <c r="L404" s="14"/>
      <c r="M404" s="38"/>
      <c r="N404" s="32"/>
      <c r="O404" s="25"/>
      <c r="P404" s="41"/>
      <c r="Q404" s="49"/>
      <c r="R404" s="49"/>
      <c r="S404" s="21">
        <f t="shared" si="141"/>
        <v>0</v>
      </c>
      <c r="T404" s="13"/>
      <c r="U404" s="13"/>
      <c r="V404" s="13"/>
      <c r="W404" s="13"/>
      <c r="X404" s="14"/>
      <c r="Y404" s="38"/>
      <c r="Z404" s="32"/>
      <c r="AA404" s="25"/>
      <c r="AB404" s="41"/>
      <c r="AC404" s="49"/>
      <c r="AD404" s="49"/>
      <c r="AE404" s="21">
        <f t="shared" si="142"/>
        <v>0</v>
      </c>
      <c r="AF404" s="13"/>
      <c r="AG404" s="13"/>
      <c r="AH404" s="13"/>
      <c r="AI404" s="13"/>
      <c r="AJ404" s="14"/>
      <c r="AK404" s="38"/>
      <c r="AL404" s="32"/>
      <c r="AM404" s="25"/>
      <c r="AN404" s="41"/>
      <c r="AO404" s="49"/>
      <c r="AP404" s="49"/>
      <c r="AQ404" s="21">
        <f t="shared" si="143"/>
        <v>0</v>
      </c>
      <c r="AR404" s="13"/>
      <c r="AS404" s="13"/>
      <c r="AT404" s="13"/>
      <c r="AU404" s="13"/>
      <c r="AV404" s="14"/>
      <c r="AW404" s="38"/>
      <c r="AX404" s="32"/>
      <c r="AY404" s="25"/>
      <c r="AZ404" s="41"/>
      <c r="BA404" s="49"/>
      <c r="BB404" s="49"/>
      <c r="BC404" s="21">
        <f t="shared" si="144"/>
        <v>0</v>
      </c>
      <c r="BD404" s="13"/>
      <c r="BE404" s="13"/>
      <c r="BF404" s="13"/>
      <c r="BG404" s="13"/>
      <c r="BH404" s="14"/>
      <c r="BI404" s="38"/>
      <c r="BJ404" s="32"/>
      <c r="BK404" s="25"/>
      <c r="BL404" s="41"/>
      <c r="BM404" s="49"/>
      <c r="BN404" s="49"/>
      <c r="BO404" s="21">
        <f t="shared" si="145"/>
        <v>0</v>
      </c>
      <c r="BP404" s="13"/>
      <c r="BQ404" s="13"/>
      <c r="BR404" s="13"/>
      <c r="BS404" s="13"/>
      <c r="BT404" s="14"/>
      <c r="BU404" s="107"/>
      <c r="BV404" s="107"/>
      <c r="BW404" s="107"/>
      <c r="BX404" s="107"/>
      <c r="BY404" s="107"/>
      <c r="BZ404" s="107"/>
      <c r="CA404" s="111"/>
      <c r="CB404" s="107"/>
      <c r="CC404" s="107"/>
      <c r="CD404" s="107"/>
      <c r="CE404" s="107"/>
      <c r="CF404" s="107"/>
      <c r="CG404" s="107"/>
      <c r="CH404" s="107"/>
      <c r="CI404" s="107"/>
      <c r="CJ404" s="107"/>
    </row>
    <row r="405">
      <c r="A405" s="50"/>
      <c r="B405" s="32"/>
      <c r="C405" s="25"/>
      <c r="D405" s="41"/>
      <c r="E405" s="49"/>
      <c r="F405" s="49"/>
      <c r="G405" s="88">
        <f t="shared" si="140"/>
        <v>0</v>
      </c>
      <c r="H405" s="89"/>
      <c r="I405" s="104"/>
      <c r="J405" s="89"/>
      <c r="K405" s="89"/>
      <c r="L405" s="90"/>
      <c r="M405" s="50"/>
      <c r="N405" s="32"/>
      <c r="O405" s="25"/>
      <c r="P405" s="41"/>
      <c r="Q405" s="49"/>
      <c r="R405" s="49"/>
      <c r="S405" s="21">
        <f t="shared" si="141"/>
        <v>0</v>
      </c>
      <c r="T405" s="89"/>
      <c r="U405" s="89"/>
      <c r="V405" s="89"/>
      <c r="W405" s="89"/>
      <c r="X405" s="90"/>
      <c r="Y405" s="50"/>
      <c r="Z405" s="32"/>
      <c r="AA405" s="25"/>
      <c r="AB405" s="41"/>
      <c r="AC405" s="49"/>
      <c r="AD405" s="49"/>
      <c r="AE405" s="21">
        <f t="shared" si="142"/>
        <v>0</v>
      </c>
      <c r="AF405" s="89"/>
      <c r="AG405" s="89"/>
      <c r="AH405" s="89"/>
      <c r="AI405" s="89"/>
      <c r="AJ405" s="90"/>
      <c r="AK405" s="50"/>
      <c r="AL405" s="32"/>
      <c r="AM405" s="25"/>
      <c r="AN405" s="41"/>
      <c r="AO405" s="49"/>
      <c r="AP405" s="49"/>
      <c r="AQ405" s="21">
        <f t="shared" si="143"/>
        <v>0</v>
      </c>
      <c r="AR405" s="89"/>
      <c r="AS405" s="89"/>
      <c r="AT405" s="89"/>
      <c r="AU405" s="89"/>
      <c r="AV405" s="90"/>
      <c r="AW405" s="50"/>
      <c r="AX405" s="32"/>
      <c r="AY405" s="25"/>
      <c r="AZ405" s="41"/>
      <c r="BA405" s="49"/>
      <c r="BB405" s="49"/>
      <c r="BC405" s="21">
        <f t="shared" si="144"/>
        <v>0</v>
      </c>
      <c r="BD405" s="89"/>
      <c r="BE405" s="89"/>
      <c r="BF405" s="89"/>
      <c r="BG405" s="89"/>
      <c r="BH405" s="90"/>
      <c r="BI405" s="50"/>
      <c r="BJ405" s="32"/>
      <c r="BK405" s="25"/>
      <c r="BL405" s="41"/>
      <c r="BM405" s="49"/>
      <c r="BN405" s="49"/>
      <c r="BO405" s="21">
        <f t="shared" si="145"/>
        <v>0</v>
      </c>
      <c r="BP405" s="89"/>
      <c r="BQ405" s="89"/>
      <c r="BR405" s="89"/>
      <c r="BS405" s="89"/>
      <c r="BT405" s="90"/>
      <c r="BU405" s="107"/>
      <c r="BV405" s="107"/>
      <c r="BW405" s="107"/>
      <c r="BX405" s="107"/>
      <c r="BY405" s="107"/>
      <c r="BZ405" s="107"/>
      <c r="CA405" s="111"/>
      <c r="CB405" s="107"/>
      <c r="CC405" s="107"/>
      <c r="CD405" s="107"/>
      <c r="CE405" s="107"/>
      <c r="CF405" s="107"/>
      <c r="CG405" s="107"/>
      <c r="CH405" s="107"/>
      <c r="CI405" s="107"/>
      <c r="CJ405" s="107"/>
    </row>
    <row r="406">
      <c r="A406" s="1" t="s">
        <v>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1" t="s">
        <v>2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3"/>
      <c r="Y406" s="1" t="s">
        <v>88</v>
      </c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3"/>
      <c r="AK406" s="1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3"/>
      <c r="AW406" s="1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3"/>
      <c r="BI406" s="1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3"/>
      <c r="BU406" s="4"/>
      <c r="CG406" s="107"/>
      <c r="CH406" s="107"/>
      <c r="CI406" s="107"/>
      <c r="CJ406" s="107"/>
    </row>
    <row r="407">
      <c r="A407" s="5" t="s">
        <v>89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5" t="s">
        <v>89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5" t="s">
        <v>89</v>
      </c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5" t="s">
        <v>89</v>
      </c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5" t="s">
        <v>89</v>
      </c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5" t="s">
        <v>89</v>
      </c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5" t="s">
        <v>89</v>
      </c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107"/>
      <c r="CH407" s="107"/>
      <c r="CI407" s="107"/>
      <c r="CJ407" s="107"/>
    </row>
    <row r="408">
      <c r="A408" s="7" t="s">
        <v>5</v>
      </c>
      <c r="B408" s="8" t="s">
        <v>6</v>
      </c>
      <c r="C408" s="9" t="s">
        <v>7</v>
      </c>
      <c r="D408" s="10" t="s">
        <v>8</v>
      </c>
      <c r="E408" s="11" t="s">
        <v>9</v>
      </c>
      <c r="F408" s="11" t="s">
        <v>10</v>
      </c>
      <c r="G408" s="12" t="s">
        <v>11</v>
      </c>
      <c r="H408" s="12" t="s">
        <v>12</v>
      </c>
      <c r="I408" s="12" t="s">
        <v>13</v>
      </c>
      <c r="J408" s="13" t="s">
        <v>14</v>
      </c>
      <c r="K408" s="67" t="s">
        <v>15</v>
      </c>
      <c r="L408" s="14" t="s">
        <v>16</v>
      </c>
      <c r="M408" s="7" t="s">
        <v>5</v>
      </c>
      <c r="N408" s="8" t="s">
        <v>6</v>
      </c>
      <c r="O408" s="9" t="s">
        <v>7</v>
      </c>
      <c r="P408" s="10" t="s">
        <v>8</v>
      </c>
      <c r="Q408" s="11" t="s">
        <v>9</v>
      </c>
      <c r="R408" s="11" t="s">
        <v>10</v>
      </c>
      <c r="S408" s="12" t="s">
        <v>11</v>
      </c>
      <c r="T408" s="12" t="s">
        <v>12</v>
      </c>
      <c r="U408" s="12" t="s">
        <v>13</v>
      </c>
      <c r="V408" s="13" t="s">
        <v>14</v>
      </c>
      <c r="W408" s="13" t="s">
        <v>15</v>
      </c>
      <c r="X408" s="14" t="s">
        <v>16</v>
      </c>
      <c r="Y408" s="7" t="s">
        <v>5</v>
      </c>
      <c r="Z408" s="8" t="s">
        <v>6</v>
      </c>
      <c r="AA408" s="9" t="s">
        <v>7</v>
      </c>
      <c r="AB408" s="10" t="s">
        <v>8</v>
      </c>
      <c r="AC408" s="11" t="s">
        <v>9</v>
      </c>
      <c r="AD408" s="11" t="s">
        <v>10</v>
      </c>
      <c r="AE408" s="12" t="s">
        <v>11</v>
      </c>
      <c r="AF408" s="12" t="s">
        <v>12</v>
      </c>
      <c r="AG408" s="12" t="s">
        <v>13</v>
      </c>
      <c r="AH408" s="13" t="s">
        <v>14</v>
      </c>
      <c r="AI408" s="13" t="s">
        <v>15</v>
      </c>
      <c r="AJ408" s="14" t="s">
        <v>16</v>
      </c>
      <c r="AK408" s="7" t="s">
        <v>5</v>
      </c>
      <c r="AL408" s="8" t="s">
        <v>84</v>
      </c>
      <c r="AM408" s="9" t="s">
        <v>7</v>
      </c>
      <c r="AN408" s="10" t="s">
        <v>8</v>
      </c>
      <c r="AO408" s="11" t="s">
        <v>9</v>
      </c>
      <c r="AP408" s="11" t="s">
        <v>10</v>
      </c>
      <c r="AQ408" s="12" t="s">
        <v>11</v>
      </c>
      <c r="AR408" s="12" t="s">
        <v>12</v>
      </c>
      <c r="AS408" s="12" t="s">
        <v>13</v>
      </c>
      <c r="AT408" s="13" t="s">
        <v>14</v>
      </c>
      <c r="AU408" s="13" t="s">
        <v>15</v>
      </c>
      <c r="AV408" s="14" t="s">
        <v>16</v>
      </c>
      <c r="AW408" s="7" t="s">
        <v>5</v>
      </c>
      <c r="AX408" s="8" t="s">
        <v>6</v>
      </c>
      <c r="AY408" s="9" t="s">
        <v>7</v>
      </c>
      <c r="AZ408" s="10" t="s">
        <v>8</v>
      </c>
      <c r="BA408" s="11" t="s">
        <v>9</v>
      </c>
      <c r="BB408" s="11" t="s">
        <v>10</v>
      </c>
      <c r="BC408" s="12" t="s">
        <v>11</v>
      </c>
      <c r="BD408" s="12" t="s">
        <v>12</v>
      </c>
      <c r="BE408" s="12" t="s">
        <v>13</v>
      </c>
      <c r="BF408" s="13" t="s">
        <v>14</v>
      </c>
      <c r="BG408" s="13" t="s">
        <v>15</v>
      </c>
      <c r="BH408" s="14" t="s">
        <v>16</v>
      </c>
      <c r="BI408" s="7" t="s">
        <v>5</v>
      </c>
      <c r="BJ408" s="8" t="s">
        <v>6</v>
      </c>
      <c r="BK408" s="9" t="s">
        <v>7</v>
      </c>
      <c r="BL408" s="10" t="s">
        <v>8</v>
      </c>
      <c r="BM408" s="11" t="s">
        <v>9</v>
      </c>
      <c r="BN408" s="11" t="s">
        <v>10</v>
      </c>
      <c r="BO408" s="12" t="s">
        <v>11</v>
      </c>
      <c r="BP408" s="12" t="s">
        <v>12</v>
      </c>
      <c r="BQ408" s="12" t="s">
        <v>13</v>
      </c>
      <c r="BR408" s="13" t="s">
        <v>14</v>
      </c>
      <c r="BS408" s="13" t="s">
        <v>15</v>
      </c>
      <c r="BT408" s="14" t="s">
        <v>16</v>
      </c>
      <c r="BU408" s="109"/>
      <c r="BV408" s="108"/>
      <c r="BW408" s="108"/>
      <c r="BX408" s="108"/>
      <c r="BY408" s="108"/>
      <c r="BZ408" s="108"/>
      <c r="CA408" s="109"/>
      <c r="CB408" s="109"/>
      <c r="CC408" s="109"/>
      <c r="CD408" s="107"/>
      <c r="CE408" s="107"/>
      <c r="CF408" s="107"/>
      <c r="CG408" s="107"/>
      <c r="CH408" s="107"/>
      <c r="CI408" s="107"/>
      <c r="CJ408" s="107"/>
    </row>
    <row r="409">
      <c r="A409" s="15" t="s">
        <v>90</v>
      </c>
      <c r="B409" s="16"/>
      <c r="C409" s="17"/>
      <c r="D409" s="18"/>
      <c r="E409" s="20">
        <v>600000.0</v>
      </c>
      <c r="F409" s="20"/>
      <c r="G409" s="21">
        <f t="shared" ref="G409:G432" si="153">SUM(B409)-(B409*15%)+(C409)-(C409*20.8%)+(D409)+(E409)-(E409*0.95%)+(F409)-(F409*15.5%)</f>
        <v>594300</v>
      </c>
      <c r="H409" s="22">
        <f>SUM(B409:F432)</f>
        <v>5425500</v>
      </c>
      <c r="I409" s="21">
        <f>SUM(G409:G432)</f>
        <v>5392957.75</v>
      </c>
      <c r="J409" s="21">
        <f>SUM(I409)-(I409*97%)</f>
        <v>161788.7325</v>
      </c>
      <c r="K409" s="21">
        <f>SUM(I409)-(I409*95%)</f>
        <v>269647.8875</v>
      </c>
      <c r="L409" s="23">
        <f>SUM(I409)-(I409*93%)</f>
        <v>377507.0425</v>
      </c>
      <c r="M409" s="15" t="s">
        <v>91</v>
      </c>
      <c r="N409" s="24"/>
      <c r="O409" s="25"/>
      <c r="P409" s="18">
        <v>630000.0</v>
      </c>
      <c r="Q409" s="20"/>
      <c r="R409" s="145"/>
      <c r="S409" s="21">
        <f t="shared" ref="S409:S432" si="154">SUM(N409)-(N409*15%)+(O409)-(O409*20.8%)+(P409)+(Q409)-(Q409*0.95%)+(R409)-(R409*15.5%)</f>
        <v>630000</v>
      </c>
      <c r="T409" s="22">
        <f>SUM(N409:R432)</f>
        <v>9650000</v>
      </c>
      <c r="U409" s="21">
        <f>SUM(S409:S432)</f>
        <v>8567860</v>
      </c>
      <c r="V409" s="21">
        <f>SUM(U409)-(U409*97%)</f>
        <v>257035.8</v>
      </c>
      <c r="W409" s="21">
        <f>SUM(U409)-(U409*95%)</f>
        <v>428393</v>
      </c>
      <c r="X409" s="23">
        <f>SUM(U409)-(U409*93%)</f>
        <v>599750.2</v>
      </c>
      <c r="Y409" s="60"/>
      <c r="Z409" s="24"/>
      <c r="AA409" s="25"/>
      <c r="AB409" s="18"/>
      <c r="AC409" s="20">
        <v>700000.0</v>
      </c>
      <c r="AD409" s="20"/>
      <c r="AE409" s="21">
        <f t="shared" ref="AE409:AE432" si="155">SUM(Z409)-(Z409*15%)+(AA409)-(AA409*20.8%)+(AB409)+(AC409)-(AC409*0.95%)+(AD409)-(AD409*15.5%)</f>
        <v>693350</v>
      </c>
      <c r="AF409" s="22">
        <f>SUM(Z409:AD432)</f>
        <v>700000</v>
      </c>
      <c r="AG409" s="21">
        <f>SUM(AE409:AE432)</f>
        <v>693350</v>
      </c>
      <c r="AH409" s="21">
        <f>SUM(AG409)-(AG409*97%)</f>
        <v>20800.5</v>
      </c>
      <c r="AI409" s="21">
        <f>SUM(AG409)-(AG409*95%)</f>
        <v>34667.5</v>
      </c>
      <c r="AJ409" s="23">
        <f>SUM(AG409)-(AG409*93%)</f>
        <v>48534.5</v>
      </c>
      <c r="AK409" s="15">
        <v>11.0</v>
      </c>
      <c r="AL409" s="24"/>
      <c r="AM409" s="25"/>
      <c r="AN409" s="18"/>
      <c r="AO409" s="20"/>
      <c r="AP409" s="20"/>
      <c r="AQ409" s="21">
        <f t="shared" ref="AQ409:AQ432" si="156">SUM(AL409)-(AL409*15%)+(AM409)-(AM409*20.8%)+(AN409)+(AO409)-(AO409*0.95%)+(AP409)-(AP409*15.5%)</f>
        <v>0</v>
      </c>
      <c r="AR409" s="22">
        <f>SUM(AL409:AP432)</f>
        <v>0</v>
      </c>
      <c r="AS409" s="21">
        <f>SUM(AQ409:AQ432)</f>
        <v>0</v>
      </c>
      <c r="AT409" s="21">
        <f>SUM(AS409)-(AS409*97%)</f>
        <v>0</v>
      </c>
      <c r="AU409" s="21">
        <f>SUM(AS409)-(AS409*95%)</f>
        <v>0</v>
      </c>
      <c r="AV409" s="23">
        <f>SUM(AS409)-(AS409*93%)</f>
        <v>0</v>
      </c>
      <c r="AW409" s="15">
        <v>31.0</v>
      </c>
      <c r="AX409" s="24"/>
      <c r="AY409" s="25"/>
      <c r="AZ409" s="18"/>
      <c r="BA409" s="20"/>
      <c r="BB409" s="20"/>
      <c r="BC409" s="21">
        <f t="shared" ref="BC409:BC432" si="157">SUM(AX409)-(AX409*15%)+(AY409)-(AY409*20.8%)+(AZ409)+(BA409)-(BA409*0.95%)+(BB409)-(BB409*15.5%)</f>
        <v>0</v>
      </c>
      <c r="BD409" s="22">
        <f>SUM(AX409:BB432)</f>
        <v>0</v>
      </c>
      <c r="BE409" s="21">
        <f>SUM(BC409:BC432)</f>
        <v>0</v>
      </c>
      <c r="BF409" s="21">
        <f>SUM(BE409)-(BE409*97%)</f>
        <v>0</v>
      </c>
      <c r="BG409" s="21">
        <f>SUM(BE409)-(BE409*95%)</f>
        <v>0</v>
      </c>
      <c r="BH409" s="23">
        <f>SUM(BE409)-(BE409*93%)</f>
        <v>0</v>
      </c>
      <c r="BI409" s="15"/>
      <c r="BJ409" s="24"/>
      <c r="BK409" s="25"/>
      <c r="BL409" s="18"/>
      <c r="BM409" s="20"/>
      <c r="BN409" s="20"/>
      <c r="BO409" s="21">
        <f t="shared" ref="BO409:BO432" si="158">SUM(BJ409)-(BJ409*15%)+(BK409)-(BK409*20.8%)+(BL409)+(BM409)-(BM409*0.95%)+(BN409)-(BN409*15.5%)</f>
        <v>0</v>
      </c>
      <c r="BP409" s="22">
        <f>SUM(BJ409:BN432)</f>
        <v>0</v>
      </c>
      <c r="BQ409" s="21">
        <f>SUM(BO409:BO432)</f>
        <v>0</v>
      </c>
      <c r="BR409" s="21">
        <f>SUM(BQ409)-(BQ409*97%)</f>
        <v>0</v>
      </c>
      <c r="BS409" s="21">
        <f>SUM(BQ409)-(BQ409*95%)</f>
        <v>0</v>
      </c>
      <c r="BT409" s="23">
        <f>SUM(BQ409)-(BQ409*93%)</f>
        <v>0</v>
      </c>
      <c r="BU409" s="110"/>
      <c r="BV409" s="107"/>
      <c r="BW409" s="107"/>
      <c r="BX409" s="107"/>
      <c r="BY409" s="107"/>
      <c r="BZ409" s="107"/>
      <c r="CA409" s="111"/>
      <c r="CB409" s="112"/>
      <c r="CC409" s="111"/>
      <c r="CD409" s="111"/>
      <c r="CE409" s="111"/>
      <c r="CF409" s="111"/>
      <c r="CG409" s="107"/>
      <c r="CH409" s="107"/>
      <c r="CI409" s="107"/>
      <c r="CJ409" s="107"/>
    </row>
    <row r="410">
      <c r="A410" s="15" t="s">
        <v>90</v>
      </c>
      <c r="B410" s="27"/>
      <c r="C410" s="17"/>
      <c r="D410" s="28">
        <v>300000.0</v>
      </c>
      <c r="E410" s="20">
        <v>100000.0</v>
      </c>
      <c r="F410" s="30"/>
      <c r="G410" s="21">
        <f t="shared" si="153"/>
        <v>399050</v>
      </c>
      <c r="H410" s="31" t="s">
        <v>20</v>
      </c>
      <c r="I410" s="13"/>
      <c r="J410" s="13" t="s">
        <v>21</v>
      </c>
      <c r="K410" s="13" t="s">
        <v>22</v>
      </c>
      <c r="L410" s="14" t="s">
        <v>23</v>
      </c>
      <c r="M410" s="15">
        <v>122.0</v>
      </c>
      <c r="N410" s="37"/>
      <c r="O410" s="25"/>
      <c r="P410" s="33"/>
      <c r="Q410" s="30"/>
      <c r="R410" s="30">
        <v>1500000.0</v>
      </c>
      <c r="S410" s="21">
        <f t="shared" si="154"/>
        <v>1267500</v>
      </c>
      <c r="T410" s="31" t="s">
        <v>20</v>
      </c>
      <c r="U410" s="13"/>
      <c r="V410" s="13" t="s">
        <v>21</v>
      </c>
      <c r="W410" s="13" t="s">
        <v>22</v>
      </c>
      <c r="X410" s="14" t="s">
        <v>23</v>
      </c>
      <c r="Y410" s="60"/>
      <c r="Z410" s="32"/>
      <c r="AA410" s="25"/>
      <c r="AB410" s="33"/>
      <c r="AC410" s="30"/>
      <c r="AD410" s="30"/>
      <c r="AE410" s="21">
        <f t="shared" si="155"/>
        <v>0</v>
      </c>
      <c r="AF410" s="31" t="s">
        <v>20</v>
      </c>
      <c r="AG410" s="13"/>
      <c r="AH410" s="13" t="s">
        <v>21</v>
      </c>
      <c r="AI410" s="13" t="s">
        <v>22</v>
      </c>
      <c r="AJ410" s="14" t="s">
        <v>23</v>
      </c>
      <c r="AK410" s="15">
        <v>23.0</v>
      </c>
      <c r="AL410" s="32"/>
      <c r="AM410" s="25"/>
      <c r="AN410" s="33"/>
      <c r="AO410" s="30"/>
      <c r="AP410" s="30"/>
      <c r="AQ410" s="21">
        <f t="shared" si="156"/>
        <v>0</v>
      </c>
      <c r="AR410" s="31" t="s">
        <v>20</v>
      </c>
      <c r="AS410" s="13"/>
      <c r="AT410" s="13" t="s">
        <v>21</v>
      </c>
      <c r="AU410" s="13" t="s">
        <v>22</v>
      </c>
      <c r="AV410" s="14" t="s">
        <v>23</v>
      </c>
      <c r="AW410" s="60"/>
      <c r="AX410" s="32"/>
      <c r="AY410" s="25"/>
      <c r="AZ410" s="33"/>
      <c r="BA410" s="30"/>
      <c r="BB410" s="30"/>
      <c r="BC410" s="21">
        <f t="shared" si="157"/>
        <v>0</v>
      </c>
      <c r="BD410" s="31" t="s">
        <v>20</v>
      </c>
      <c r="BE410" s="13"/>
      <c r="BF410" s="13" t="s">
        <v>21</v>
      </c>
      <c r="BG410" s="13" t="s">
        <v>22</v>
      </c>
      <c r="BH410" s="14" t="s">
        <v>23</v>
      </c>
      <c r="BI410" s="60"/>
      <c r="BJ410" s="32"/>
      <c r="BK410" s="25"/>
      <c r="BL410" s="33"/>
      <c r="BM410" s="30"/>
      <c r="BN410" s="30"/>
      <c r="BO410" s="21">
        <f t="shared" si="158"/>
        <v>0</v>
      </c>
      <c r="BP410" s="31" t="s">
        <v>20</v>
      </c>
      <c r="BQ410" s="13"/>
      <c r="BR410" s="13" t="s">
        <v>21</v>
      </c>
      <c r="BS410" s="13" t="s">
        <v>22</v>
      </c>
      <c r="BT410" s="14" t="s">
        <v>23</v>
      </c>
      <c r="BU410" s="110"/>
      <c r="BV410" s="107"/>
      <c r="BW410" s="107"/>
      <c r="BX410" s="107"/>
      <c r="BY410" s="107"/>
      <c r="BZ410" s="107"/>
      <c r="CA410" s="111"/>
      <c r="CB410" s="113"/>
      <c r="CC410" s="107"/>
      <c r="CD410" s="107"/>
      <c r="CE410" s="107"/>
      <c r="CF410" s="107"/>
      <c r="CG410" s="107"/>
      <c r="CH410" s="107"/>
      <c r="CI410" s="107"/>
      <c r="CJ410" s="107"/>
    </row>
    <row r="411">
      <c r="A411" s="15" t="s">
        <v>92</v>
      </c>
      <c r="B411" s="35"/>
      <c r="C411" s="17"/>
      <c r="D411" s="18"/>
      <c r="E411" s="20">
        <v>100000.0</v>
      </c>
      <c r="F411" s="20"/>
      <c r="G411" s="21">
        <f t="shared" si="153"/>
        <v>99050</v>
      </c>
      <c r="H411" s="36"/>
      <c r="I411" s="13"/>
      <c r="J411" s="21">
        <f t="shared" ref="J411:L411" si="159">SUM(J409)-(J409*10%)</f>
        <v>145609.8593</v>
      </c>
      <c r="K411" s="21">
        <f t="shared" si="159"/>
        <v>242683.0988</v>
      </c>
      <c r="L411" s="23">
        <f t="shared" si="159"/>
        <v>339756.3383</v>
      </c>
      <c r="M411" s="15">
        <v>123.0</v>
      </c>
      <c r="N411" s="37"/>
      <c r="O411" s="25"/>
      <c r="P411" s="33"/>
      <c r="Q411" s="20"/>
      <c r="R411" s="20">
        <v>1900000.0</v>
      </c>
      <c r="S411" s="21">
        <f t="shared" si="154"/>
        <v>1605500</v>
      </c>
      <c r="T411" s="36"/>
      <c r="U411" s="13"/>
      <c r="V411" s="21">
        <f t="shared" ref="V411:X411" si="160">SUM(V409)-(V409*10%)</f>
        <v>231332.22</v>
      </c>
      <c r="W411" s="21">
        <f t="shared" si="160"/>
        <v>385553.7</v>
      </c>
      <c r="X411" s="23">
        <f t="shared" si="160"/>
        <v>539775.18</v>
      </c>
      <c r="Y411" s="60"/>
      <c r="Z411" s="32"/>
      <c r="AA411" s="25"/>
      <c r="AB411" s="33"/>
      <c r="AC411" s="20"/>
      <c r="AD411" s="20"/>
      <c r="AE411" s="21">
        <f t="shared" si="155"/>
        <v>0</v>
      </c>
      <c r="AF411" s="36"/>
      <c r="AG411" s="13"/>
      <c r="AH411" s="21">
        <f t="shared" ref="AH411:AJ411" si="161">SUM(AH409)-(AH409*10%)</f>
        <v>18720.45</v>
      </c>
      <c r="AI411" s="21">
        <f t="shared" si="161"/>
        <v>31200.75</v>
      </c>
      <c r="AJ411" s="23">
        <f t="shared" si="161"/>
        <v>43681.05</v>
      </c>
      <c r="AK411" s="15">
        <v>31.0</v>
      </c>
      <c r="AL411" s="37"/>
      <c r="AM411" s="25"/>
      <c r="AN411" s="33"/>
      <c r="AO411" s="20"/>
      <c r="AP411" s="20"/>
      <c r="AQ411" s="21">
        <f t="shared" si="156"/>
        <v>0</v>
      </c>
      <c r="AR411" s="36"/>
      <c r="AS411" s="13"/>
      <c r="AT411" s="21">
        <f t="shared" ref="AT411:AV411" si="162">SUM(AT409)-(AT409*10%)</f>
        <v>0</v>
      </c>
      <c r="AU411" s="21">
        <f t="shared" si="162"/>
        <v>0</v>
      </c>
      <c r="AV411" s="23">
        <f t="shared" si="162"/>
        <v>0</v>
      </c>
      <c r="AW411" s="60"/>
      <c r="AX411" s="32"/>
      <c r="AY411" s="25"/>
      <c r="AZ411" s="33"/>
      <c r="BA411" s="20"/>
      <c r="BB411" s="20"/>
      <c r="BC411" s="21">
        <f t="shared" si="157"/>
        <v>0</v>
      </c>
      <c r="BD411" s="36"/>
      <c r="BE411" s="13"/>
      <c r="BF411" s="21">
        <f t="shared" ref="BF411:BH411" si="163">SUM(BF409)-(BF409*10%)</f>
        <v>0</v>
      </c>
      <c r="BG411" s="21">
        <f t="shared" si="163"/>
        <v>0</v>
      </c>
      <c r="BH411" s="23">
        <f t="shared" si="163"/>
        <v>0</v>
      </c>
      <c r="BI411" s="60"/>
      <c r="BJ411" s="32"/>
      <c r="BK411" s="25"/>
      <c r="BL411" s="33"/>
      <c r="BM411" s="20"/>
      <c r="BN411" s="20"/>
      <c r="BO411" s="21">
        <f t="shared" si="158"/>
        <v>0</v>
      </c>
      <c r="BP411" s="36"/>
      <c r="BQ411" s="13"/>
      <c r="BR411" s="21">
        <f t="shared" ref="BR411:BT411" si="164">SUM(BR409)-(BR409*10%)</f>
        <v>0</v>
      </c>
      <c r="BS411" s="21">
        <f t="shared" si="164"/>
        <v>0</v>
      </c>
      <c r="BT411" s="23">
        <f t="shared" si="164"/>
        <v>0</v>
      </c>
      <c r="BU411" s="110"/>
      <c r="BV411" s="107"/>
      <c r="BW411" s="107"/>
      <c r="BX411" s="107"/>
      <c r="BY411" s="107"/>
      <c r="BZ411" s="107"/>
      <c r="CA411" s="111"/>
      <c r="CB411" s="107"/>
      <c r="CC411" s="107"/>
      <c r="CD411" s="111"/>
      <c r="CE411" s="111"/>
      <c r="CF411" s="111"/>
      <c r="CG411" s="107"/>
      <c r="CH411" s="107"/>
      <c r="CI411" s="107"/>
      <c r="CJ411" s="107"/>
    </row>
    <row r="412">
      <c r="A412" s="15" t="s">
        <v>90</v>
      </c>
      <c r="B412" s="27"/>
      <c r="C412" s="17"/>
      <c r="D412" s="18">
        <v>500000.0</v>
      </c>
      <c r="E412" s="20"/>
      <c r="F412" s="20"/>
      <c r="G412" s="21">
        <f t="shared" si="153"/>
        <v>500000</v>
      </c>
      <c r="H412" s="13"/>
      <c r="I412" s="13"/>
      <c r="J412" s="13"/>
      <c r="K412" s="13"/>
      <c r="L412" s="14"/>
      <c r="M412" s="15">
        <v>124.0</v>
      </c>
      <c r="N412" s="37"/>
      <c r="O412" s="93"/>
      <c r="P412" s="33"/>
      <c r="Q412" s="20"/>
      <c r="R412" s="20">
        <v>1500000.0</v>
      </c>
      <c r="S412" s="21">
        <f t="shared" si="154"/>
        <v>1267500</v>
      </c>
      <c r="T412" s="13"/>
      <c r="U412" s="13"/>
      <c r="V412" s="13"/>
      <c r="W412" s="13"/>
      <c r="X412" s="14"/>
      <c r="Y412" s="60"/>
      <c r="Z412" s="32"/>
      <c r="AA412" s="93"/>
      <c r="AB412" s="33"/>
      <c r="AC412" s="20"/>
      <c r="AD412" s="20"/>
      <c r="AE412" s="21">
        <f t="shared" si="155"/>
        <v>0</v>
      </c>
      <c r="AF412" s="13"/>
      <c r="AG412" s="13"/>
      <c r="AH412" s="13"/>
      <c r="AI412" s="13"/>
      <c r="AJ412" s="14"/>
      <c r="AK412" s="15"/>
      <c r="AL412" s="32"/>
      <c r="AM412" s="93"/>
      <c r="AN412" s="33"/>
      <c r="AO412" s="20"/>
      <c r="AP412" s="20"/>
      <c r="AQ412" s="21">
        <f t="shared" si="156"/>
        <v>0</v>
      </c>
      <c r="AR412" s="13"/>
      <c r="AS412" s="13"/>
      <c r="AT412" s="13"/>
      <c r="AU412" s="13"/>
      <c r="AV412" s="14"/>
      <c r="AW412" s="60"/>
      <c r="AX412" s="32"/>
      <c r="AY412" s="93"/>
      <c r="AZ412" s="33"/>
      <c r="BA412" s="20"/>
      <c r="BB412" s="20"/>
      <c r="BC412" s="21">
        <f t="shared" si="157"/>
        <v>0</v>
      </c>
      <c r="BD412" s="13"/>
      <c r="BE412" s="13"/>
      <c r="BF412" s="13"/>
      <c r="BG412" s="13"/>
      <c r="BH412" s="14"/>
      <c r="BI412" s="60"/>
      <c r="BJ412" s="32"/>
      <c r="BK412" s="93"/>
      <c r="BL412" s="33"/>
      <c r="BM412" s="20"/>
      <c r="BN412" s="20"/>
      <c r="BO412" s="21">
        <f t="shared" si="158"/>
        <v>0</v>
      </c>
      <c r="BP412" s="13"/>
      <c r="BQ412" s="13"/>
      <c r="BR412" s="13"/>
      <c r="BS412" s="13"/>
      <c r="BT412" s="14"/>
      <c r="BU412" s="110"/>
      <c r="BV412" s="107"/>
      <c r="BW412" s="107"/>
      <c r="BX412" s="107"/>
      <c r="BY412" s="107"/>
      <c r="BZ412" s="107"/>
      <c r="CA412" s="111"/>
      <c r="CB412" s="107"/>
      <c r="CC412" s="107"/>
      <c r="CD412" s="107"/>
      <c r="CE412" s="107"/>
      <c r="CF412" s="107"/>
      <c r="CG412" s="107"/>
      <c r="CH412" s="107"/>
      <c r="CI412" s="107"/>
      <c r="CJ412" s="107"/>
    </row>
    <row r="413">
      <c r="A413" s="15"/>
      <c r="B413" s="35"/>
      <c r="C413" s="17"/>
      <c r="D413" s="18">
        <v>200000.0</v>
      </c>
      <c r="E413" s="20">
        <v>1220000.0</v>
      </c>
      <c r="F413" s="20"/>
      <c r="G413" s="21">
        <f t="shared" si="153"/>
        <v>1408410</v>
      </c>
      <c r="H413" s="13"/>
      <c r="I413" s="13"/>
      <c r="J413" s="13"/>
      <c r="K413" s="13"/>
      <c r="L413" s="14"/>
      <c r="M413" s="15">
        <v>126.0</v>
      </c>
      <c r="N413" s="20">
        <v>1500000.0</v>
      </c>
      <c r="O413" s="25"/>
      <c r="P413" s="33"/>
      <c r="Q413" s="20"/>
      <c r="R413" s="20"/>
      <c r="S413" s="21">
        <f t="shared" si="154"/>
        <v>1275000</v>
      </c>
      <c r="T413" s="13"/>
      <c r="U413" s="13"/>
      <c r="V413" s="13"/>
      <c r="W413" s="13"/>
      <c r="X413" s="14"/>
      <c r="Y413" s="60"/>
      <c r="Z413" s="32"/>
      <c r="AA413" s="25"/>
      <c r="AB413" s="33"/>
      <c r="AC413" s="20"/>
      <c r="AD413" s="20"/>
      <c r="AE413" s="21">
        <f t="shared" si="155"/>
        <v>0</v>
      </c>
      <c r="AF413" s="13"/>
      <c r="AG413" s="13"/>
      <c r="AH413" s="13"/>
      <c r="AI413" s="13"/>
      <c r="AJ413" s="14"/>
      <c r="AK413" s="15"/>
      <c r="AL413" s="32"/>
      <c r="AM413" s="25"/>
      <c r="AN413" s="33"/>
      <c r="AO413" s="20"/>
      <c r="AP413" s="20"/>
      <c r="AQ413" s="21">
        <f t="shared" si="156"/>
        <v>0</v>
      </c>
      <c r="AR413" s="13"/>
      <c r="AS413" s="13"/>
      <c r="AT413" s="13"/>
      <c r="AU413" s="13"/>
      <c r="AV413" s="14"/>
      <c r="AW413" s="60"/>
      <c r="AX413" s="32"/>
      <c r="AY413" s="25"/>
      <c r="AZ413" s="33"/>
      <c r="BA413" s="20"/>
      <c r="BB413" s="20"/>
      <c r="BC413" s="21">
        <f t="shared" si="157"/>
        <v>0</v>
      </c>
      <c r="BD413" s="13"/>
      <c r="BE413" s="13"/>
      <c r="BF413" s="13"/>
      <c r="BG413" s="13"/>
      <c r="BH413" s="14"/>
      <c r="BI413" s="60"/>
      <c r="BJ413" s="32"/>
      <c r="BK413" s="25"/>
      <c r="BL413" s="33"/>
      <c r="BM413" s="20"/>
      <c r="BN413" s="20"/>
      <c r="BO413" s="21">
        <f t="shared" si="158"/>
        <v>0</v>
      </c>
      <c r="BP413" s="13"/>
      <c r="BQ413" s="13"/>
      <c r="BR413" s="13"/>
      <c r="BS413" s="13"/>
      <c r="BT413" s="14"/>
      <c r="BU413" s="110"/>
      <c r="BV413" s="107"/>
      <c r="BW413" s="107"/>
      <c r="BX413" s="107"/>
      <c r="BY413" s="107"/>
      <c r="BZ413" s="107"/>
      <c r="CA413" s="111"/>
      <c r="CB413" s="107"/>
      <c r="CC413" s="107"/>
      <c r="CD413" s="107"/>
      <c r="CE413" s="107"/>
      <c r="CF413" s="107"/>
      <c r="CG413" s="107"/>
      <c r="CH413" s="107"/>
      <c r="CI413" s="107"/>
      <c r="CJ413" s="107"/>
    </row>
    <row r="414">
      <c r="A414" s="60"/>
      <c r="B414" s="39"/>
      <c r="C414" s="43"/>
      <c r="D414" s="18"/>
      <c r="E414" s="20">
        <v>155500.0</v>
      </c>
      <c r="F414" s="20"/>
      <c r="G414" s="21">
        <f t="shared" si="153"/>
        <v>154022.75</v>
      </c>
      <c r="H414" s="13"/>
      <c r="I414" s="13"/>
      <c r="J414" s="13"/>
      <c r="K414" s="13">
        <f>H416</f>
        <v>14654167.75</v>
      </c>
      <c r="L414" s="14"/>
      <c r="M414" s="15" t="s">
        <v>92</v>
      </c>
      <c r="N414" s="32"/>
      <c r="O414" s="93"/>
      <c r="P414" s="33"/>
      <c r="Q414" s="20">
        <v>120000.0</v>
      </c>
      <c r="R414" s="20"/>
      <c r="S414" s="21">
        <f t="shared" si="154"/>
        <v>118860</v>
      </c>
      <c r="T414" s="13"/>
      <c r="U414" s="13"/>
      <c r="V414" s="13"/>
      <c r="W414" s="13"/>
      <c r="X414" s="14"/>
      <c r="Y414" s="60"/>
      <c r="Z414" s="32"/>
      <c r="AA414" s="25"/>
      <c r="AB414" s="33"/>
      <c r="AC414" s="20"/>
      <c r="AD414" s="20"/>
      <c r="AE414" s="21">
        <f t="shared" si="155"/>
        <v>0</v>
      </c>
      <c r="AF414" s="13"/>
      <c r="AG414" s="13"/>
      <c r="AH414" s="13"/>
      <c r="AI414" s="13"/>
      <c r="AJ414" s="14"/>
      <c r="AK414" s="15"/>
      <c r="AL414" s="32"/>
      <c r="AM414" s="25"/>
      <c r="AN414" s="33"/>
      <c r="AO414" s="20"/>
      <c r="AP414" s="20"/>
      <c r="AQ414" s="21">
        <f t="shared" si="156"/>
        <v>0</v>
      </c>
      <c r="AR414" s="13"/>
      <c r="AS414" s="13"/>
      <c r="AT414" s="13"/>
      <c r="AU414" s="13"/>
      <c r="AV414" s="14"/>
      <c r="AW414" s="60"/>
      <c r="AX414" s="32"/>
      <c r="AY414" s="25"/>
      <c r="AZ414" s="33"/>
      <c r="BA414" s="20"/>
      <c r="BB414" s="20"/>
      <c r="BC414" s="21">
        <f t="shared" si="157"/>
        <v>0</v>
      </c>
      <c r="BD414" s="13"/>
      <c r="BE414" s="13"/>
      <c r="BF414" s="13"/>
      <c r="BG414" s="13"/>
      <c r="BH414" s="14"/>
      <c r="BI414" s="60"/>
      <c r="BJ414" s="32"/>
      <c r="BK414" s="25"/>
      <c r="BL414" s="33"/>
      <c r="BM414" s="20"/>
      <c r="BN414" s="20"/>
      <c r="BO414" s="21">
        <f t="shared" si="158"/>
        <v>0</v>
      </c>
      <c r="BP414" s="13"/>
      <c r="BQ414" s="13"/>
      <c r="BR414" s="13"/>
      <c r="BS414" s="13"/>
      <c r="BT414" s="14"/>
      <c r="BU414" s="110"/>
      <c r="BV414" s="107"/>
      <c r="BW414" s="107"/>
      <c r="BX414" s="107"/>
      <c r="BY414" s="107"/>
      <c r="BZ414" s="107"/>
      <c r="CA414" s="111"/>
      <c r="CB414" s="107"/>
      <c r="CC414" s="107"/>
      <c r="CD414" s="107"/>
      <c r="CE414" s="107"/>
      <c r="CF414" s="107"/>
      <c r="CG414" s="107"/>
      <c r="CH414" s="107"/>
      <c r="CI414" s="107"/>
      <c r="CJ414" s="107"/>
    </row>
    <row r="415">
      <c r="A415" s="60"/>
      <c r="B415" s="35"/>
      <c r="C415" s="17"/>
      <c r="D415" s="18"/>
      <c r="E415" s="20">
        <v>1250000.0</v>
      </c>
      <c r="F415" s="20"/>
      <c r="G415" s="21">
        <f t="shared" si="153"/>
        <v>1238125</v>
      </c>
      <c r="H415" s="94" t="s">
        <v>13</v>
      </c>
      <c r="I415" s="86" t="s">
        <v>57</v>
      </c>
      <c r="J415" s="86" t="s">
        <v>57</v>
      </c>
      <c r="K415" s="86" t="s">
        <v>65</v>
      </c>
      <c r="L415" s="95"/>
      <c r="M415" s="15">
        <v>130.0</v>
      </c>
      <c r="N415" s="37"/>
      <c r="O415" s="25"/>
      <c r="P415" s="33"/>
      <c r="Q415" s="20">
        <v>500000.0</v>
      </c>
      <c r="R415" s="20"/>
      <c r="S415" s="21">
        <f t="shared" si="154"/>
        <v>495250</v>
      </c>
      <c r="T415" s="13"/>
      <c r="U415" s="13"/>
      <c r="V415" s="13"/>
      <c r="W415" s="13"/>
      <c r="X415" s="14"/>
      <c r="Y415" s="38"/>
      <c r="Z415" s="32"/>
      <c r="AA415" s="25"/>
      <c r="AB415" s="33"/>
      <c r="AC415" s="20"/>
      <c r="AD415" s="20"/>
      <c r="AE415" s="21">
        <f t="shared" si="155"/>
        <v>0</v>
      </c>
      <c r="AF415" s="13"/>
      <c r="AG415" s="13"/>
      <c r="AH415" s="13"/>
      <c r="AI415" s="13"/>
      <c r="AJ415" s="14"/>
      <c r="AK415" s="15"/>
      <c r="AL415" s="32"/>
      <c r="AM415" s="25"/>
      <c r="AN415" s="33"/>
      <c r="AO415" s="20"/>
      <c r="AP415" s="20"/>
      <c r="AQ415" s="21">
        <f t="shared" si="156"/>
        <v>0</v>
      </c>
      <c r="AR415" s="13"/>
      <c r="AS415" s="13"/>
      <c r="AT415" s="13"/>
      <c r="AU415" s="13"/>
      <c r="AV415" s="14"/>
      <c r="AW415" s="38"/>
      <c r="AX415" s="32"/>
      <c r="AY415" s="25"/>
      <c r="AZ415" s="33"/>
      <c r="BA415" s="20"/>
      <c r="BB415" s="20"/>
      <c r="BC415" s="21">
        <f t="shared" si="157"/>
        <v>0</v>
      </c>
      <c r="BD415" s="13"/>
      <c r="BE415" s="13"/>
      <c r="BF415" s="13"/>
      <c r="BG415" s="13"/>
      <c r="BH415" s="14"/>
      <c r="BI415" s="38"/>
      <c r="BJ415" s="32"/>
      <c r="BK415" s="25"/>
      <c r="BL415" s="33"/>
      <c r="BM415" s="20"/>
      <c r="BN415" s="20"/>
      <c r="BO415" s="21">
        <f t="shared" si="158"/>
        <v>0</v>
      </c>
      <c r="BP415" s="13"/>
      <c r="BQ415" s="13"/>
      <c r="BR415" s="13"/>
      <c r="BS415" s="13"/>
      <c r="BT415" s="14"/>
      <c r="BU415" s="110"/>
      <c r="BV415" s="107"/>
      <c r="BW415" s="107"/>
      <c r="BX415" s="107"/>
      <c r="BY415" s="107"/>
      <c r="BZ415" s="107"/>
      <c r="CA415" s="111"/>
      <c r="CB415" s="107"/>
      <c r="CC415" s="107"/>
      <c r="CD415" s="107"/>
      <c r="CE415" s="107"/>
      <c r="CF415" s="107"/>
      <c r="CG415" s="107"/>
      <c r="CH415" s="107"/>
      <c r="CI415" s="107"/>
      <c r="CJ415" s="107"/>
    </row>
    <row r="416">
      <c r="A416" s="60">
        <v>45926.0</v>
      </c>
      <c r="B416" s="16"/>
      <c r="C416" s="17"/>
      <c r="D416" s="28">
        <v>1000000.0</v>
      </c>
      <c r="E416" s="30"/>
      <c r="F416" s="30"/>
      <c r="G416" s="21">
        <f t="shared" si="153"/>
        <v>1000000</v>
      </c>
      <c r="H416" s="95">
        <f>AG409+I409+U409+AS409+BE409+BQ409+CC409</f>
        <v>14654167.75</v>
      </c>
      <c r="I416" s="102" t="s">
        <v>52</v>
      </c>
      <c r="J416" s="102" t="s">
        <v>44</v>
      </c>
      <c r="K416" s="102" t="s">
        <v>52</v>
      </c>
      <c r="L416" s="102" t="s">
        <v>44</v>
      </c>
      <c r="M416" s="15" t="s">
        <v>93</v>
      </c>
      <c r="N416" s="37"/>
      <c r="O416" s="25"/>
      <c r="P416" s="41"/>
      <c r="Q416" s="20"/>
      <c r="R416" s="20">
        <v>500000.0</v>
      </c>
      <c r="S416" s="21">
        <f t="shared" si="154"/>
        <v>422500</v>
      </c>
      <c r="T416" s="67"/>
      <c r="U416" s="67"/>
      <c r="V416" s="67"/>
      <c r="W416" s="13"/>
      <c r="X416" s="14"/>
      <c r="Y416" s="38"/>
      <c r="Z416" s="37"/>
      <c r="AA416" s="25"/>
      <c r="AB416" s="41"/>
      <c r="AC416" s="20"/>
      <c r="AD416" s="20"/>
      <c r="AE416" s="21">
        <f t="shared" si="155"/>
        <v>0</v>
      </c>
      <c r="AF416" s="13"/>
      <c r="AG416" s="13"/>
      <c r="AH416" s="13"/>
      <c r="AI416" s="13"/>
      <c r="AJ416" s="14"/>
      <c r="AK416" s="15"/>
      <c r="AL416" s="37"/>
      <c r="AM416" s="25"/>
      <c r="AN416" s="41"/>
      <c r="AO416" s="20"/>
      <c r="AP416" s="20"/>
      <c r="AQ416" s="21">
        <f t="shared" si="156"/>
        <v>0</v>
      </c>
      <c r="AR416" s="13"/>
      <c r="AS416" s="13"/>
      <c r="AT416" s="13"/>
      <c r="AU416" s="13"/>
      <c r="AV416" s="14"/>
      <c r="AW416" s="38"/>
      <c r="AX416" s="37"/>
      <c r="AY416" s="25"/>
      <c r="AZ416" s="41"/>
      <c r="BA416" s="20"/>
      <c r="BB416" s="20"/>
      <c r="BC416" s="21">
        <f t="shared" si="157"/>
        <v>0</v>
      </c>
      <c r="BD416" s="13"/>
      <c r="BE416" s="13"/>
      <c r="BF416" s="13"/>
      <c r="BG416" s="13"/>
      <c r="BH416" s="14"/>
      <c r="BI416" s="38"/>
      <c r="BJ416" s="37"/>
      <c r="BK416" s="25"/>
      <c r="BL416" s="41"/>
      <c r="BM416" s="20"/>
      <c r="BN416" s="20"/>
      <c r="BO416" s="21">
        <f t="shared" si="158"/>
        <v>0</v>
      </c>
      <c r="BP416" s="13"/>
      <c r="BQ416" s="13"/>
      <c r="BR416" s="13"/>
      <c r="BS416" s="13"/>
      <c r="BT416" s="14"/>
      <c r="BU416" s="107"/>
      <c r="BV416" s="107"/>
      <c r="BW416" s="107"/>
      <c r="BX416" s="107"/>
      <c r="BY416" s="107"/>
      <c r="BZ416" s="107"/>
      <c r="CA416" s="111"/>
      <c r="CB416" s="107"/>
      <c r="CC416" s="107"/>
      <c r="CD416" s="107"/>
      <c r="CE416" s="107"/>
      <c r="CF416" s="107"/>
      <c r="CG416" s="107"/>
      <c r="CH416" s="107"/>
      <c r="CI416" s="107"/>
      <c r="CJ416" s="107"/>
    </row>
    <row r="417">
      <c r="A417" s="60"/>
      <c r="B417" s="35"/>
      <c r="C417" s="17"/>
      <c r="D417" s="18"/>
      <c r="E417" s="20"/>
      <c r="F417" s="20"/>
      <c r="G417" s="21">
        <f t="shared" si="153"/>
        <v>0</v>
      </c>
      <c r="H417" s="95"/>
      <c r="I417" s="115">
        <f>SUM(H416)-(H416*99%)</f>
        <v>146541.6775</v>
      </c>
      <c r="J417" s="87">
        <f>SUM(H416)-(H416*98.5%)</f>
        <v>219812.5162</v>
      </c>
      <c r="K417" s="87">
        <f>SUM(K414)-(K414*99%)</f>
        <v>146541.6775</v>
      </c>
      <c r="L417" s="87">
        <f>SUM(K414)-(K414*98.5%)</f>
        <v>219812.5162</v>
      </c>
      <c r="M417" s="60"/>
      <c r="N417" s="24"/>
      <c r="O417" s="25"/>
      <c r="P417" s="41"/>
      <c r="Q417" s="30">
        <v>1500000.0</v>
      </c>
      <c r="R417" s="30"/>
      <c r="S417" s="21">
        <f t="shared" si="154"/>
        <v>1485750</v>
      </c>
      <c r="T417" s="13"/>
      <c r="U417" s="13"/>
      <c r="V417" s="13"/>
      <c r="W417" s="13"/>
      <c r="X417" s="14"/>
      <c r="Y417" s="38"/>
      <c r="Z417" s="24"/>
      <c r="AA417" s="25"/>
      <c r="AB417" s="41"/>
      <c r="AC417" s="30"/>
      <c r="AD417" s="30"/>
      <c r="AE417" s="21">
        <f t="shared" si="155"/>
        <v>0</v>
      </c>
      <c r="AF417" s="13"/>
      <c r="AG417" s="13"/>
      <c r="AH417" s="13"/>
      <c r="AI417" s="13"/>
      <c r="AJ417" s="14"/>
      <c r="AK417" s="38"/>
      <c r="AL417" s="24"/>
      <c r="AM417" s="25"/>
      <c r="AN417" s="41"/>
      <c r="AO417" s="30"/>
      <c r="AP417" s="30"/>
      <c r="AQ417" s="21">
        <f t="shared" si="156"/>
        <v>0</v>
      </c>
      <c r="AR417" s="13"/>
      <c r="AS417" s="13"/>
      <c r="AT417" s="13"/>
      <c r="AU417" s="13"/>
      <c r="AV417" s="14"/>
      <c r="AW417" s="38"/>
      <c r="AX417" s="24"/>
      <c r="AY417" s="25"/>
      <c r="AZ417" s="41"/>
      <c r="BA417" s="30"/>
      <c r="BB417" s="30"/>
      <c r="BC417" s="21">
        <f t="shared" si="157"/>
        <v>0</v>
      </c>
      <c r="BD417" s="67"/>
      <c r="BE417" s="67"/>
      <c r="BF417" s="13"/>
      <c r="BG417" s="13"/>
      <c r="BH417" s="14"/>
      <c r="BI417" s="38"/>
      <c r="BJ417" s="24"/>
      <c r="BK417" s="25"/>
      <c r="BL417" s="41"/>
      <c r="BM417" s="30"/>
      <c r="BN417" s="30"/>
      <c r="BO417" s="21">
        <f t="shared" si="158"/>
        <v>0</v>
      </c>
      <c r="BP417" s="13"/>
      <c r="BQ417" s="13"/>
      <c r="BR417" s="13"/>
      <c r="BS417" s="13"/>
      <c r="BT417" s="14"/>
      <c r="BU417" s="107"/>
      <c r="BV417" s="107"/>
      <c r="BW417" s="107"/>
      <c r="BX417" s="107"/>
      <c r="BY417" s="107"/>
      <c r="BZ417" s="107"/>
      <c r="CA417" s="111"/>
      <c r="CB417" s="107"/>
      <c r="CC417" s="107"/>
      <c r="CD417" s="107"/>
      <c r="CE417" s="107"/>
      <c r="CF417" s="107"/>
      <c r="CG417" s="107"/>
      <c r="CH417" s="107"/>
      <c r="CI417" s="107"/>
      <c r="CJ417" s="107"/>
    </row>
    <row r="418">
      <c r="A418" s="60"/>
      <c r="B418" s="24"/>
      <c r="C418" s="25"/>
      <c r="D418" s="41"/>
      <c r="E418" s="46"/>
      <c r="F418" s="46"/>
      <c r="G418" s="21">
        <f t="shared" si="153"/>
        <v>0</v>
      </c>
      <c r="H418" s="95"/>
      <c r="I418" s="86" t="s">
        <v>53</v>
      </c>
      <c r="J418" s="86" t="s">
        <v>36</v>
      </c>
      <c r="K418" s="86" t="s">
        <v>53</v>
      </c>
      <c r="L418" s="86" t="s">
        <v>36</v>
      </c>
      <c r="M418" s="38"/>
      <c r="N418" s="37"/>
      <c r="O418" s="25"/>
      <c r="P418" s="41"/>
      <c r="Q418" s="20"/>
      <c r="R418" s="20"/>
      <c r="S418" s="21">
        <f t="shared" si="154"/>
        <v>0</v>
      </c>
      <c r="T418" s="13"/>
      <c r="U418" s="13"/>
      <c r="V418" s="13"/>
      <c r="W418" s="13"/>
      <c r="X418" s="14"/>
      <c r="Y418" s="38"/>
      <c r="Z418" s="37"/>
      <c r="AA418" s="25"/>
      <c r="AB418" s="41"/>
      <c r="AC418" s="20"/>
      <c r="AD418" s="20"/>
      <c r="AE418" s="21">
        <f t="shared" si="155"/>
        <v>0</v>
      </c>
      <c r="AF418" s="13"/>
      <c r="AG418" s="13"/>
      <c r="AH418" s="13"/>
      <c r="AI418" s="13"/>
      <c r="AJ418" s="14"/>
      <c r="AK418" s="38"/>
      <c r="AL418" s="37"/>
      <c r="AM418" s="25"/>
      <c r="AN418" s="41"/>
      <c r="AO418" s="20"/>
      <c r="AP418" s="20"/>
      <c r="AQ418" s="21">
        <f t="shared" si="156"/>
        <v>0</v>
      </c>
      <c r="AR418" s="13"/>
      <c r="AS418" s="13"/>
      <c r="AT418" s="13"/>
      <c r="AU418" s="13"/>
      <c r="AV418" s="14"/>
      <c r="AW418" s="38"/>
      <c r="AX418" s="37"/>
      <c r="AY418" s="25"/>
      <c r="AZ418" s="41"/>
      <c r="BA418" s="20"/>
      <c r="BB418" s="20"/>
      <c r="BC418" s="21">
        <f t="shared" si="157"/>
        <v>0</v>
      </c>
      <c r="BD418" s="13"/>
      <c r="BE418" s="13"/>
      <c r="BF418" s="13"/>
      <c r="BG418" s="13"/>
      <c r="BH418" s="14"/>
      <c r="BI418" s="38"/>
      <c r="BJ418" s="37"/>
      <c r="BK418" s="25"/>
      <c r="BL418" s="41"/>
      <c r="BM418" s="20"/>
      <c r="BN418" s="20"/>
      <c r="BO418" s="21">
        <f t="shared" si="158"/>
        <v>0</v>
      </c>
      <c r="BP418" s="13"/>
      <c r="BQ418" s="13"/>
      <c r="BR418" s="13"/>
      <c r="BS418" s="13"/>
      <c r="BT418" s="14"/>
      <c r="BU418" s="107"/>
      <c r="BV418" s="107"/>
      <c r="BW418" s="107"/>
      <c r="BX418" s="107"/>
      <c r="BY418" s="107"/>
      <c r="BZ418" s="107"/>
      <c r="CA418" s="111"/>
      <c r="CB418" s="107"/>
      <c r="CC418" s="107"/>
      <c r="CD418" s="107"/>
      <c r="CE418" s="107"/>
      <c r="CF418" s="107"/>
      <c r="CG418" s="107"/>
      <c r="CH418" s="107"/>
      <c r="CI418" s="107"/>
      <c r="CJ418" s="107"/>
    </row>
    <row r="419">
      <c r="A419" s="60"/>
      <c r="B419" s="47"/>
      <c r="C419" s="25"/>
      <c r="D419" s="33"/>
      <c r="E419" s="46"/>
      <c r="F419" s="46"/>
      <c r="G419" s="21">
        <f t="shared" si="153"/>
        <v>0</v>
      </c>
      <c r="H419" s="94" t="s">
        <v>12</v>
      </c>
      <c r="I419" s="87">
        <f t="shared" ref="I419:L419" si="165">SUM(I417)-(I417*10%)</f>
        <v>131887.5098</v>
      </c>
      <c r="J419" s="87">
        <f t="shared" si="165"/>
        <v>197831.2646</v>
      </c>
      <c r="K419" s="87">
        <f t="shared" si="165"/>
        <v>131887.5098</v>
      </c>
      <c r="L419" s="87">
        <f t="shared" si="165"/>
        <v>197831.2646</v>
      </c>
      <c r="M419" s="38"/>
      <c r="N419" s="24"/>
      <c r="O419" s="25"/>
      <c r="P419" s="41"/>
      <c r="Q419" s="46"/>
      <c r="R419" s="46"/>
      <c r="S419" s="21">
        <f t="shared" si="154"/>
        <v>0</v>
      </c>
      <c r="T419" s="13"/>
      <c r="U419" s="13"/>
      <c r="V419" s="13"/>
      <c r="W419" s="13"/>
      <c r="X419" s="14"/>
      <c r="Y419" s="38"/>
      <c r="Z419" s="24"/>
      <c r="AA419" s="25"/>
      <c r="AB419" s="41"/>
      <c r="AC419" s="46"/>
      <c r="AD419" s="46"/>
      <c r="AE419" s="21">
        <f t="shared" si="155"/>
        <v>0</v>
      </c>
      <c r="AF419" s="13"/>
      <c r="AG419" s="13"/>
      <c r="AH419" s="13"/>
      <c r="AI419" s="13"/>
      <c r="AJ419" s="14"/>
      <c r="AK419" s="38"/>
      <c r="AL419" s="24"/>
      <c r="AM419" s="25"/>
      <c r="AN419" s="41"/>
      <c r="AO419" s="46"/>
      <c r="AP419" s="46"/>
      <c r="AQ419" s="21">
        <f t="shared" si="156"/>
        <v>0</v>
      </c>
      <c r="AR419" s="13"/>
      <c r="AS419" s="13"/>
      <c r="AT419" s="13"/>
      <c r="AU419" s="13"/>
      <c r="AV419" s="14"/>
      <c r="AW419" s="38"/>
      <c r="AX419" s="24"/>
      <c r="AY419" s="25"/>
      <c r="AZ419" s="41"/>
      <c r="BA419" s="46"/>
      <c r="BB419" s="46"/>
      <c r="BC419" s="21">
        <f t="shared" si="157"/>
        <v>0</v>
      </c>
      <c r="BD419" s="13"/>
      <c r="BE419" s="13"/>
      <c r="BF419" s="13"/>
      <c r="BG419" s="13"/>
      <c r="BH419" s="14"/>
      <c r="BI419" s="38"/>
      <c r="BJ419" s="24"/>
      <c r="BK419" s="25"/>
      <c r="BL419" s="41"/>
      <c r="BM419" s="46"/>
      <c r="BN419" s="46"/>
      <c r="BO419" s="21">
        <f t="shared" si="158"/>
        <v>0</v>
      </c>
      <c r="BP419" s="13"/>
      <c r="BQ419" s="13"/>
      <c r="BR419" s="13"/>
      <c r="BS419" s="13"/>
      <c r="BT419" s="14"/>
      <c r="BU419" s="107"/>
      <c r="BV419" s="107"/>
      <c r="BW419" s="107"/>
      <c r="BX419" s="107"/>
      <c r="BY419" s="107"/>
      <c r="BZ419" s="107"/>
      <c r="CA419" s="111"/>
      <c r="CB419" s="107"/>
      <c r="CC419" s="107"/>
      <c r="CD419" s="107"/>
      <c r="CE419" s="107"/>
      <c r="CF419" s="107"/>
      <c r="CG419" s="107"/>
      <c r="CH419" s="107"/>
      <c r="CI419" s="107"/>
      <c r="CJ419" s="107"/>
    </row>
    <row r="420">
      <c r="A420" s="105"/>
      <c r="B420" s="47"/>
      <c r="C420" s="25"/>
      <c r="D420" s="33"/>
      <c r="E420" s="46"/>
      <c r="F420" s="46"/>
      <c r="G420" s="21">
        <f t="shared" si="153"/>
        <v>0</v>
      </c>
      <c r="H420" s="95">
        <f>H409+T409+AF409+AR409+BD409+BP409+CB409</f>
        <v>15775500</v>
      </c>
      <c r="I420" s="95"/>
      <c r="J420" s="95"/>
      <c r="K420" s="86" t="s">
        <v>66</v>
      </c>
      <c r="L420" s="95"/>
      <c r="M420" s="38"/>
      <c r="N420" s="47"/>
      <c r="O420" s="25"/>
      <c r="P420" s="41"/>
      <c r="Q420" s="46"/>
      <c r="R420" s="46"/>
      <c r="S420" s="21">
        <f t="shared" si="154"/>
        <v>0</v>
      </c>
      <c r="T420" s="13"/>
      <c r="U420" s="13"/>
      <c r="V420" s="13"/>
      <c r="W420" s="13"/>
      <c r="X420" s="14"/>
      <c r="Y420" s="38"/>
      <c r="Z420" s="47"/>
      <c r="AA420" s="25"/>
      <c r="AB420" s="41"/>
      <c r="AC420" s="46"/>
      <c r="AD420" s="46"/>
      <c r="AE420" s="21">
        <f t="shared" si="155"/>
        <v>0</v>
      </c>
      <c r="AF420" s="13"/>
      <c r="AG420" s="13"/>
      <c r="AH420" s="13"/>
      <c r="AI420" s="13"/>
      <c r="AJ420" s="14"/>
      <c r="AK420" s="38"/>
      <c r="AL420" s="47"/>
      <c r="AM420" s="25"/>
      <c r="AN420" s="41"/>
      <c r="AO420" s="46"/>
      <c r="AP420" s="46"/>
      <c r="AQ420" s="21">
        <f t="shared" si="156"/>
        <v>0</v>
      </c>
      <c r="AR420" s="13"/>
      <c r="AS420" s="13"/>
      <c r="AT420" s="13"/>
      <c r="AU420" s="13"/>
      <c r="AV420" s="14"/>
      <c r="AW420" s="38"/>
      <c r="AX420" s="47"/>
      <c r="AY420" s="25"/>
      <c r="AZ420" s="41"/>
      <c r="BA420" s="46"/>
      <c r="BB420" s="46"/>
      <c r="BC420" s="21">
        <f t="shared" si="157"/>
        <v>0</v>
      </c>
      <c r="BD420" s="13"/>
      <c r="BE420" s="13"/>
      <c r="BF420" s="13"/>
      <c r="BG420" s="13"/>
      <c r="BH420" s="14"/>
      <c r="BI420" s="38"/>
      <c r="BJ420" s="47"/>
      <c r="BK420" s="25"/>
      <c r="BL420" s="41"/>
      <c r="BM420" s="46"/>
      <c r="BN420" s="46"/>
      <c r="BO420" s="21">
        <f t="shared" si="158"/>
        <v>0</v>
      </c>
      <c r="BP420" s="13"/>
      <c r="BQ420" s="13"/>
      <c r="BR420" s="13"/>
      <c r="BS420" s="13"/>
      <c r="BT420" s="14"/>
      <c r="BU420" s="107"/>
      <c r="BV420" s="107"/>
      <c r="BW420" s="107"/>
      <c r="BX420" s="107"/>
      <c r="BY420" s="107"/>
      <c r="BZ420" s="107"/>
      <c r="CA420" s="111"/>
      <c r="CB420" s="107"/>
      <c r="CC420" s="107"/>
      <c r="CD420" s="107"/>
      <c r="CE420" s="107"/>
      <c r="CF420" s="107"/>
      <c r="CG420" s="107"/>
      <c r="CH420" s="107"/>
      <c r="CI420" s="107"/>
      <c r="CJ420" s="107"/>
    </row>
    <row r="421">
      <c r="A421" s="105"/>
      <c r="B421" s="32"/>
      <c r="C421" s="25"/>
      <c r="D421" s="41"/>
      <c r="E421" s="46"/>
      <c r="F421" s="46"/>
      <c r="G421" s="21">
        <f t="shared" si="153"/>
        <v>0</v>
      </c>
      <c r="H421" s="95"/>
      <c r="I421" s="95"/>
      <c r="J421" s="95"/>
      <c r="K421" s="86">
        <f>K411+K419</f>
        <v>374570.6085</v>
      </c>
      <c r="L421" s="95"/>
      <c r="M421" s="38"/>
      <c r="N421" s="32"/>
      <c r="O421" s="25"/>
      <c r="P421" s="41"/>
      <c r="Q421" s="46"/>
      <c r="R421" s="46"/>
      <c r="S421" s="21">
        <f t="shared" si="154"/>
        <v>0</v>
      </c>
      <c r="T421" s="13"/>
      <c r="U421" s="13"/>
      <c r="V421" s="13"/>
      <c r="W421" s="13"/>
      <c r="X421" s="14"/>
      <c r="Y421" s="38"/>
      <c r="Z421" s="32"/>
      <c r="AA421" s="25"/>
      <c r="AB421" s="41"/>
      <c r="AC421" s="46"/>
      <c r="AD421" s="46"/>
      <c r="AE421" s="21">
        <f t="shared" si="155"/>
        <v>0</v>
      </c>
      <c r="AF421" s="13"/>
      <c r="AG421" s="13"/>
      <c r="AH421" s="13"/>
      <c r="AI421" s="13"/>
      <c r="AJ421" s="14"/>
      <c r="AK421" s="38"/>
      <c r="AL421" s="32"/>
      <c r="AM421" s="25"/>
      <c r="AN421" s="41"/>
      <c r="AO421" s="46"/>
      <c r="AP421" s="46"/>
      <c r="AQ421" s="21">
        <f t="shared" si="156"/>
        <v>0</v>
      </c>
      <c r="AR421" s="13"/>
      <c r="AS421" s="13"/>
      <c r="AT421" s="13"/>
      <c r="AU421" s="13"/>
      <c r="AV421" s="14"/>
      <c r="AW421" s="38"/>
      <c r="AX421" s="32"/>
      <c r="AY421" s="25"/>
      <c r="AZ421" s="41"/>
      <c r="BA421" s="46"/>
      <c r="BB421" s="46"/>
      <c r="BC421" s="21">
        <f t="shared" si="157"/>
        <v>0</v>
      </c>
      <c r="BD421" s="13"/>
      <c r="BE421" s="13"/>
      <c r="BF421" s="13"/>
      <c r="BG421" s="13"/>
      <c r="BH421" s="14"/>
      <c r="BI421" s="38"/>
      <c r="BJ421" s="32"/>
      <c r="BK421" s="25"/>
      <c r="BL421" s="41"/>
      <c r="BM421" s="46"/>
      <c r="BN421" s="46"/>
      <c r="BO421" s="21">
        <f t="shared" si="158"/>
        <v>0</v>
      </c>
      <c r="BP421" s="13"/>
      <c r="BQ421" s="13"/>
      <c r="BR421" s="13"/>
      <c r="BS421" s="13"/>
      <c r="BT421" s="14"/>
      <c r="BU421" s="107"/>
      <c r="BV421" s="107"/>
      <c r="BW421" s="107"/>
      <c r="BX421" s="107"/>
      <c r="BY421" s="107"/>
      <c r="BZ421" s="107"/>
      <c r="CA421" s="111"/>
      <c r="CB421" s="107"/>
      <c r="CC421" s="107"/>
      <c r="CD421" s="107"/>
      <c r="CE421" s="107"/>
      <c r="CF421" s="107"/>
      <c r="CG421" s="107"/>
      <c r="CH421" s="107"/>
      <c r="CI421" s="107"/>
      <c r="CJ421" s="107"/>
    </row>
    <row r="422">
      <c r="A422" s="105"/>
      <c r="B422" s="47"/>
      <c r="C422" s="25"/>
      <c r="D422" s="41"/>
      <c r="E422" s="46"/>
      <c r="F422" s="46"/>
      <c r="G422" s="21">
        <f t="shared" si="153"/>
        <v>0</v>
      </c>
      <c r="H422" s="13"/>
      <c r="I422" s="13"/>
      <c r="J422" s="13"/>
      <c r="K422" s="13"/>
      <c r="L422" s="14"/>
      <c r="M422" s="38"/>
      <c r="N422" s="47"/>
      <c r="O422" s="25"/>
      <c r="P422" s="41"/>
      <c r="Q422" s="46"/>
      <c r="R422" s="46"/>
      <c r="S422" s="21">
        <f t="shared" si="154"/>
        <v>0</v>
      </c>
      <c r="T422" s="13"/>
      <c r="U422" s="116"/>
      <c r="V422" s="117" t="s">
        <v>78</v>
      </c>
      <c r="W422" s="116"/>
      <c r="X422" s="14"/>
      <c r="Y422" s="38"/>
      <c r="Z422" s="47"/>
      <c r="AA422" s="25"/>
      <c r="AB422" s="41"/>
      <c r="AC422" s="46"/>
      <c r="AD422" s="46"/>
      <c r="AE422" s="21">
        <f t="shared" si="155"/>
        <v>0</v>
      </c>
      <c r="AF422" s="13"/>
      <c r="AG422" s="116"/>
      <c r="AH422" s="117" t="s">
        <v>59</v>
      </c>
      <c r="AI422" s="116"/>
      <c r="AJ422" s="14"/>
      <c r="AK422" s="38"/>
      <c r="AL422" s="47"/>
      <c r="AM422" s="25"/>
      <c r="AN422" s="41"/>
      <c r="AO422" s="46"/>
      <c r="AP422" s="46"/>
      <c r="AQ422" s="21">
        <f t="shared" si="156"/>
        <v>0</v>
      </c>
      <c r="AR422" s="13"/>
      <c r="AS422" s="116"/>
      <c r="AT422" s="117" t="s">
        <v>60</v>
      </c>
      <c r="AU422" s="116"/>
      <c r="AV422" s="14"/>
      <c r="AW422" s="38"/>
      <c r="AX422" s="47"/>
      <c r="AY422" s="25"/>
      <c r="AZ422" s="41"/>
      <c r="BA422" s="46"/>
      <c r="BB422" s="46"/>
      <c r="BC422" s="21">
        <f t="shared" si="157"/>
        <v>0</v>
      </c>
      <c r="BD422" s="13"/>
      <c r="BE422" s="116"/>
      <c r="BF422" s="117"/>
      <c r="BG422" s="116"/>
      <c r="BH422" s="14"/>
      <c r="BI422" s="38"/>
      <c r="BJ422" s="47"/>
      <c r="BK422" s="25"/>
      <c r="BL422" s="41"/>
      <c r="BM422" s="46"/>
      <c r="BN422" s="46"/>
      <c r="BO422" s="21">
        <f t="shared" si="158"/>
        <v>0</v>
      </c>
      <c r="BP422" s="13"/>
      <c r="BQ422" s="116"/>
      <c r="BR422" s="117" t="s">
        <v>59</v>
      </c>
      <c r="BS422" s="116"/>
      <c r="BT422" s="14"/>
      <c r="BU422" s="107"/>
      <c r="BV422" s="107"/>
      <c r="BW422" s="107"/>
      <c r="BX422" s="107"/>
      <c r="BY422" s="107"/>
      <c r="BZ422" s="107"/>
      <c r="CA422" s="111"/>
      <c r="CB422" s="107"/>
      <c r="CC422" s="107"/>
      <c r="CD422" s="107"/>
      <c r="CE422" s="107"/>
      <c r="CF422" s="107"/>
      <c r="CG422" s="107"/>
      <c r="CH422" s="107"/>
      <c r="CI422" s="107"/>
      <c r="CJ422" s="107"/>
    </row>
    <row r="423">
      <c r="A423" s="38"/>
      <c r="B423" s="47"/>
      <c r="C423" s="25"/>
      <c r="D423" s="41"/>
      <c r="E423" s="46"/>
      <c r="F423" s="46"/>
      <c r="G423" s="21">
        <f t="shared" si="153"/>
        <v>0</v>
      </c>
      <c r="H423" s="116"/>
      <c r="I423" s="117" t="s">
        <v>61</v>
      </c>
      <c r="J423" s="116"/>
      <c r="K423" s="13"/>
      <c r="L423" s="14"/>
      <c r="M423" s="38"/>
      <c r="N423" s="47"/>
      <c r="O423" s="25"/>
      <c r="P423" s="41"/>
      <c r="Q423" s="46"/>
      <c r="R423" s="46"/>
      <c r="S423" s="21">
        <f t="shared" si="154"/>
        <v>0</v>
      </c>
      <c r="T423" s="13"/>
      <c r="U423" s="118">
        <v>0.01</v>
      </c>
      <c r="V423" s="118">
        <v>0.01</v>
      </c>
      <c r="W423" s="117" t="s">
        <v>80</v>
      </c>
      <c r="X423" s="14"/>
      <c r="Y423" s="38"/>
      <c r="Z423" s="47"/>
      <c r="AA423" s="25"/>
      <c r="AB423" s="41"/>
      <c r="AC423" s="46"/>
      <c r="AD423" s="46"/>
      <c r="AE423" s="21">
        <f t="shared" si="155"/>
        <v>0</v>
      </c>
      <c r="AF423" s="13"/>
      <c r="AG423" s="118">
        <v>0.02</v>
      </c>
      <c r="AH423" s="118">
        <v>0.04</v>
      </c>
      <c r="AI423" s="118">
        <v>0.06</v>
      </c>
      <c r="AJ423" s="14"/>
      <c r="AK423" s="38"/>
      <c r="AL423" s="47"/>
      <c r="AM423" s="25"/>
      <c r="AN423" s="41"/>
      <c r="AO423" s="46"/>
      <c r="AP423" s="46"/>
      <c r="AQ423" s="21">
        <f t="shared" si="156"/>
        <v>0</v>
      </c>
      <c r="AR423" s="13"/>
      <c r="AS423" s="118">
        <v>0.03</v>
      </c>
      <c r="AT423" s="118">
        <v>0.05</v>
      </c>
      <c r="AU423" s="118">
        <v>0.07</v>
      </c>
      <c r="AV423" s="14"/>
      <c r="AW423" s="38"/>
      <c r="AX423" s="47"/>
      <c r="AY423" s="25"/>
      <c r="AZ423" s="41"/>
      <c r="BA423" s="46"/>
      <c r="BB423" s="46"/>
      <c r="BC423" s="21">
        <f t="shared" si="157"/>
        <v>0</v>
      </c>
      <c r="BD423" s="13"/>
      <c r="BE423" s="118"/>
      <c r="BF423" s="118"/>
      <c r="BG423" s="117"/>
      <c r="BH423" s="14"/>
      <c r="BI423" s="38"/>
      <c r="BJ423" s="47"/>
      <c r="BK423" s="25"/>
      <c r="BL423" s="41"/>
      <c r="BM423" s="46"/>
      <c r="BN423" s="46"/>
      <c r="BO423" s="21">
        <f t="shared" si="158"/>
        <v>0</v>
      </c>
      <c r="BP423" s="13"/>
      <c r="BQ423" s="118">
        <v>0.03</v>
      </c>
      <c r="BR423" s="118">
        <v>0.05</v>
      </c>
      <c r="BS423" s="118">
        <v>0.07</v>
      </c>
      <c r="BT423" s="14"/>
      <c r="BU423" s="107"/>
      <c r="BV423" s="107"/>
      <c r="BW423" s="107"/>
      <c r="BX423" s="107"/>
      <c r="BY423" s="107"/>
      <c r="BZ423" s="107"/>
      <c r="CA423" s="111"/>
      <c r="CB423" s="107"/>
      <c r="CC423" s="107"/>
      <c r="CD423" s="107"/>
      <c r="CE423" s="107"/>
      <c r="CF423" s="107"/>
      <c r="CG423" s="107"/>
      <c r="CH423" s="107"/>
      <c r="CI423" s="107"/>
      <c r="CJ423" s="107"/>
    </row>
    <row r="424">
      <c r="A424" s="38"/>
      <c r="B424" s="47"/>
      <c r="C424" s="25"/>
      <c r="D424" s="41"/>
      <c r="E424" s="46"/>
      <c r="F424" s="46"/>
      <c r="G424" s="21">
        <f t="shared" si="153"/>
        <v>0</v>
      </c>
      <c r="H424" s="118">
        <v>0.03</v>
      </c>
      <c r="I424" s="118">
        <v>0.05</v>
      </c>
      <c r="J424" s="118">
        <v>0.07</v>
      </c>
      <c r="K424" s="13"/>
      <c r="L424" s="14"/>
      <c r="M424" s="38"/>
      <c r="N424" s="47"/>
      <c r="O424" s="25"/>
      <c r="P424" s="41"/>
      <c r="Q424" s="46"/>
      <c r="R424" s="46"/>
      <c r="S424" s="21">
        <f t="shared" si="154"/>
        <v>0</v>
      </c>
      <c r="T424" s="13"/>
      <c r="U424" s="117">
        <v>5.0</v>
      </c>
      <c r="V424" s="117">
        <v>7.0</v>
      </c>
      <c r="W424" s="117">
        <v>10.0</v>
      </c>
      <c r="X424" s="14"/>
      <c r="Y424" s="38"/>
      <c r="Z424" s="47"/>
      <c r="AA424" s="25"/>
      <c r="AB424" s="41"/>
      <c r="AC424" s="46"/>
      <c r="AD424" s="46"/>
      <c r="AE424" s="21">
        <f t="shared" si="155"/>
        <v>0</v>
      </c>
      <c r="AF424" s="13"/>
      <c r="AG424" s="117">
        <v>5.0</v>
      </c>
      <c r="AH424" s="117">
        <v>7.0</v>
      </c>
      <c r="AI424" s="117">
        <v>10.0</v>
      </c>
      <c r="AJ424" s="14"/>
      <c r="AK424" s="38"/>
      <c r="AL424" s="47"/>
      <c r="AM424" s="25"/>
      <c r="AN424" s="41"/>
      <c r="AO424" s="46"/>
      <c r="AP424" s="46"/>
      <c r="AQ424" s="21">
        <f t="shared" si="156"/>
        <v>0</v>
      </c>
      <c r="AR424" s="13"/>
      <c r="AS424" s="117">
        <v>5.0</v>
      </c>
      <c r="AT424" s="117">
        <v>7.0</v>
      </c>
      <c r="AU424" s="117">
        <v>10.0</v>
      </c>
      <c r="AV424" s="14"/>
      <c r="AW424" s="38"/>
      <c r="AX424" s="47"/>
      <c r="AY424" s="25"/>
      <c r="AZ424" s="41"/>
      <c r="BA424" s="46"/>
      <c r="BB424" s="46"/>
      <c r="BC424" s="21">
        <f t="shared" si="157"/>
        <v>0</v>
      </c>
      <c r="BD424" s="13"/>
      <c r="BE424" s="117"/>
      <c r="BF424" s="117"/>
      <c r="BG424" s="117"/>
      <c r="BH424" s="14"/>
      <c r="BI424" s="38"/>
      <c r="BJ424" s="47"/>
      <c r="BK424" s="25"/>
      <c r="BL424" s="41"/>
      <c r="BM424" s="46"/>
      <c r="BN424" s="46"/>
      <c r="BO424" s="21">
        <f t="shared" si="158"/>
        <v>0</v>
      </c>
      <c r="BP424" s="13"/>
      <c r="BQ424" s="117">
        <v>5.0</v>
      </c>
      <c r="BR424" s="117">
        <v>7.0</v>
      </c>
      <c r="BS424" s="117">
        <v>10.0</v>
      </c>
      <c r="BT424" s="14"/>
      <c r="BU424" s="107"/>
      <c r="BV424" s="107"/>
      <c r="BW424" s="107"/>
      <c r="BX424" s="107"/>
      <c r="BY424" s="107"/>
      <c r="BZ424" s="107"/>
      <c r="CA424" s="111"/>
      <c r="CB424" s="107"/>
      <c r="CC424" s="107"/>
      <c r="CD424" s="107"/>
      <c r="CE424" s="107"/>
      <c r="CF424" s="107"/>
      <c r="CG424" s="107"/>
      <c r="CH424" s="107"/>
      <c r="CI424" s="107"/>
      <c r="CJ424" s="107"/>
    </row>
    <row r="425">
      <c r="A425" s="38"/>
      <c r="B425" s="32"/>
      <c r="C425" s="25"/>
      <c r="D425" s="41"/>
      <c r="E425" s="49"/>
      <c r="F425" s="49"/>
      <c r="G425" s="21">
        <f t="shared" si="153"/>
        <v>0</v>
      </c>
      <c r="H425" s="117">
        <v>5.0</v>
      </c>
      <c r="I425" s="117">
        <v>7.0</v>
      </c>
      <c r="J425" s="117">
        <v>10.0</v>
      </c>
      <c r="K425" s="13"/>
      <c r="L425" s="14"/>
      <c r="M425" s="38"/>
      <c r="N425" s="32"/>
      <c r="O425" s="25"/>
      <c r="P425" s="41"/>
      <c r="Q425" s="49"/>
      <c r="R425" s="49"/>
      <c r="S425" s="21">
        <f t="shared" si="154"/>
        <v>0</v>
      </c>
      <c r="T425" s="13"/>
      <c r="U425" s="13"/>
      <c r="V425" s="13"/>
      <c r="W425" s="13"/>
      <c r="X425" s="14"/>
      <c r="Y425" s="38"/>
      <c r="Z425" s="32"/>
      <c r="AA425" s="25"/>
      <c r="AB425" s="41"/>
      <c r="AC425" s="49"/>
      <c r="AD425" s="49"/>
      <c r="AE425" s="21">
        <f t="shared" si="155"/>
        <v>0</v>
      </c>
      <c r="AF425" s="13"/>
      <c r="AG425" s="13"/>
      <c r="AH425" s="13"/>
      <c r="AI425" s="13"/>
      <c r="AJ425" s="14"/>
      <c r="AK425" s="38"/>
      <c r="AL425" s="32"/>
      <c r="AM425" s="25"/>
      <c r="AN425" s="41"/>
      <c r="AO425" s="49"/>
      <c r="AP425" s="49"/>
      <c r="AQ425" s="21">
        <f t="shared" si="156"/>
        <v>0</v>
      </c>
      <c r="AR425" s="13"/>
      <c r="AS425" s="13"/>
      <c r="AT425" s="13"/>
      <c r="AU425" s="13"/>
      <c r="AV425" s="14"/>
      <c r="AW425" s="38"/>
      <c r="AX425" s="32"/>
      <c r="AY425" s="25"/>
      <c r="AZ425" s="41"/>
      <c r="BA425" s="49"/>
      <c r="BB425" s="49"/>
      <c r="BC425" s="21">
        <f t="shared" si="157"/>
        <v>0</v>
      </c>
      <c r="BD425" s="13"/>
      <c r="BE425" s="13"/>
      <c r="BF425" s="13"/>
      <c r="BG425" s="13"/>
      <c r="BH425" s="14"/>
      <c r="BI425" s="38"/>
      <c r="BJ425" s="32"/>
      <c r="BK425" s="25"/>
      <c r="BL425" s="41"/>
      <c r="BM425" s="49"/>
      <c r="BN425" s="49"/>
      <c r="BO425" s="21">
        <f t="shared" si="158"/>
        <v>0</v>
      </c>
      <c r="BP425" s="13"/>
      <c r="BQ425" s="13"/>
      <c r="BR425" s="13"/>
      <c r="BS425" s="13"/>
      <c r="BT425" s="14"/>
      <c r="BU425" s="107"/>
      <c r="BV425" s="107"/>
      <c r="BW425" s="107"/>
      <c r="BX425" s="107"/>
      <c r="BY425" s="107"/>
      <c r="BZ425" s="107"/>
      <c r="CA425" s="111"/>
      <c r="CB425" s="107"/>
      <c r="CC425" s="107"/>
      <c r="CD425" s="107"/>
      <c r="CE425" s="107"/>
      <c r="CF425" s="107"/>
      <c r="CG425" s="107"/>
      <c r="CH425" s="107"/>
      <c r="CI425" s="107"/>
      <c r="CJ425" s="107"/>
    </row>
    <row r="426">
      <c r="A426" s="38"/>
      <c r="B426" s="32"/>
      <c r="C426" s="25"/>
      <c r="D426" s="41"/>
      <c r="E426" s="49"/>
      <c r="F426" s="49"/>
      <c r="G426" s="21">
        <f t="shared" si="153"/>
        <v>0</v>
      </c>
      <c r="H426" s="13"/>
      <c r="I426" s="13"/>
      <c r="J426" s="13"/>
      <c r="K426" s="13"/>
      <c r="L426" s="14"/>
      <c r="M426" s="38"/>
      <c r="N426" s="32"/>
      <c r="O426" s="25"/>
      <c r="P426" s="41"/>
      <c r="Q426" s="49"/>
      <c r="R426" s="49"/>
      <c r="S426" s="21">
        <f t="shared" si="154"/>
        <v>0</v>
      </c>
      <c r="T426" s="13"/>
      <c r="U426" s="13"/>
      <c r="V426" s="13"/>
      <c r="W426" s="13"/>
      <c r="X426" s="14"/>
      <c r="Y426" s="38"/>
      <c r="Z426" s="32"/>
      <c r="AA426" s="25"/>
      <c r="AB426" s="41"/>
      <c r="AC426" s="49"/>
      <c r="AD426" s="49"/>
      <c r="AE426" s="21">
        <f t="shared" si="155"/>
        <v>0</v>
      </c>
      <c r="AF426" s="13"/>
      <c r="AG426" s="13"/>
      <c r="AH426" s="13"/>
      <c r="AI426" s="13"/>
      <c r="AJ426" s="14"/>
      <c r="AK426" s="38"/>
      <c r="AL426" s="32"/>
      <c r="AM426" s="25"/>
      <c r="AN426" s="41"/>
      <c r="AO426" s="49"/>
      <c r="AP426" s="49"/>
      <c r="AQ426" s="21">
        <f t="shared" si="156"/>
        <v>0</v>
      </c>
      <c r="AR426" s="13"/>
      <c r="AS426" s="13"/>
      <c r="AT426" s="13"/>
      <c r="AU426" s="13"/>
      <c r="AV426" s="14"/>
      <c r="AW426" s="38"/>
      <c r="AX426" s="32"/>
      <c r="AY426" s="25"/>
      <c r="AZ426" s="41"/>
      <c r="BA426" s="49"/>
      <c r="BB426" s="49"/>
      <c r="BC426" s="21">
        <f t="shared" si="157"/>
        <v>0</v>
      </c>
      <c r="BD426" s="13"/>
      <c r="BE426" s="13"/>
      <c r="BF426" s="13"/>
      <c r="BG426" s="13"/>
      <c r="BH426" s="14"/>
      <c r="BI426" s="38"/>
      <c r="BJ426" s="32"/>
      <c r="BK426" s="25"/>
      <c r="BL426" s="41"/>
      <c r="BM426" s="49"/>
      <c r="BN426" s="49"/>
      <c r="BO426" s="21">
        <f t="shared" si="158"/>
        <v>0</v>
      </c>
      <c r="BP426" s="13"/>
      <c r="BQ426" s="13"/>
      <c r="BR426" s="13"/>
      <c r="BS426" s="13"/>
      <c r="BT426" s="14"/>
      <c r="BU426" s="107"/>
      <c r="BV426" s="107"/>
      <c r="BW426" s="107"/>
      <c r="BX426" s="107"/>
      <c r="BY426" s="107"/>
      <c r="BZ426" s="107"/>
      <c r="CA426" s="111"/>
      <c r="CB426" s="107"/>
      <c r="CC426" s="107"/>
      <c r="CD426" s="107"/>
      <c r="CE426" s="107"/>
      <c r="CF426" s="107"/>
      <c r="CG426" s="107"/>
      <c r="CH426" s="107"/>
      <c r="CI426" s="107"/>
      <c r="CJ426" s="107"/>
    </row>
    <row r="427">
      <c r="A427" s="38"/>
      <c r="B427" s="32"/>
      <c r="C427" s="25"/>
      <c r="D427" s="41"/>
      <c r="E427" s="49"/>
      <c r="F427" s="49"/>
      <c r="G427" s="21">
        <f t="shared" si="153"/>
        <v>0</v>
      </c>
      <c r="H427" s="13"/>
      <c r="I427" s="13"/>
      <c r="J427" s="67"/>
      <c r="K427" s="13"/>
      <c r="L427" s="14"/>
      <c r="M427" s="38"/>
      <c r="N427" s="32"/>
      <c r="O427" s="25"/>
      <c r="P427" s="41"/>
      <c r="Q427" s="49"/>
      <c r="R427" s="49"/>
      <c r="S427" s="21">
        <f t="shared" si="154"/>
        <v>0</v>
      </c>
      <c r="T427" s="13"/>
      <c r="U427" s="13"/>
      <c r="V427" s="13"/>
      <c r="W427" s="13"/>
      <c r="X427" s="14"/>
      <c r="Y427" s="38"/>
      <c r="Z427" s="32"/>
      <c r="AA427" s="25"/>
      <c r="AB427" s="41"/>
      <c r="AC427" s="49"/>
      <c r="AD427" s="49"/>
      <c r="AE427" s="21">
        <f t="shared" si="155"/>
        <v>0</v>
      </c>
      <c r="AF427" s="13"/>
      <c r="AG427" s="13"/>
      <c r="AH427" s="13"/>
      <c r="AI427" s="13"/>
      <c r="AJ427" s="14"/>
      <c r="AK427" s="38"/>
      <c r="AL427" s="32"/>
      <c r="AM427" s="25"/>
      <c r="AN427" s="41"/>
      <c r="AO427" s="49"/>
      <c r="AP427" s="49"/>
      <c r="AQ427" s="21">
        <f t="shared" si="156"/>
        <v>0</v>
      </c>
      <c r="AR427" s="13"/>
      <c r="AS427" s="13"/>
      <c r="AT427" s="13"/>
      <c r="AU427" s="13"/>
      <c r="AV427" s="14"/>
      <c r="AW427" s="38"/>
      <c r="AX427" s="32"/>
      <c r="AY427" s="25"/>
      <c r="AZ427" s="41"/>
      <c r="BA427" s="49"/>
      <c r="BB427" s="49"/>
      <c r="BC427" s="21">
        <f t="shared" si="157"/>
        <v>0</v>
      </c>
      <c r="BD427" s="13"/>
      <c r="BE427" s="13"/>
      <c r="BF427" s="13"/>
      <c r="BG427" s="13"/>
      <c r="BH427" s="14"/>
      <c r="BI427" s="38"/>
      <c r="BJ427" s="32"/>
      <c r="BK427" s="25"/>
      <c r="BL427" s="41"/>
      <c r="BM427" s="49"/>
      <c r="BN427" s="49"/>
      <c r="BO427" s="21">
        <f t="shared" si="158"/>
        <v>0</v>
      </c>
      <c r="BP427" s="13"/>
      <c r="BQ427" s="13"/>
      <c r="BR427" s="13"/>
      <c r="BS427" s="13"/>
      <c r="BT427" s="14"/>
      <c r="BU427" s="107"/>
      <c r="BV427" s="107"/>
      <c r="BW427" s="107"/>
      <c r="BX427" s="107"/>
      <c r="BY427" s="107"/>
      <c r="BZ427" s="107"/>
      <c r="CA427" s="111"/>
      <c r="CB427" s="107"/>
      <c r="CC427" s="107"/>
      <c r="CD427" s="107"/>
      <c r="CE427" s="107"/>
      <c r="CF427" s="107"/>
      <c r="CG427" s="107"/>
      <c r="CH427" s="107"/>
      <c r="CI427" s="107"/>
      <c r="CJ427" s="107"/>
    </row>
    <row r="428">
      <c r="A428" s="38"/>
      <c r="B428" s="32"/>
      <c r="C428" s="25"/>
      <c r="D428" s="41"/>
      <c r="E428" s="46"/>
      <c r="F428" s="46"/>
      <c r="G428" s="21">
        <f t="shared" si="153"/>
        <v>0</v>
      </c>
      <c r="H428" s="13"/>
      <c r="I428" s="67" t="s">
        <v>85</v>
      </c>
      <c r="J428" s="13"/>
      <c r="K428" s="13"/>
      <c r="L428" s="14"/>
      <c r="M428" s="38"/>
      <c r="N428" s="32"/>
      <c r="O428" s="25"/>
      <c r="P428" s="41"/>
      <c r="Q428" s="46"/>
      <c r="R428" s="46"/>
      <c r="S428" s="21">
        <f t="shared" si="154"/>
        <v>0</v>
      </c>
      <c r="T428" s="13"/>
      <c r="U428" s="13"/>
      <c r="V428" s="13"/>
      <c r="W428" s="13"/>
      <c r="X428" s="14"/>
      <c r="Y428" s="38"/>
      <c r="Z428" s="32"/>
      <c r="AA428" s="25"/>
      <c r="AB428" s="41"/>
      <c r="AC428" s="46"/>
      <c r="AD428" s="46"/>
      <c r="AE428" s="21">
        <f t="shared" si="155"/>
        <v>0</v>
      </c>
      <c r="AF428" s="13"/>
      <c r="AG428" s="13"/>
      <c r="AH428" s="13"/>
      <c r="AI428" s="13"/>
      <c r="AJ428" s="14"/>
      <c r="AK428" s="38"/>
      <c r="AL428" s="32"/>
      <c r="AM428" s="25"/>
      <c r="AN428" s="41"/>
      <c r="AO428" s="46"/>
      <c r="AP428" s="46"/>
      <c r="AQ428" s="21">
        <f t="shared" si="156"/>
        <v>0</v>
      </c>
      <c r="AR428" s="13"/>
      <c r="AS428" s="13"/>
      <c r="AT428" s="13"/>
      <c r="AU428" s="13"/>
      <c r="AV428" s="14"/>
      <c r="AW428" s="38"/>
      <c r="AX428" s="32"/>
      <c r="AY428" s="25"/>
      <c r="AZ428" s="41"/>
      <c r="BA428" s="46"/>
      <c r="BB428" s="46"/>
      <c r="BC428" s="21">
        <f t="shared" si="157"/>
        <v>0</v>
      </c>
      <c r="BD428" s="13"/>
      <c r="BE428" s="13"/>
      <c r="BF428" s="13"/>
      <c r="BG428" s="13"/>
      <c r="BH428" s="14"/>
      <c r="BI428" s="38"/>
      <c r="BJ428" s="32"/>
      <c r="BK428" s="25"/>
      <c r="BL428" s="41"/>
      <c r="BM428" s="46"/>
      <c r="BN428" s="46"/>
      <c r="BO428" s="21">
        <f t="shared" si="158"/>
        <v>0</v>
      </c>
      <c r="BP428" s="13"/>
      <c r="BQ428" s="13"/>
      <c r="BR428" s="13"/>
      <c r="BS428" s="13"/>
      <c r="BT428" s="14"/>
      <c r="BU428" s="107"/>
      <c r="BV428" s="107"/>
      <c r="BW428" s="107"/>
      <c r="BX428" s="107"/>
      <c r="BY428" s="107"/>
      <c r="BZ428" s="107"/>
      <c r="CA428" s="111"/>
      <c r="CB428" s="107"/>
      <c r="CC428" s="107"/>
      <c r="CD428" s="107"/>
      <c r="CE428" s="107"/>
      <c r="CF428" s="107"/>
      <c r="CG428" s="107"/>
      <c r="CH428" s="107"/>
      <c r="CI428" s="107"/>
      <c r="CJ428" s="107"/>
    </row>
    <row r="429">
      <c r="A429" s="38"/>
      <c r="B429" s="47"/>
      <c r="C429" s="25"/>
      <c r="D429" s="41"/>
      <c r="E429" s="49"/>
      <c r="F429" s="49"/>
      <c r="G429" s="21">
        <f t="shared" si="153"/>
        <v>0</v>
      </c>
      <c r="H429" s="13"/>
      <c r="I429" s="142">
        <v>40363.0</v>
      </c>
      <c r="J429" s="13"/>
      <c r="K429" s="13"/>
      <c r="L429" s="14"/>
      <c r="M429" s="38"/>
      <c r="N429" s="47"/>
      <c r="O429" s="25"/>
      <c r="P429" s="41"/>
      <c r="Q429" s="49"/>
      <c r="R429" s="49"/>
      <c r="S429" s="21">
        <f t="shared" si="154"/>
        <v>0</v>
      </c>
      <c r="T429" s="13"/>
      <c r="U429" s="67"/>
      <c r="V429" s="67"/>
      <c r="W429" s="13"/>
      <c r="X429" s="14"/>
      <c r="Y429" s="38"/>
      <c r="Z429" s="47"/>
      <c r="AA429" s="25"/>
      <c r="AB429" s="41"/>
      <c r="AC429" s="49"/>
      <c r="AD429" s="49"/>
      <c r="AE429" s="21">
        <f t="shared" si="155"/>
        <v>0</v>
      </c>
      <c r="AF429" s="13"/>
      <c r="AG429" s="13"/>
      <c r="AH429" s="13"/>
      <c r="AI429" s="13"/>
      <c r="AJ429" s="14"/>
      <c r="AK429" s="38"/>
      <c r="AL429" s="47"/>
      <c r="AM429" s="25"/>
      <c r="AN429" s="41"/>
      <c r="AO429" s="49"/>
      <c r="AP429" s="49"/>
      <c r="AQ429" s="21">
        <f t="shared" si="156"/>
        <v>0</v>
      </c>
      <c r="AR429" s="13"/>
      <c r="AS429" s="13"/>
      <c r="AT429" s="13"/>
      <c r="AU429" s="13"/>
      <c r="AV429" s="14"/>
      <c r="AW429" s="38"/>
      <c r="AX429" s="47"/>
      <c r="AY429" s="25"/>
      <c r="AZ429" s="41"/>
      <c r="BA429" s="49"/>
      <c r="BB429" s="49"/>
      <c r="BC429" s="21">
        <f t="shared" si="157"/>
        <v>0</v>
      </c>
      <c r="BD429" s="13"/>
      <c r="BE429" s="13"/>
      <c r="BF429" s="13"/>
      <c r="BG429" s="13"/>
      <c r="BH429" s="14"/>
      <c r="BI429" s="38"/>
      <c r="BJ429" s="47"/>
      <c r="BK429" s="25"/>
      <c r="BL429" s="41"/>
      <c r="BM429" s="49"/>
      <c r="BN429" s="49"/>
      <c r="BO429" s="21">
        <f t="shared" si="158"/>
        <v>0</v>
      </c>
      <c r="BP429" s="13"/>
      <c r="BQ429" s="13"/>
      <c r="BR429" s="13"/>
      <c r="BS429" s="13"/>
      <c r="BT429" s="14"/>
      <c r="BU429" s="107"/>
      <c r="BV429" s="107"/>
      <c r="BW429" s="107"/>
      <c r="BX429" s="107"/>
      <c r="BY429" s="107"/>
      <c r="BZ429" s="107"/>
      <c r="CA429" s="111"/>
      <c r="CB429" s="107"/>
      <c r="CC429" s="107"/>
      <c r="CD429" s="107"/>
      <c r="CE429" s="107"/>
      <c r="CF429" s="107"/>
      <c r="CG429" s="107"/>
      <c r="CH429" s="107"/>
      <c r="CI429" s="107"/>
      <c r="CJ429" s="107"/>
    </row>
    <row r="430">
      <c r="A430" s="38"/>
      <c r="B430" s="32"/>
      <c r="C430" s="25"/>
      <c r="D430" s="41"/>
      <c r="E430" s="49"/>
      <c r="F430" s="49"/>
      <c r="G430" s="21">
        <f t="shared" si="153"/>
        <v>0</v>
      </c>
      <c r="H430" s="13"/>
      <c r="I430" s="67"/>
      <c r="J430" s="13"/>
      <c r="K430" s="13"/>
      <c r="L430" s="14"/>
      <c r="M430" s="38"/>
      <c r="N430" s="32"/>
      <c r="O430" s="25"/>
      <c r="P430" s="41"/>
      <c r="Q430" s="49"/>
      <c r="R430" s="49"/>
      <c r="S430" s="21">
        <f t="shared" si="154"/>
        <v>0</v>
      </c>
      <c r="T430" s="13"/>
      <c r="U430" s="13"/>
      <c r="V430" s="13"/>
      <c r="W430" s="13"/>
      <c r="X430" s="14"/>
      <c r="Y430" s="38"/>
      <c r="Z430" s="32"/>
      <c r="AA430" s="25"/>
      <c r="AB430" s="41"/>
      <c r="AC430" s="49"/>
      <c r="AD430" s="49"/>
      <c r="AE430" s="21">
        <f t="shared" si="155"/>
        <v>0</v>
      </c>
      <c r="AF430" s="13"/>
      <c r="AG430" s="13"/>
      <c r="AH430" s="13"/>
      <c r="AI430" s="13"/>
      <c r="AJ430" s="14"/>
      <c r="AK430" s="38"/>
      <c r="AL430" s="32"/>
      <c r="AM430" s="25"/>
      <c r="AN430" s="41"/>
      <c r="AO430" s="49"/>
      <c r="AP430" s="49"/>
      <c r="AQ430" s="21">
        <f t="shared" si="156"/>
        <v>0</v>
      </c>
      <c r="AR430" s="13"/>
      <c r="AS430" s="13"/>
      <c r="AT430" s="13"/>
      <c r="AU430" s="13"/>
      <c r="AV430" s="14"/>
      <c r="AW430" s="38"/>
      <c r="AX430" s="32"/>
      <c r="AY430" s="25"/>
      <c r="AZ430" s="41"/>
      <c r="BA430" s="49"/>
      <c r="BB430" s="49"/>
      <c r="BC430" s="21">
        <f t="shared" si="157"/>
        <v>0</v>
      </c>
      <c r="BD430" s="13"/>
      <c r="BE430" s="13"/>
      <c r="BF430" s="13"/>
      <c r="BG430" s="13"/>
      <c r="BH430" s="14"/>
      <c r="BI430" s="38"/>
      <c r="BJ430" s="32"/>
      <c r="BK430" s="25"/>
      <c r="BL430" s="41"/>
      <c r="BM430" s="49"/>
      <c r="BN430" s="49"/>
      <c r="BO430" s="21">
        <f t="shared" si="158"/>
        <v>0</v>
      </c>
      <c r="BP430" s="13"/>
      <c r="BQ430" s="13"/>
      <c r="BR430" s="13"/>
      <c r="BS430" s="13"/>
      <c r="BT430" s="14"/>
      <c r="BU430" s="107"/>
      <c r="BV430" s="107"/>
      <c r="BW430" s="107"/>
      <c r="BX430" s="107"/>
      <c r="BY430" s="107"/>
      <c r="BZ430" s="107"/>
      <c r="CA430" s="111"/>
      <c r="CB430" s="107"/>
      <c r="CC430" s="107"/>
      <c r="CD430" s="107"/>
      <c r="CE430" s="107"/>
      <c r="CF430" s="107"/>
      <c r="CG430" s="107"/>
      <c r="CH430" s="107"/>
      <c r="CI430" s="107"/>
      <c r="CJ430" s="107"/>
    </row>
    <row r="431">
      <c r="A431" s="38"/>
      <c r="B431" s="32"/>
      <c r="C431" s="25"/>
      <c r="D431" s="41"/>
      <c r="E431" s="49"/>
      <c r="F431" s="49"/>
      <c r="G431" s="21">
        <f t="shared" si="153"/>
        <v>0</v>
      </c>
      <c r="H431" s="13"/>
      <c r="I431" s="67"/>
      <c r="J431" s="13"/>
      <c r="K431" s="13"/>
      <c r="L431" s="14"/>
      <c r="M431" s="38"/>
      <c r="N431" s="32"/>
      <c r="O431" s="25"/>
      <c r="P431" s="41"/>
      <c r="Q431" s="49"/>
      <c r="R431" s="49"/>
      <c r="S431" s="21">
        <f t="shared" si="154"/>
        <v>0</v>
      </c>
      <c r="T431" s="13"/>
      <c r="U431" s="13"/>
      <c r="V431" s="13"/>
      <c r="W431" s="13"/>
      <c r="X431" s="14"/>
      <c r="Y431" s="38"/>
      <c r="Z431" s="32"/>
      <c r="AA431" s="25"/>
      <c r="AB431" s="41"/>
      <c r="AC431" s="49"/>
      <c r="AD431" s="49"/>
      <c r="AE431" s="21">
        <f t="shared" si="155"/>
        <v>0</v>
      </c>
      <c r="AF431" s="13"/>
      <c r="AG431" s="13"/>
      <c r="AH431" s="13"/>
      <c r="AI431" s="13"/>
      <c r="AJ431" s="14"/>
      <c r="AK431" s="38"/>
      <c r="AL431" s="32"/>
      <c r="AM431" s="25"/>
      <c r="AN431" s="41"/>
      <c r="AO431" s="49"/>
      <c r="AP431" s="49"/>
      <c r="AQ431" s="21">
        <f t="shared" si="156"/>
        <v>0</v>
      </c>
      <c r="AR431" s="13"/>
      <c r="AS431" s="13"/>
      <c r="AT431" s="13"/>
      <c r="AU431" s="13"/>
      <c r="AV431" s="14"/>
      <c r="AW431" s="38"/>
      <c r="AX431" s="32"/>
      <c r="AY431" s="25"/>
      <c r="AZ431" s="41"/>
      <c r="BA431" s="49"/>
      <c r="BB431" s="49"/>
      <c r="BC431" s="21">
        <f t="shared" si="157"/>
        <v>0</v>
      </c>
      <c r="BD431" s="13"/>
      <c r="BE431" s="13"/>
      <c r="BF431" s="13"/>
      <c r="BG431" s="13"/>
      <c r="BH431" s="14"/>
      <c r="BI431" s="38"/>
      <c r="BJ431" s="32"/>
      <c r="BK431" s="25"/>
      <c r="BL431" s="41"/>
      <c r="BM431" s="49"/>
      <c r="BN431" s="49"/>
      <c r="BO431" s="21">
        <f t="shared" si="158"/>
        <v>0</v>
      </c>
      <c r="BP431" s="13"/>
      <c r="BQ431" s="13"/>
      <c r="BR431" s="13"/>
      <c r="BS431" s="13"/>
      <c r="BT431" s="14"/>
      <c r="BU431" s="107"/>
      <c r="BV431" s="107"/>
      <c r="BW431" s="107"/>
      <c r="BX431" s="107"/>
      <c r="BY431" s="107"/>
      <c r="BZ431" s="107"/>
      <c r="CA431" s="111"/>
      <c r="CB431" s="107"/>
      <c r="CC431" s="107"/>
      <c r="CD431" s="107"/>
      <c r="CE431" s="107"/>
      <c r="CF431" s="107"/>
      <c r="CG431" s="107"/>
      <c r="CH431" s="107"/>
      <c r="CI431" s="107"/>
      <c r="CJ431" s="107"/>
    </row>
    <row r="432">
      <c r="A432" s="50"/>
      <c r="B432" s="32"/>
      <c r="C432" s="25"/>
      <c r="D432" s="41"/>
      <c r="E432" s="49"/>
      <c r="F432" s="49"/>
      <c r="G432" s="88">
        <f t="shared" si="153"/>
        <v>0</v>
      </c>
      <c r="H432" s="89"/>
      <c r="I432" s="104"/>
      <c r="J432" s="89"/>
      <c r="K432" s="89"/>
      <c r="L432" s="90"/>
      <c r="M432" s="50"/>
      <c r="N432" s="32"/>
      <c r="O432" s="25"/>
      <c r="P432" s="41"/>
      <c r="Q432" s="49"/>
      <c r="R432" s="49"/>
      <c r="S432" s="21">
        <f t="shared" si="154"/>
        <v>0</v>
      </c>
      <c r="T432" s="89"/>
      <c r="U432" s="89"/>
      <c r="V432" s="89"/>
      <c r="W432" s="89"/>
      <c r="X432" s="90"/>
      <c r="Y432" s="50"/>
      <c r="Z432" s="32"/>
      <c r="AA432" s="25"/>
      <c r="AB432" s="41"/>
      <c r="AC432" s="49"/>
      <c r="AD432" s="49"/>
      <c r="AE432" s="21">
        <f t="shared" si="155"/>
        <v>0</v>
      </c>
      <c r="AF432" s="89"/>
      <c r="AG432" s="89"/>
      <c r="AH432" s="89"/>
      <c r="AI432" s="89"/>
      <c r="AJ432" s="90"/>
      <c r="AK432" s="50"/>
      <c r="AL432" s="32"/>
      <c r="AM432" s="25"/>
      <c r="AN432" s="41"/>
      <c r="AO432" s="49"/>
      <c r="AP432" s="49"/>
      <c r="AQ432" s="21">
        <f t="shared" si="156"/>
        <v>0</v>
      </c>
      <c r="AR432" s="89"/>
      <c r="AS432" s="89"/>
      <c r="AT432" s="89"/>
      <c r="AU432" s="89"/>
      <c r="AV432" s="90"/>
      <c r="AW432" s="50"/>
      <c r="AX432" s="32"/>
      <c r="AY432" s="25"/>
      <c r="AZ432" s="41"/>
      <c r="BA432" s="49"/>
      <c r="BB432" s="49"/>
      <c r="BC432" s="21">
        <f t="shared" si="157"/>
        <v>0</v>
      </c>
      <c r="BD432" s="89"/>
      <c r="BE432" s="89"/>
      <c r="BF432" s="89"/>
      <c r="BG432" s="89"/>
      <c r="BH432" s="90"/>
      <c r="BI432" s="50"/>
      <c r="BJ432" s="32"/>
      <c r="BK432" s="25"/>
      <c r="BL432" s="41"/>
      <c r="BM432" s="49"/>
      <c r="BN432" s="49"/>
      <c r="BO432" s="21">
        <f t="shared" si="158"/>
        <v>0</v>
      </c>
      <c r="BP432" s="89"/>
      <c r="BQ432" s="89"/>
      <c r="BR432" s="89"/>
      <c r="BS432" s="89"/>
      <c r="BT432" s="90"/>
      <c r="BU432" s="107"/>
      <c r="BV432" s="107"/>
      <c r="BW432" s="107"/>
      <c r="BX432" s="107"/>
      <c r="BY432" s="107"/>
      <c r="BZ432" s="107"/>
      <c r="CA432" s="111"/>
      <c r="CB432" s="107"/>
      <c r="CC432" s="107"/>
      <c r="CD432" s="107"/>
      <c r="CE432" s="107"/>
      <c r="CF432" s="107"/>
      <c r="CG432" s="107"/>
      <c r="CH432" s="107"/>
      <c r="CI432" s="107"/>
      <c r="CJ432" s="107"/>
    </row>
    <row r="433">
      <c r="A433" s="1" t="s">
        <v>0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1" t="s">
        <v>2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3"/>
      <c r="Y433" s="1" t="s">
        <v>88</v>
      </c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3"/>
      <c r="AK433" s="1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3"/>
      <c r="AW433" s="1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3"/>
      <c r="BI433" s="1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3"/>
      <c r="BU433" s="4"/>
      <c r="CG433" s="107"/>
      <c r="CH433" s="107"/>
      <c r="CI433" s="107"/>
      <c r="CJ433" s="107"/>
    </row>
    <row r="434">
      <c r="A434" s="5" t="s">
        <v>94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5" t="s">
        <v>94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5" t="s">
        <v>94</v>
      </c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5" t="s">
        <v>94</v>
      </c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5" t="s">
        <v>94</v>
      </c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5" t="s">
        <v>94</v>
      </c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5" t="s">
        <v>94</v>
      </c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107"/>
      <c r="CH434" s="107"/>
      <c r="CI434" s="107"/>
      <c r="CJ434" s="107"/>
    </row>
    <row r="435">
      <c r="A435" s="7" t="s">
        <v>5</v>
      </c>
      <c r="B435" s="8" t="s">
        <v>6</v>
      </c>
      <c r="C435" s="9" t="s">
        <v>7</v>
      </c>
      <c r="D435" s="10" t="s">
        <v>8</v>
      </c>
      <c r="E435" s="11" t="s">
        <v>9</v>
      </c>
      <c r="F435" s="11" t="s">
        <v>10</v>
      </c>
      <c r="G435" s="12" t="s">
        <v>11</v>
      </c>
      <c r="H435" s="12" t="s">
        <v>12</v>
      </c>
      <c r="I435" s="12" t="s">
        <v>13</v>
      </c>
      <c r="J435" s="13" t="s">
        <v>14</v>
      </c>
      <c r="K435" s="67" t="s">
        <v>15</v>
      </c>
      <c r="L435" s="14" t="s">
        <v>16</v>
      </c>
      <c r="M435" s="7" t="s">
        <v>5</v>
      </c>
      <c r="N435" s="8" t="s">
        <v>6</v>
      </c>
      <c r="O435" s="9" t="s">
        <v>7</v>
      </c>
      <c r="P435" s="10" t="s">
        <v>8</v>
      </c>
      <c r="Q435" s="11" t="s">
        <v>9</v>
      </c>
      <c r="R435" s="11" t="s">
        <v>10</v>
      </c>
      <c r="S435" s="12" t="s">
        <v>11</v>
      </c>
      <c r="T435" s="12" t="s">
        <v>12</v>
      </c>
      <c r="U435" s="12" t="s">
        <v>13</v>
      </c>
      <c r="V435" s="13" t="s">
        <v>14</v>
      </c>
      <c r="W435" s="13" t="s">
        <v>15</v>
      </c>
      <c r="X435" s="14" t="s">
        <v>16</v>
      </c>
      <c r="Y435" s="7" t="s">
        <v>5</v>
      </c>
      <c r="Z435" s="8" t="s">
        <v>6</v>
      </c>
      <c r="AA435" s="9" t="s">
        <v>7</v>
      </c>
      <c r="AB435" s="10" t="s">
        <v>8</v>
      </c>
      <c r="AC435" s="11" t="s">
        <v>9</v>
      </c>
      <c r="AD435" s="11" t="s">
        <v>10</v>
      </c>
      <c r="AE435" s="12" t="s">
        <v>11</v>
      </c>
      <c r="AF435" s="12" t="s">
        <v>12</v>
      </c>
      <c r="AG435" s="12" t="s">
        <v>13</v>
      </c>
      <c r="AH435" s="13" t="s">
        <v>14</v>
      </c>
      <c r="AI435" s="13" t="s">
        <v>15</v>
      </c>
      <c r="AJ435" s="14" t="s">
        <v>16</v>
      </c>
      <c r="AK435" s="7" t="s">
        <v>5</v>
      </c>
      <c r="AL435" s="8" t="s">
        <v>84</v>
      </c>
      <c r="AM435" s="9" t="s">
        <v>7</v>
      </c>
      <c r="AN435" s="10" t="s">
        <v>8</v>
      </c>
      <c r="AO435" s="11" t="s">
        <v>9</v>
      </c>
      <c r="AP435" s="11" t="s">
        <v>10</v>
      </c>
      <c r="AQ435" s="12" t="s">
        <v>11</v>
      </c>
      <c r="AR435" s="12" t="s">
        <v>12</v>
      </c>
      <c r="AS435" s="12" t="s">
        <v>13</v>
      </c>
      <c r="AT435" s="13" t="s">
        <v>14</v>
      </c>
      <c r="AU435" s="13" t="s">
        <v>15</v>
      </c>
      <c r="AV435" s="14" t="s">
        <v>16</v>
      </c>
      <c r="AW435" s="7" t="s">
        <v>5</v>
      </c>
      <c r="AX435" s="8" t="s">
        <v>6</v>
      </c>
      <c r="AY435" s="9" t="s">
        <v>7</v>
      </c>
      <c r="AZ435" s="10" t="s">
        <v>8</v>
      </c>
      <c r="BA435" s="11" t="s">
        <v>9</v>
      </c>
      <c r="BB435" s="11" t="s">
        <v>10</v>
      </c>
      <c r="BC435" s="12" t="s">
        <v>11</v>
      </c>
      <c r="BD435" s="12" t="s">
        <v>12</v>
      </c>
      <c r="BE435" s="12" t="s">
        <v>13</v>
      </c>
      <c r="BF435" s="13" t="s">
        <v>14</v>
      </c>
      <c r="BG435" s="13" t="s">
        <v>15</v>
      </c>
      <c r="BH435" s="14" t="s">
        <v>16</v>
      </c>
      <c r="BI435" s="7" t="s">
        <v>5</v>
      </c>
      <c r="BJ435" s="8" t="s">
        <v>6</v>
      </c>
      <c r="BK435" s="9" t="s">
        <v>7</v>
      </c>
      <c r="BL435" s="10" t="s">
        <v>8</v>
      </c>
      <c r="BM435" s="11" t="s">
        <v>9</v>
      </c>
      <c r="BN435" s="11" t="s">
        <v>10</v>
      </c>
      <c r="BO435" s="12" t="s">
        <v>11</v>
      </c>
      <c r="BP435" s="12" t="s">
        <v>12</v>
      </c>
      <c r="BQ435" s="12" t="s">
        <v>13</v>
      </c>
      <c r="BR435" s="13" t="s">
        <v>14</v>
      </c>
      <c r="BS435" s="13" t="s">
        <v>15</v>
      </c>
      <c r="BT435" s="14" t="s">
        <v>16</v>
      </c>
      <c r="BU435" s="109"/>
      <c r="BV435" s="108"/>
      <c r="BW435" s="108"/>
      <c r="BX435" s="108"/>
      <c r="BY435" s="108"/>
      <c r="BZ435" s="108"/>
      <c r="CA435" s="109"/>
      <c r="CB435" s="109"/>
      <c r="CC435" s="109"/>
      <c r="CD435" s="107"/>
      <c r="CE435" s="107"/>
      <c r="CF435" s="107"/>
      <c r="CG435" s="107"/>
      <c r="CH435" s="107"/>
      <c r="CI435" s="107"/>
      <c r="CJ435" s="107"/>
    </row>
    <row r="436">
      <c r="A436" s="15"/>
      <c r="B436" s="16">
        <v>1350000.0</v>
      </c>
      <c r="C436" s="17"/>
      <c r="D436" s="18"/>
      <c r="E436" s="20">
        <v>150000.0</v>
      </c>
      <c r="F436" s="20"/>
      <c r="G436" s="21">
        <f t="shared" ref="G436:G459" si="166">SUM(B436)-(B436*15%)+(C436)-(C436*20.8%)+(D436)+(E436)-(E436*0.95%)+(F436)-(F436*15.5%)</f>
        <v>1296075</v>
      </c>
      <c r="H436" s="22">
        <f>SUM(B436:F459)</f>
        <v>7820000</v>
      </c>
      <c r="I436" s="21">
        <f>SUM(G436:G459)</f>
        <v>7350555</v>
      </c>
      <c r="J436" s="21">
        <f>SUM(I436)-(I436*97%)</f>
        <v>220516.65</v>
      </c>
      <c r="K436" s="21">
        <f>SUM(I436)-(I436*95%)</f>
        <v>367527.75</v>
      </c>
      <c r="L436" s="23">
        <f>SUM(I436)-(I436*93%)</f>
        <v>514538.85</v>
      </c>
      <c r="M436" s="15"/>
      <c r="N436" s="24">
        <v>1200000.0</v>
      </c>
      <c r="O436" s="25"/>
      <c r="P436" s="18"/>
      <c r="Q436" s="20"/>
      <c r="R436" s="145"/>
      <c r="S436" s="21">
        <f t="shared" ref="S436:S459" si="167">SUM(N436)-(N436*15%)+(O436)-(O436*20.8%)+(P436)+(Q436)-(Q436*0.95%)+(R436)-(R436*15.5%)</f>
        <v>1020000</v>
      </c>
      <c r="T436" s="22">
        <f>SUM(N436:R459)</f>
        <v>7510000</v>
      </c>
      <c r="U436" s="21">
        <f>SUM(S436:S459)</f>
        <v>6993900</v>
      </c>
      <c r="V436" s="21">
        <f>SUM(U436)-(U436*97%)</f>
        <v>209817</v>
      </c>
      <c r="W436" s="21">
        <f>SUM(U436)-(U436*95%)</f>
        <v>349695</v>
      </c>
      <c r="X436" s="23">
        <f>SUM(U436)-(U436*93%)</f>
        <v>489573</v>
      </c>
      <c r="Y436" s="60"/>
      <c r="Z436" s="24"/>
      <c r="AA436" s="25"/>
      <c r="AB436" s="18"/>
      <c r="AC436" s="20"/>
      <c r="AD436" s="20"/>
      <c r="AE436" s="21">
        <f t="shared" ref="AE436:AE459" si="168">SUM(Z436)-(Z436*15%)+(AA436)-(AA436*20.8%)+(AB436)+(AC436)-(AC436*0.95%)+(AD436)-(AD436*15.5%)</f>
        <v>0</v>
      </c>
      <c r="AF436" s="22">
        <f>SUM(Z436:AD459)</f>
        <v>0</v>
      </c>
      <c r="AG436" s="21">
        <f>SUM(AE436:AE459)</f>
        <v>0</v>
      </c>
      <c r="AH436" s="21">
        <f>SUM(AG436)-(AG436*97%)</f>
        <v>0</v>
      </c>
      <c r="AI436" s="21">
        <f>SUM(AG436)-(AG436*95%)</f>
        <v>0</v>
      </c>
      <c r="AJ436" s="23">
        <f>SUM(AG436)-(AG436*93%)</f>
        <v>0</v>
      </c>
      <c r="AK436" s="15">
        <v>11.0</v>
      </c>
      <c r="AL436" s="24"/>
      <c r="AM436" s="25"/>
      <c r="AN436" s="18"/>
      <c r="AO436" s="20"/>
      <c r="AP436" s="20"/>
      <c r="AQ436" s="21">
        <f t="shared" ref="AQ436:AQ459" si="169">SUM(AL436)-(AL436*15%)+(AM436)-(AM436*20.8%)+(AN436)+(AO436)-(AO436*0.95%)+(AP436)-(AP436*15.5%)</f>
        <v>0</v>
      </c>
      <c r="AR436" s="22">
        <f>SUM(AL436:AP459)</f>
        <v>0</v>
      </c>
      <c r="AS436" s="21">
        <f>SUM(AQ436:AQ459)</f>
        <v>0</v>
      </c>
      <c r="AT436" s="21">
        <f>SUM(AS436)-(AS436*97%)</f>
        <v>0</v>
      </c>
      <c r="AU436" s="21">
        <f>SUM(AS436)-(AS436*95%)</f>
        <v>0</v>
      </c>
      <c r="AV436" s="23">
        <f>SUM(AS436)-(AS436*93%)</f>
        <v>0</v>
      </c>
      <c r="AW436" s="15">
        <v>31.0</v>
      </c>
      <c r="AX436" s="24"/>
      <c r="AY436" s="25"/>
      <c r="AZ436" s="18"/>
      <c r="BA436" s="20"/>
      <c r="BB436" s="20"/>
      <c r="BC436" s="21">
        <f t="shared" ref="BC436:BC459" si="170">SUM(AX436)-(AX436*15%)+(AY436)-(AY436*20.8%)+(AZ436)+(BA436)-(BA436*0.95%)+(BB436)-(BB436*15.5%)</f>
        <v>0</v>
      </c>
      <c r="BD436" s="22">
        <f>SUM(AX436:BB459)</f>
        <v>0</v>
      </c>
      <c r="BE436" s="21">
        <f>SUM(BC436:BC459)</f>
        <v>0</v>
      </c>
      <c r="BF436" s="21">
        <f>SUM(BE436)-(BE436*97%)</f>
        <v>0</v>
      </c>
      <c r="BG436" s="21">
        <f>SUM(BE436)-(BE436*95%)</f>
        <v>0</v>
      </c>
      <c r="BH436" s="23">
        <f>SUM(BE436)-(BE436*93%)</f>
        <v>0</v>
      </c>
      <c r="BI436" s="15"/>
      <c r="BJ436" s="24"/>
      <c r="BK436" s="25"/>
      <c r="BL436" s="18"/>
      <c r="BM436" s="20"/>
      <c r="BN436" s="20"/>
      <c r="BO436" s="21">
        <f t="shared" ref="BO436:BO459" si="171">SUM(BJ436)-(BJ436*15%)+(BK436)-(BK436*20.8%)+(BL436)+(BM436)-(BM436*0.95%)+(BN436)-(BN436*15.5%)</f>
        <v>0</v>
      </c>
      <c r="BP436" s="22">
        <f>SUM(BJ436:BN459)</f>
        <v>0</v>
      </c>
      <c r="BQ436" s="21">
        <f>SUM(BO436:BO459)</f>
        <v>0</v>
      </c>
      <c r="BR436" s="21">
        <f>SUM(BQ436)-(BQ436*97%)</f>
        <v>0</v>
      </c>
      <c r="BS436" s="21">
        <f>SUM(BQ436)-(BQ436*95%)</f>
        <v>0</v>
      </c>
      <c r="BT436" s="23">
        <f>SUM(BQ436)-(BQ436*93%)</f>
        <v>0</v>
      </c>
      <c r="BU436" s="110"/>
      <c r="BV436" s="107"/>
      <c r="BW436" s="107"/>
      <c r="BX436" s="107"/>
      <c r="BY436" s="107"/>
      <c r="BZ436" s="107"/>
      <c r="CA436" s="111"/>
      <c r="CB436" s="112"/>
      <c r="CC436" s="111"/>
      <c r="CD436" s="111"/>
      <c r="CE436" s="111"/>
      <c r="CF436" s="111"/>
      <c r="CG436" s="107"/>
      <c r="CH436" s="107"/>
      <c r="CI436" s="107"/>
      <c r="CJ436" s="107"/>
    </row>
    <row r="437">
      <c r="A437" s="15"/>
      <c r="B437" s="27"/>
      <c r="C437" s="17"/>
      <c r="D437" s="28">
        <v>120000.0</v>
      </c>
      <c r="E437" s="20"/>
      <c r="F437" s="30"/>
      <c r="G437" s="21">
        <f t="shared" si="166"/>
        <v>120000</v>
      </c>
      <c r="H437" s="31" t="s">
        <v>20</v>
      </c>
      <c r="I437" s="13"/>
      <c r="J437" s="13" t="s">
        <v>21</v>
      </c>
      <c r="K437" s="13" t="s">
        <v>22</v>
      </c>
      <c r="L437" s="14" t="s">
        <v>23</v>
      </c>
      <c r="M437" s="15"/>
      <c r="N437" s="37"/>
      <c r="O437" s="25"/>
      <c r="P437" s="33">
        <v>500000.0</v>
      </c>
      <c r="Q437" s="30"/>
      <c r="R437" s="30"/>
      <c r="S437" s="21">
        <f t="shared" si="167"/>
        <v>500000</v>
      </c>
      <c r="T437" s="31" t="s">
        <v>20</v>
      </c>
      <c r="U437" s="13"/>
      <c r="V437" s="13" t="s">
        <v>21</v>
      </c>
      <c r="W437" s="13" t="s">
        <v>22</v>
      </c>
      <c r="X437" s="14" t="s">
        <v>23</v>
      </c>
      <c r="Y437" s="60"/>
      <c r="Z437" s="32"/>
      <c r="AA437" s="25"/>
      <c r="AB437" s="33"/>
      <c r="AC437" s="30"/>
      <c r="AD437" s="30"/>
      <c r="AE437" s="21">
        <f t="shared" si="168"/>
        <v>0</v>
      </c>
      <c r="AF437" s="31" t="s">
        <v>20</v>
      </c>
      <c r="AG437" s="13"/>
      <c r="AH437" s="13" t="s">
        <v>21</v>
      </c>
      <c r="AI437" s="13" t="s">
        <v>22</v>
      </c>
      <c r="AJ437" s="14" t="s">
        <v>23</v>
      </c>
      <c r="AK437" s="15">
        <v>23.0</v>
      </c>
      <c r="AL437" s="32"/>
      <c r="AM437" s="25"/>
      <c r="AN437" s="33"/>
      <c r="AO437" s="30"/>
      <c r="AP437" s="30"/>
      <c r="AQ437" s="21">
        <f t="shared" si="169"/>
        <v>0</v>
      </c>
      <c r="AR437" s="31" t="s">
        <v>20</v>
      </c>
      <c r="AS437" s="13"/>
      <c r="AT437" s="13" t="s">
        <v>21</v>
      </c>
      <c r="AU437" s="13" t="s">
        <v>22</v>
      </c>
      <c r="AV437" s="14" t="s">
        <v>23</v>
      </c>
      <c r="AW437" s="60"/>
      <c r="AX437" s="32"/>
      <c r="AY437" s="25"/>
      <c r="AZ437" s="33"/>
      <c r="BA437" s="30"/>
      <c r="BB437" s="30"/>
      <c r="BC437" s="21">
        <f t="shared" si="170"/>
        <v>0</v>
      </c>
      <c r="BD437" s="31" t="s">
        <v>20</v>
      </c>
      <c r="BE437" s="13"/>
      <c r="BF437" s="13" t="s">
        <v>21</v>
      </c>
      <c r="BG437" s="13" t="s">
        <v>22</v>
      </c>
      <c r="BH437" s="14" t="s">
        <v>23</v>
      </c>
      <c r="BI437" s="60"/>
      <c r="BJ437" s="32"/>
      <c r="BK437" s="25"/>
      <c r="BL437" s="33"/>
      <c r="BM437" s="30"/>
      <c r="BN437" s="30"/>
      <c r="BO437" s="21">
        <f t="shared" si="171"/>
        <v>0</v>
      </c>
      <c r="BP437" s="31" t="s">
        <v>20</v>
      </c>
      <c r="BQ437" s="13"/>
      <c r="BR437" s="13" t="s">
        <v>21</v>
      </c>
      <c r="BS437" s="13" t="s">
        <v>22</v>
      </c>
      <c r="BT437" s="14" t="s">
        <v>23</v>
      </c>
      <c r="BU437" s="110"/>
      <c r="BV437" s="107"/>
      <c r="BW437" s="107"/>
      <c r="BX437" s="107"/>
      <c r="BY437" s="107"/>
      <c r="BZ437" s="107"/>
      <c r="CA437" s="111"/>
      <c r="CB437" s="113"/>
      <c r="CC437" s="107"/>
      <c r="CD437" s="107"/>
      <c r="CE437" s="107"/>
      <c r="CF437" s="107"/>
      <c r="CG437" s="107"/>
      <c r="CH437" s="107"/>
      <c r="CI437" s="107"/>
      <c r="CJ437" s="107"/>
    </row>
    <row r="438">
      <c r="A438" s="60">
        <v>45935.0</v>
      </c>
      <c r="B438" s="35"/>
      <c r="C438" s="17"/>
      <c r="D438" s="18"/>
      <c r="E438" s="20">
        <v>1500000.0</v>
      </c>
      <c r="F438" s="20"/>
      <c r="G438" s="21">
        <f t="shared" si="166"/>
        <v>1485750</v>
      </c>
      <c r="H438" s="36"/>
      <c r="I438" s="13"/>
      <c r="J438" s="21">
        <f t="shared" ref="J438:L438" si="172">SUM(J436)-(J436*10%)</f>
        <v>198464.985</v>
      </c>
      <c r="K438" s="21">
        <f t="shared" si="172"/>
        <v>330774.975</v>
      </c>
      <c r="L438" s="23">
        <f t="shared" si="172"/>
        <v>463084.965</v>
      </c>
      <c r="M438" s="60">
        <v>45937.0</v>
      </c>
      <c r="N438" s="37">
        <v>1000000.0</v>
      </c>
      <c r="O438" s="25"/>
      <c r="P438" s="33"/>
      <c r="Q438" s="20"/>
      <c r="R438" s="20"/>
      <c r="S438" s="21">
        <f t="shared" si="167"/>
        <v>850000</v>
      </c>
      <c r="T438" s="36"/>
      <c r="U438" s="13"/>
      <c r="V438" s="21">
        <f t="shared" ref="V438:X438" si="173">SUM(V436)-(V436*10%)</f>
        <v>188835.3</v>
      </c>
      <c r="W438" s="21">
        <f t="shared" si="173"/>
        <v>314725.5</v>
      </c>
      <c r="X438" s="23">
        <f t="shared" si="173"/>
        <v>440615.7</v>
      </c>
      <c r="Y438" s="60"/>
      <c r="Z438" s="32"/>
      <c r="AA438" s="25"/>
      <c r="AB438" s="33"/>
      <c r="AC438" s="20"/>
      <c r="AD438" s="20"/>
      <c r="AE438" s="21">
        <f t="shared" si="168"/>
        <v>0</v>
      </c>
      <c r="AF438" s="36"/>
      <c r="AG438" s="13"/>
      <c r="AH438" s="21">
        <f t="shared" ref="AH438:AJ438" si="174">SUM(AH436)-(AH436*10%)</f>
        <v>0</v>
      </c>
      <c r="AI438" s="21">
        <f t="shared" si="174"/>
        <v>0</v>
      </c>
      <c r="AJ438" s="23">
        <f t="shared" si="174"/>
        <v>0</v>
      </c>
      <c r="AK438" s="15">
        <v>31.0</v>
      </c>
      <c r="AL438" s="37"/>
      <c r="AM438" s="25"/>
      <c r="AN438" s="33"/>
      <c r="AO438" s="20"/>
      <c r="AP438" s="20"/>
      <c r="AQ438" s="21">
        <f t="shared" si="169"/>
        <v>0</v>
      </c>
      <c r="AR438" s="36"/>
      <c r="AS438" s="13"/>
      <c r="AT438" s="21">
        <f t="shared" ref="AT438:AV438" si="175">SUM(AT436)-(AT436*10%)</f>
        <v>0</v>
      </c>
      <c r="AU438" s="21">
        <f t="shared" si="175"/>
        <v>0</v>
      </c>
      <c r="AV438" s="23">
        <f t="shared" si="175"/>
        <v>0</v>
      </c>
      <c r="AW438" s="60"/>
      <c r="AX438" s="32"/>
      <c r="AY438" s="25"/>
      <c r="AZ438" s="33"/>
      <c r="BA438" s="20"/>
      <c r="BB438" s="20"/>
      <c r="BC438" s="21">
        <f t="shared" si="170"/>
        <v>0</v>
      </c>
      <c r="BD438" s="36"/>
      <c r="BE438" s="13"/>
      <c r="BF438" s="21">
        <f t="shared" ref="BF438:BH438" si="176">SUM(BF436)-(BF436*10%)</f>
        <v>0</v>
      </c>
      <c r="BG438" s="21">
        <f t="shared" si="176"/>
        <v>0</v>
      </c>
      <c r="BH438" s="23">
        <f t="shared" si="176"/>
        <v>0</v>
      </c>
      <c r="BI438" s="60"/>
      <c r="BJ438" s="32"/>
      <c r="BK438" s="25"/>
      <c r="BL438" s="33"/>
      <c r="BM438" s="20"/>
      <c r="BN438" s="20"/>
      <c r="BO438" s="21">
        <f t="shared" si="171"/>
        <v>0</v>
      </c>
      <c r="BP438" s="36"/>
      <c r="BQ438" s="13"/>
      <c r="BR438" s="21">
        <f t="shared" ref="BR438:BT438" si="177">SUM(BR436)-(BR436*10%)</f>
        <v>0</v>
      </c>
      <c r="BS438" s="21">
        <f t="shared" si="177"/>
        <v>0</v>
      </c>
      <c r="BT438" s="23">
        <f t="shared" si="177"/>
        <v>0</v>
      </c>
      <c r="BU438" s="110"/>
      <c r="BV438" s="107"/>
      <c r="BW438" s="107"/>
      <c r="BX438" s="107"/>
      <c r="BY438" s="107"/>
      <c r="BZ438" s="107"/>
      <c r="CA438" s="111"/>
      <c r="CB438" s="107"/>
      <c r="CC438" s="107"/>
      <c r="CD438" s="111"/>
      <c r="CE438" s="111"/>
      <c r="CF438" s="111"/>
      <c r="CG438" s="107"/>
      <c r="CH438" s="107"/>
      <c r="CI438" s="107"/>
      <c r="CJ438" s="107"/>
    </row>
    <row r="439">
      <c r="A439" s="60">
        <v>45937.0</v>
      </c>
      <c r="B439" s="27"/>
      <c r="C439" s="17"/>
      <c r="D439" s="18"/>
      <c r="E439" s="20">
        <v>1800000.0</v>
      </c>
      <c r="F439" s="20"/>
      <c r="G439" s="21">
        <f t="shared" si="166"/>
        <v>1782900</v>
      </c>
      <c r="H439" s="13"/>
      <c r="I439" s="13"/>
      <c r="J439" s="13"/>
      <c r="K439" s="13"/>
      <c r="L439" s="14"/>
      <c r="M439" s="15"/>
      <c r="N439" s="37"/>
      <c r="O439" s="93"/>
      <c r="P439" s="33">
        <v>10000.0</v>
      </c>
      <c r="Q439" s="20"/>
      <c r="R439" s="20"/>
      <c r="S439" s="21">
        <f t="shared" si="167"/>
        <v>10000</v>
      </c>
      <c r="T439" s="13"/>
      <c r="U439" s="13"/>
      <c r="V439" s="13"/>
      <c r="W439" s="13"/>
      <c r="X439" s="14"/>
      <c r="Y439" s="60"/>
      <c r="Z439" s="32"/>
      <c r="AA439" s="93"/>
      <c r="AB439" s="33"/>
      <c r="AC439" s="20"/>
      <c r="AD439" s="20"/>
      <c r="AE439" s="21">
        <f t="shared" si="168"/>
        <v>0</v>
      </c>
      <c r="AF439" s="13"/>
      <c r="AG439" s="13"/>
      <c r="AH439" s="13"/>
      <c r="AI439" s="13"/>
      <c r="AJ439" s="14"/>
      <c r="AK439" s="15"/>
      <c r="AL439" s="32"/>
      <c r="AM439" s="93"/>
      <c r="AN439" s="33"/>
      <c r="AO439" s="20"/>
      <c r="AP439" s="20"/>
      <c r="AQ439" s="21">
        <f t="shared" si="169"/>
        <v>0</v>
      </c>
      <c r="AR439" s="13"/>
      <c r="AS439" s="13"/>
      <c r="AT439" s="13"/>
      <c r="AU439" s="13"/>
      <c r="AV439" s="14"/>
      <c r="AW439" s="60"/>
      <c r="AX439" s="32"/>
      <c r="AY439" s="93"/>
      <c r="AZ439" s="33"/>
      <c r="BA439" s="20"/>
      <c r="BB439" s="20"/>
      <c r="BC439" s="21">
        <f t="shared" si="170"/>
        <v>0</v>
      </c>
      <c r="BD439" s="13"/>
      <c r="BE439" s="13"/>
      <c r="BF439" s="13"/>
      <c r="BG439" s="13"/>
      <c r="BH439" s="14"/>
      <c r="BI439" s="60"/>
      <c r="BJ439" s="32"/>
      <c r="BK439" s="93"/>
      <c r="BL439" s="33"/>
      <c r="BM439" s="20"/>
      <c r="BN439" s="20"/>
      <c r="BO439" s="21">
        <f t="shared" si="171"/>
        <v>0</v>
      </c>
      <c r="BP439" s="13"/>
      <c r="BQ439" s="13"/>
      <c r="BR439" s="13"/>
      <c r="BS439" s="13"/>
      <c r="BT439" s="14"/>
      <c r="BU439" s="110"/>
      <c r="BV439" s="107"/>
      <c r="BW439" s="107"/>
      <c r="BX439" s="107"/>
      <c r="BY439" s="107"/>
      <c r="BZ439" s="107"/>
      <c r="CA439" s="111"/>
      <c r="CB439" s="107"/>
      <c r="CC439" s="107"/>
      <c r="CD439" s="107"/>
      <c r="CE439" s="107"/>
      <c r="CF439" s="107"/>
      <c r="CG439" s="107"/>
      <c r="CH439" s="107"/>
      <c r="CI439" s="107"/>
      <c r="CJ439" s="107"/>
    </row>
    <row r="440">
      <c r="A440" s="60">
        <v>45937.0</v>
      </c>
      <c r="B440" s="35"/>
      <c r="C440" s="17"/>
      <c r="D440" s="18"/>
      <c r="E440" s="20">
        <v>500000.0</v>
      </c>
      <c r="F440" s="20"/>
      <c r="G440" s="21">
        <f t="shared" si="166"/>
        <v>495250</v>
      </c>
      <c r="H440" s="13"/>
      <c r="I440" s="13"/>
      <c r="J440" s="13"/>
      <c r="K440" s="13"/>
      <c r="L440" s="14"/>
      <c r="M440" s="15"/>
      <c r="N440" s="20"/>
      <c r="O440" s="25"/>
      <c r="P440" s="33"/>
      <c r="Q440" s="20">
        <v>10000.0</v>
      </c>
      <c r="R440" s="20"/>
      <c r="S440" s="21">
        <f t="shared" si="167"/>
        <v>9905</v>
      </c>
      <c r="T440" s="13"/>
      <c r="U440" s="13"/>
      <c r="V440" s="13"/>
      <c r="W440" s="13"/>
      <c r="X440" s="14"/>
      <c r="Y440" s="60"/>
      <c r="Z440" s="32"/>
      <c r="AA440" s="25"/>
      <c r="AB440" s="33"/>
      <c r="AC440" s="20"/>
      <c r="AD440" s="20"/>
      <c r="AE440" s="21">
        <f t="shared" si="168"/>
        <v>0</v>
      </c>
      <c r="AF440" s="13"/>
      <c r="AG440" s="13"/>
      <c r="AH440" s="13"/>
      <c r="AI440" s="13"/>
      <c r="AJ440" s="14"/>
      <c r="AK440" s="15"/>
      <c r="AL440" s="32"/>
      <c r="AM440" s="25"/>
      <c r="AN440" s="33"/>
      <c r="AO440" s="20"/>
      <c r="AP440" s="20"/>
      <c r="AQ440" s="21">
        <f t="shared" si="169"/>
        <v>0</v>
      </c>
      <c r="AR440" s="13"/>
      <c r="AS440" s="13"/>
      <c r="AT440" s="13"/>
      <c r="AU440" s="13"/>
      <c r="AV440" s="14"/>
      <c r="AW440" s="60"/>
      <c r="AX440" s="32"/>
      <c r="AY440" s="25"/>
      <c r="AZ440" s="33"/>
      <c r="BA440" s="20"/>
      <c r="BB440" s="20"/>
      <c r="BC440" s="21">
        <f t="shared" si="170"/>
        <v>0</v>
      </c>
      <c r="BD440" s="13"/>
      <c r="BE440" s="13"/>
      <c r="BF440" s="13"/>
      <c r="BG440" s="13"/>
      <c r="BH440" s="14"/>
      <c r="BI440" s="60"/>
      <c r="BJ440" s="32"/>
      <c r="BK440" s="25"/>
      <c r="BL440" s="33"/>
      <c r="BM440" s="20"/>
      <c r="BN440" s="20"/>
      <c r="BO440" s="21">
        <f t="shared" si="171"/>
        <v>0</v>
      </c>
      <c r="BP440" s="13"/>
      <c r="BQ440" s="13"/>
      <c r="BR440" s="13"/>
      <c r="BS440" s="13"/>
      <c r="BT440" s="14"/>
      <c r="BU440" s="110"/>
      <c r="BV440" s="107"/>
      <c r="BW440" s="107"/>
      <c r="BX440" s="107"/>
      <c r="BY440" s="107"/>
      <c r="BZ440" s="107"/>
      <c r="CA440" s="111"/>
      <c r="CB440" s="107"/>
      <c r="CC440" s="107"/>
      <c r="CD440" s="107"/>
      <c r="CE440" s="107"/>
      <c r="CF440" s="107"/>
      <c r="CG440" s="107"/>
      <c r="CH440" s="107"/>
      <c r="CI440" s="107"/>
      <c r="CJ440" s="107"/>
    </row>
    <row r="441">
      <c r="A441" s="15" t="s">
        <v>95</v>
      </c>
      <c r="B441" s="39"/>
      <c r="C441" s="43"/>
      <c r="D441" s="18"/>
      <c r="E441" s="20">
        <v>200000.0</v>
      </c>
      <c r="F441" s="20"/>
      <c r="G441" s="21">
        <f t="shared" si="166"/>
        <v>198100</v>
      </c>
      <c r="H441" s="13"/>
      <c r="I441" s="13"/>
      <c r="J441" s="13"/>
      <c r="K441" s="13">
        <f>H443</f>
        <v>14344455</v>
      </c>
      <c r="L441" s="14"/>
      <c r="M441" s="15"/>
      <c r="N441" s="32"/>
      <c r="O441" s="93"/>
      <c r="P441" s="33"/>
      <c r="Q441" s="20">
        <v>90000.0</v>
      </c>
      <c r="R441" s="20"/>
      <c r="S441" s="21">
        <f t="shared" si="167"/>
        <v>89145</v>
      </c>
      <c r="T441" s="13"/>
      <c r="U441" s="13"/>
      <c r="V441" s="13"/>
      <c r="W441" s="13"/>
      <c r="X441" s="14"/>
      <c r="Y441" s="60"/>
      <c r="Z441" s="32"/>
      <c r="AA441" s="25"/>
      <c r="AB441" s="33"/>
      <c r="AC441" s="20"/>
      <c r="AD441" s="20"/>
      <c r="AE441" s="21">
        <f t="shared" si="168"/>
        <v>0</v>
      </c>
      <c r="AF441" s="13"/>
      <c r="AG441" s="13"/>
      <c r="AH441" s="13"/>
      <c r="AI441" s="13"/>
      <c r="AJ441" s="14"/>
      <c r="AK441" s="15"/>
      <c r="AL441" s="32"/>
      <c r="AM441" s="25"/>
      <c r="AN441" s="33"/>
      <c r="AO441" s="20"/>
      <c r="AP441" s="20"/>
      <c r="AQ441" s="21">
        <f t="shared" si="169"/>
        <v>0</v>
      </c>
      <c r="AR441" s="13"/>
      <c r="AS441" s="13"/>
      <c r="AT441" s="13"/>
      <c r="AU441" s="13"/>
      <c r="AV441" s="14"/>
      <c r="AW441" s="60"/>
      <c r="AX441" s="32"/>
      <c r="AY441" s="25"/>
      <c r="AZ441" s="33"/>
      <c r="BA441" s="20"/>
      <c r="BB441" s="20"/>
      <c r="BC441" s="21">
        <f t="shared" si="170"/>
        <v>0</v>
      </c>
      <c r="BD441" s="13"/>
      <c r="BE441" s="13"/>
      <c r="BF441" s="13"/>
      <c r="BG441" s="13"/>
      <c r="BH441" s="14"/>
      <c r="BI441" s="60"/>
      <c r="BJ441" s="32"/>
      <c r="BK441" s="25"/>
      <c r="BL441" s="33"/>
      <c r="BM441" s="20"/>
      <c r="BN441" s="20"/>
      <c r="BO441" s="21">
        <f t="shared" si="171"/>
        <v>0</v>
      </c>
      <c r="BP441" s="13"/>
      <c r="BQ441" s="13"/>
      <c r="BR441" s="13"/>
      <c r="BS441" s="13"/>
      <c r="BT441" s="14"/>
      <c r="BU441" s="110"/>
      <c r="BV441" s="107"/>
      <c r="BW441" s="107"/>
      <c r="BX441" s="107"/>
      <c r="BY441" s="107"/>
      <c r="BZ441" s="107"/>
      <c r="CA441" s="111"/>
      <c r="CB441" s="107"/>
      <c r="CC441" s="107"/>
      <c r="CD441" s="107"/>
      <c r="CE441" s="107"/>
      <c r="CF441" s="107"/>
      <c r="CG441" s="107"/>
      <c r="CH441" s="107"/>
      <c r="CI441" s="107"/>
      <c r="CJ441" s="107"/>
    </row>
    <row r="442">
      <c r="A442" s="60"/>
      <c r="B442" s="35"/>
      <c r="C442" s="17"/>
      <c r="D442" s="18"/>
      <c r="E442" s="20"/>
      <c r="F442" s="20">
        <v>860000.0</v>
      </c>
      <c r="G442" s="21">
        <f t="shared" si="166"/>
        <v>726700</v>
      </c>
      <c r="H442" s="94" t="s">
        <v>13</v>
      </c>
      <c r="I442" s="86" t="s">
        <v>57</v>
      </c>
      <c r="J442" s="86" t="s">
        <v>57</v>
      </c>
      <c r="K442" s="86" t="s">
        <v>65</v>
      </c>
      <c r="L442" s="95"/>
      <c r="M442" s="15"/>
      <c r="N442" s="37"/>
      <c r="O442" s="25"/>
      <c r="P442" s="33"/>
      <c r="Q442" s="20">
        <v>1200000.0</v>
      </c>
      <c r="R442" s="20"/>
      <c r="S442" s="21">
        <f t="shared" si="167"/>
        <v>1188600</v>
      </c>
      <c r="T442" s="13"/>
      <c r="U442" s="13"/>
      <c r="V442" s="13"/>
      <c r="W442" s="13"/>
      <c r="X442" s="14"/>
      <c r="Y442" s="38"/>
      <c r="Z442" s="32"/>
      <c r="AA442" s="25"/>
      <c r="AB442" s="33"/>
      <c r="AC442" s="20"/>
      <c r="AD442" s="20"/>
      <c r="AE442" s="21">
        <f t="shared" si="168"/>
        <v>0</v>
      </c>
      <c r="AF442" s="13"/>
      <c r="AG442" s="13"/>
      <c r="AH442" s="13"/>
      <c r="AI442" s="13"/>
      <c r="AJ442" s="14"/>
      <c r="AK442" s="15"/>
      <c r="AL442" s="32"/>
      <c r="AM442" s="25"/>
      <c r="AN442" s="33"/>
      <c r="AO442" s="20"/>
      <c r="AP442" s="20"/>
      <c r="AQ442" s="21">
        <f t="shared" si="169"/>
        <v>0</v>
      </c>
      <c r="AR442" s="13"/>
      <c r="AS442" s="13"/>
      <c r="AT442" s="13"/>
      <c r="AU442" s="13"/>
      <c r="AV442" s="14"/>
      <c r="AW442" s="38"/>
      <c r="AX442" s="32"/>
      <c r="AY442" s="25"/>
      <c r="AZ442" s="33"/>
      <c r="BA442" s="20"/>
      <c r="BB442" s="20"/>
      <c r="BC442" s="21">
        <f t="shared" si="170"/>
        <v>0</v>
      </c>
      <c r="BD442" s="13"/>
      <c r="BE442" s="13"/>
      <c r="BF442" s="13"/>
      <c r="BG442" s="13"/>
      <c r="BH442" s="14"/>
      <c r="BI442" s="38"/>
      <c r="BJ442" s="32"/>
      <c r="BK442" s="25"/>
      <c r="BL442" s="33"/>
      <c r="BM442" s="20"/>
      <c r="BN442" s="20"/>
      <c r="BO442" s="21">
        <f t="shared" si="171"/>
        <v>0</v>
      </c>
      <c r="BP442" s="13"/>
      <c r="BQ442" s="13"/>
      <c r="BR442" s="13"/>
      <c r="BS442" s="13"/>
      <c r="BT442" s="14"/>
      <c r="BU442" s="110"/>
      <c r="BV442" s="107"/>
      <c r="BW442" s="107"/>
      <c r="BX442" s="107"/>
      <c r="BY442" s="107"/>
      <c r="BZ442" s="107"/>
      <c r="CA442" s="111"/>
      <c r="CB442" s="107"/>
      <c r="CC442" s="107"/>
      <c r="CD442" s="107"/>
      <c r="CE442" s="107"/>
      <c r="CF442" s="107"/>
      <c r="CG442" s="107"/>
      <c r="CH442" s="107"/>
      <c r="CI442" s="107"/>
      <c r="CJ442" s="107"/>
    </row>
    <row r="443">
      <c r="A443" s="15" t="s">
        <v>96</v>
      </c>
      <c r="B443" s="16"/>
      <c r="C443" s="17"/>
      <c r="D443" s="28"/>
      <c r="E443" s="30">
        <v>90000.0</v>
      </c>
      <c r="F443" s="30"/>
      <c r="G443" s="21">
        <f t="shared" si="166"/>
        <v>89145</v>
      </c>
      <c r="H443" s="95">
        <f>AG436+I436+U436+AS436+BE436+BQ436+CC436</f>
        <v>14344455</v>
      </c>
      <c r="I443" s="102" t="s">
        <v>52</v>
      </c>
      <c r="J443" s="102" t="s">
        <v>44</v>
      </c>
      <c r="K443" s="102" t="s">
        <v>52</v>
      </c>
      <c r="L443" s="102" t="s">
        <v>44</v>
      </c>
      <c r="M443" s="15"/>
      <c r="N443" s="37"/>
      <c r="O443" s="25"/>
      <c r="P443" s="41"/>
      <c r="Q443" s="20">
        <v>500000.0</v>
      </c>
      <c r="R443" s="20"/>
      <c r="S443" s="21">
        <f t="shared" si="167"/>
        <v>495250</v>
      </c>
      <c r="T443" s="67"/>
      <c r="U443" s="67"/>
      <c r="V443" s="67"/>
      <c r="W443" s="13"/>
      <c r="X443" s="14"/>
      <c r="Y443" s="38"/>
      <c r="Z443" s="37"/>
      <c r="AA443" s="25"/>
      <c r="AB443" s="41"/>
      <c r="AC443" s="20"/>
      <c r="AD443" s="20"/>
      <c r="AE443" s="21">
        <f t="shared" si="168"/>
        <v>0</v>
      </c>
      <c r="AF443" s="13"/>
      <c r="AG443" s="13"/>
      <c r="AH443" s="13"/>
      <c r="AI443" s="13"/>
      <c r="AJ443" s="14"/>
      <c r="AK443" s="15"/>
      <c r="AL443" s="37"/>
      <c r="AM443" s="25"/>
      <c r="AN443" s="41"/>
      <c r="AO443" s="20"/>
      <c r="AP443" s="20"/>
      <c r="AQ443" s="21">
        <f t="shared" si="169"/>
        <v>0</v>
      </c>
      <c r="AR443" s="13"/>
      <c r="AS443" s="13"/>
      <c r="AT443" s="13"/>
      <c r="AU443" s="13"/>
      <c r="AV443" s="14"/>
      <c r="AW443" s="38"/>
      <c r="AX443" s="37"/>
      <c r="AY443" s="25"/>
      <c r="AZ443" s="41"/>
      <c r="BA443" s="20"/>
      <c r="BB443" s="20"/>
      <c r="BC443" s="21">
        <f t="shared" si="170"/>
        <v>0</v>
      </c>
      <c r="BD443" s="13"/>
      <c r="BE443" s="13"/>
      <c r="BF443" s="13"/>
      <c r="BG443" s="13"/>
      <c r="BH443" s="14"/>
      <c r="BI443" s="38"/>
      <c r="BJ443" s="37"/>
      <c r="BK443" s="25"/>
      <c r="BL443" s="41"/>
      <c r="BM443" s="20"/>
      <c r="BN443" s="20"/>
      <c r="BO443" s="21">
        <f t="shared" si="171"/>
        <v>0</v>
      </c>
      <c r="BP443" s="13"/>
      <c r="BQ443" s="13"/>
      <c r="BR443" s="13"/>
      <c r="BS443" s="13"/>
      <c r="BT443" s="14"/>
      <c r="BU443" s="107"/>
      <c r="BV443" s="107"/>
      <c r="BW443" s="107"/>
      <c r="BX443" s="107"/>
      <c r="BY443" s="107"/>
      <c r="BZ443" s="107"/>
      <c r="CA443" s="111"/>
      <c r="CB443" s="107"/>
      <c r="CC443" s="107"/>
      <c r="CD443" s="107"/>
      <c r="CE443" s="107"/>
      <c r="CF443" s="107"/>
      <c r="CG443" s="107"/>
      <c r="CH443" s="107"/>
      <c r="CI443" s="107"/>
      <c r="CJ443" s="107"/>
    </row>
    <row r="444">
      <c r="A444" s="60">
        <v>45957.0</v>
      </c>
      <c r="B444" s="35"/>
      <c r="C444" s="17"/>
      <c r="D444" s="18"/>
      <c r="E444" s="20">
        <v>155000.0</v>
      </c>
      <c r="F444" s="20"/>
      <c r="G444" s="21">
        <f t="shared" si="166"/>
        <v>153527.5</v>
      </c>
      <c r="H444" s="95"/>
      <c r="I444" s="115">
        <f>SUM(H443)-(H443*99%)</f>
        <v>143444.55</v>
      </c>
      <c r="J444" s="87">
        <f>SUM(H443)-(H443*98.5%)</f>
        <v>215166.825</v>
      </c>
      <c r="K444" s="87">
        <f>SUM(K441)-(K441*99%)</f>
        <v>143444.55</v>
      </c>
      <c r="L444" s="87">
        <f>SUM(K441)-(K441*98.5%)</f>
        <v>215166.825</v>
      </c>
      <c r="M444" s="60"/>
      <c r="N444" s="24"/>
      <c r="O444" s="25"/>
      <c r="P444" s="41"/>
      <c r="Q444" s="30">
        <v>1000000.0</v>
      </c>
      <c r="R444" s="30"/>
      <c r="S444" s="21">
        <f t="shared" si="167"/>
        <v>990500</v>
      </c>
      <c r="T444" s="13"/>
      <c r="U444" s="13"/>
      <c r="V444" s="13"/>
      <c r="W444" s="13"/>
      <c r="X444" s="14"/>
      <c r="Y444" s="38"/>
      <c r="Z444" s="24"/>
      <c r="AA444" s="25"/>
      <c r="AB444" s="41"/>
      <c r="AC444" s="30"/>
      <c r="AD444" s="30"/>
      <c r="AE444" s="21">
        <f t="shared" si="168"/>
        <v>0</v>
      </c>
      <c r="AF444" s="13"/>
      <c r="AG444" s="13"/>
      <c r="AH444" s="13"/>
      <c r="AI444" s="13"/>
      <c r="AJ444" s="14"/>
      <c r="AK444" s="38"/>
      <c r="AL444" s="24"/>
      <c r="AM444" s="25"/>
      <c r="AN444" s="41"/>
      <c r="AO444" s="30"/>
      <c r="AP444" s="30"/>
      <c r="AQ444" s="21">
        <f t="shared" si="169"/>
        <v>0</v>
      </c>
      <c r="AR444" s="13"/>
      <c r="AS444" s="13"/>
      <c r="AT444" s="13"/>
      <c r="AU444" s="13"/>
      <c r="AV444" s="14"/>
      <c r="AW444" s="38"/>
      <c r="AX444" s="24"/>
      <c r="AY444" s="25"/>
      <c r="AZ444" s="41"/>
      <c r="BA444" s="30"/>
      <c r="BB444" s="30"/>
      <c r="BC444" s="21">
        <f t="shared" si="170"/>
        <v>0</v>
      </c>
      <c r="BD444" s="67"/>
      <c r="BE444" s="67"/>
      <c r="BF444" s="13"/>
      <c r="BG444" s="13"/>
      <c r="BH444" s="14"/>
      <c r="BI444" s="38"/>
      <c r="BJ444" s="24"/>
      <c r="BK444" s="25"/>
      <c r="BL444" s="41"/>
      <c r="BM444" s="30"/>
      <c r="BN444" s="30"/>
      <c r="BO444" s="21">
        <f t="shared" si="171"/>
        <v>0</v>
      </c>
      <c r="BP444" s="13"/>
      <c r="BQ444" s="13"/>
      <c r="BR444" s="13"/>
      <c r="BS444" s="13"/>
      <c r="BT444" s="14"/>
      <c r="BU444" s="107"/>
      <c r="BV444" s="107"/>
      <c r="BW444" s="107"/>
      <c r="BX444" s="107"/>
      <c r="BY444" s="107"/>
      <c r="BZ444" s="107"/>
      <c r="CA444" s="111"/>
      <c r="CB444" s="107"/>
      <c r="CC444" s="107"/>
      <c r="CD444" s="107"/>
      <c r="CE444" s="107"/>
      <c r="CF444" s="107"/>
      <c r="CG444" s="107"/>
      <c r="CH444" s="107"/>
      <c r="CI444" s="107"/>
      <c r="CJ444" s="107"/>
    </row>
    <row r="445">
      <c r="A445" s="60">
        <v>45959.0</v>
      </c>
      <c r="B445" s="24">
        <v>580000.0</v>
      </c>
      <c r="C445" s="25"/>
      <c r="D445" s="41"/>
      <c r="E445" s="46">
        <v>420000.0</v>
      </c>
      <c r="F445" s="46"/>
      <c r="G445" s="21">
        <f t="shared" si="166"/>
        <v>909010</v>
      </c>
      <c r="H445" s="95"/>
      <c r="I445" s="86" t="s">
        <v>53</v>
      </c>
      <c r="J445" s="86" t="s">
        <v>36</v>
      </c>
      <c r="K445" s="86" t="s">
        <v>53</v>
      </c>
      <c r="L445" s="86" t="s">
        <v>36</v>
      </c>
      <c r="M445" s="105">
        <v>45961.0</v>
      </c>
      <c r="N445" s="37"/>
      <c r="O445" s="25"/>
      <c r="P445" s="33"/>
      <c r="Q445" s="20">
        <v>1000000.0</v>
      </c>
      <c r="R445" s="20"/>
      <c r="S445" s="21">
        <f t="shared" si="167"/>
        <v>990500</v>
      </c>
      <c r="T445" s="13"/>
      <c r="U445" s="13"/>
      <c r="V445" s="13"/>
      <c r="W445" s="13"/>
      <c r="X445" s="14"/>
      <c r="Y445" s="38"/>
      <c r="Z445" s="37"/>
      <c r="AA445" s="25"/>
      <c r="AB445" s="41"/>
      <c r="AC445" s="20"/>
      <c r="AD445" s="20"/>
      <c r="AE445" s="21">
        <f t="shared" si="168"/>
        <v>0</v>
      </c>
      <c r="AF445" s="13"/>
      <c r="AG445" s="13"/>
      <c r="AH445" s="13"/>
      <c r="AI445" s="13"/>
      <c r="AJ445" s="14"/>
      <c r="AK445" s="38"/>
      <c r="AL445" s="37"/>
      <c r="AM445" s="25"/>
      <c r="AN445" s="41"/>
      <c r="AO445" s="20"/>
      <c r="AP445" s="20"/>
      <c r="AQ445" s="21">
        <f t="shared" si="169"/>
        <v>0</v>
      </c>
      <c r="AR445" s="13"/>
      <c r="AS445" s="13"/>
      <c r="AT445" s="13"/>
      <c r="AU445" s="13"/>
      <c r="AV445" s="14"/>
      <c r="AW445" s="38"/>
      <c r="AX445" s="37"/>
      <c r="AY445" s="25"/>
      <c r="AZ445" s="41"/>
      <c r="BA445" s="20"/>
      <c r="BB445" s="20"/>
      <c r="BC445" s="21">
        <f t="shared" si="170"/>
        <v>0</v>
      </c>
      <c r="BD445" s="13"/>
      <c r="BE445" s="13"/>
      <c r="BF445" s="13"/>
      <c r="BG445" s="13"/>
      <c r="BH445" s="14"/>
      <c r="BI445" s="38"/>
      <c r="BJ445" s="37"/>
      <c r="BK445" s="25"/>
      <c r="BL445" s="41"/>
      <c r="BM445" s="20"/>
      <c r="BN445" s="20"/>
      <c r="BO445" s="21">
        <f t="shared" si="171"/>
        <v>0</v>
      </c>
      <c r="BP445" s="13"/>
      <c r="BQ445" s="13"/>
      <c r="BR445" s="13"/>
      <c r="BS445" s="13"/>
      <c r="BT445" s="14"/>
      <c r="BU445" s="107"/>
      <c r="BV445" s="107"/>
      <c r="BW445" s="107"/>
      <c r="BX445" s="107"/>
      <c r="BY445" s="107"/>
      <c r="BZ445" s="107"/>
      <c r="CA445" s="111"/>
      <c r="CB445" s="107"/>
      <c r="CC445" s="107"/>
      <c r="CD445" s="107"/>
      <c r="CE445" s="107"/>
      <c r="CF445" s="107"/>
      <c r="CG445" s="107"/>
      <c r="CH445" s="107"/>
      <c r="CI445" s="107"/>
      <c r="CJ445" s="107"/>
    </row>
    <row r="446">
      <c r="A446" s="60">
        <v>45959.0</v>
      </c>
      <c r="B446" s="47"/>
      <c r="C446" s="25"/>
      <c r="D446" s="33"/>
      <c r="E446" s="46">
        <v>95000.0</v>
      </c>
      <c r="F446" s="46"/>
      <c r="G446" s="21">
        <f t="shared" si="166"/>
        <v>94097.5</v>
      </c>
      <c r="H446" s="94" t="s">
        <v>12</v>
      </c>
      <c r="I446" s="87">
        <f t="shared" ref="I446:L446" si="178">SUM(I444)-(I444*10%)</f>
        <v>129100.095</v>
      </c>
      <c r="J446" s="87">
        <f t="shared" si="178"/>
        <v>193650.1425</v>
      </c>
      <c r="K446" s="87">
        <f t="shared" si="178"/>
        <v>129100.095</v>
      </c>
      <c r="L446" s="87">
        <f t="shared" si="178"/>
        <v>193650.1425</v>
      </c>
      <c r="M446" s="60">
        <v>45965.0</v>
      </c>
      <c r="N446" s="24">
        <v>1000000.0</v>
      </c>
      <c r="O446" s="25"/>
      <c r="P446" s="41"/>
      <c r="Q446" s="46"/>
      <c r="R446" s="46"/>
      <c r="S446" s="21">
        <f t="shared" si="167"/>
        <v>850000</v>
      </c>
      <c r="T446" s="13"/>
      <c r="U446" s="13"/>
      <c r="V446" s="13"/>
      <c r="W446" s="13"/>
      <c r="X446" s="14"/>
      <c r="Y446" s="38"/>
      <c r="Z446" s="24"/>
      <c r="AA446" s="25"/>
      <c r="AB446" s="41"/>
      <c r="AC446" s="46"/>
      <c r="AD446" s="46"/>
      <c r="AE446" s="21">
        <f t="shared" si="168"/>
        <v>0</v>
      </c>
      <c r="AF446" s="13"/>
      <c r="AG446" s="13"/>
      <c r="AH446" s="13"/>
      <c r="AI446" s="13"/>
      <c r="AJ446" s="14"/>
      <c r="AK446" s="38"/>
      <c r="AL446" s="24"/>
      <c r="AM446" s="25"/>
      <c r="AN446" s="41"/>
      <c r="AO446" s="46"/>
      <c r="AP446" s="46"/>
      <c r="AQ446" s="21">
        <f t="shared" si="169"/>
        <v>0</v>
      </c>
      <c r="AR446" s="13"/>
      <c r="AS446" s="13"/>
      <c r="AT446" s="13"/>
      <c r="AU446" s="13"/>
      <c r="AV446" s="14"/>
      <c r="AW446" s="38"/>
      <c r="AX446" s="24"/>
      <c r="AY446" s="25"/>
      <c r="AZ446" s="41"/>
      <c r="BA446" s="46"/>
      <c r="BB446" s="46"/>
      <c r="BC446" s="21">
        <f t="shared" si="170"/>
        <v>0</v>
      </c>
      <c r="BD446" s="13"/>
      <c r="BE446" s="13"/>
      <c r="BF446" s="13"/>
      <c r="BG446" s="13"/>
      <c r="BH446" s="14"/>
      <c r="BI446" s="38"/>
      <c r="BJ446" s="24"/>
      <c r="BK446" s="25"/>
      <c r="BL446" s="41"/>
      <c r="BM446" s="46"/>
      <c r="BN446" s="46"/>
      <c r="BO446" s="21">
        <f t="shared" si="171"/>
        <v>0</v>
      </c>
      <c r="BP446" s="13"/>
      <c r="BQ446" s="13"/>
      <c r="BR446" s="13"/>
      <c r="BS446" s="13"/>
      <c r="BT446" s="14"/>
      <c r="BU446" s="107"/>
      <c r="BV446" s="107"/>
      <c r="BW446" s="107"/>
      <c r="BX446" s="107"/>
      <c r="BY446" s="107"/>
      <c r="BZ446" s="107"/>
      <c r="CA446" s="111"/>
      <c r="CB446" s="107"/>
      <c r="CC446" s="107"/>
      <c r="CD446" s="107"/>
      <c r="CE446" s="107"/>
      <c r="CF446" s="107"/>
      <c r="CG446" s="107"/>
      <c r="CH446" s="107"/>
      <c r="CI446" s="107"/>
      <c r="CJ446" s="107"/>
    </row>
    <row r="447">
      <c r="A447" s="105"/>
      <c r="B447" s="47"/>
      <c r="C447" s="25"/>
      <c r="D447" s="33"/>
      <c r="E447" s="46"/>
      <c r="F447" s="46"/>
      <c r="G447" s="21">
        <f t="shared" si="166"/>
        <v>0</v>
      </c>
      <c r="H447" s="95">
        <f>H436+T436+AF436+AR436+BD436+BP436+CB436</f>
        <v>15330000</v>
      </c>
      <c r="I447" s="95"/>
      <c r="J447" s="95"/>
      <c r="K447" s="86" t="s">
        <v>66</v>
      </c>
      <c r="L447" s="95"/>
      <c r="M447" s="38"/>
      <c r="N447" s="47"/>
      <c r="O447" s="25"/>
      <c r="P447" s="41"/>
      <c r="Q447" s="46"/>
      <c r="R447" s="46"/>
      <c r="S447" s="21">
        <f t="shared" si="167"/>
        <v>0</v>
      </c>
      <c r="T447" s="13"/>
      <c r="U447" s="13"/>
      <c r="V447" s="13"/>
      <c r="W447" s="13"/>
      <c r="X447" s="14"/>
      <c r="Y447" s="38"/>
      <c r="Z447" s="47"/>
      <c r="AA447" s="25"/>
      <c r="AB447" s="41"/>
      <c r="AC447" s="46"/>
      <c r="AD447" s="46"/>
      <c r="AE447" s="21">
        <f t="shared" si="168"/>
        <v>0</v>
      </c>
      <c r="AF447" s="13"/>
      <c r="AG447" s="13"/>
      <c r="AH447" s="13"/>
      <c r="AI447" s="13"/>
      <c r="AJ447" s="14"/>
      <c r="AK447" s="38"/>
      <c r="AL447" s="47"/>
      <c r="AM447" s="25"/>
      <c r="AN447" s="41"/>
      <c r="AO447" s="46"/>
      <c r="AP447" s="46"/>
      <c r="AQ447" s="21">
        <f t="shared" si="169"/>
        <v>0</v>
      </c>
      <c r="AR447" s="13"/>
      <c r="AS447" s="13"/>
      <c r="AT447" s="13"/>
      <c r="AU447" s="13"/>
      <c r="AV447" s="14"/>
      <c r="AW447" s="38"/>
      <c r="AX447" s="47"/>
      <c r="AY447" s="25"/>
      <c r="AZ447" s="41"/>
      <c r="BA447" s="46"/>
      <c r="BB447" s="46"/>
      <c r="BC447" s="21">
        <f t="shared" si="170"/>
        <v>0</v>
      </c>
      <c r="BD447" s="13"/>
      <c r="BE447" s="13"/>
      <c r="BF447" s="13"/>
      <c r="BG447" s="13"/>
      <c r="BH447" s="14"/>
      <c r="BI447" s="38"/>
      <c r="BJ447" s="47"/>
      <c r="BK447" s="25"/>
      <c r="BL447" s="41"/>
      <c r="BM447" s="46"/>
      <c r="BN447" s="46"/>
      <c r="BO447" s="21">
        <f t="shared" si="171"/>
        <v>0</v>
      </c>
      <c r="BP447" s="13"/>
      <c r="BQ447" s="13"/>
      <c r="BR447" s="13"/>
      <c r="BS447" s="13"/>
      <c r="BT447" s="14"/>
      <c r="BU447" s="107"/>
      <c r="BV447" s="107"/>
      <c r="BW447" s="107"/>
      <c r="BX447" s="107"/>
      <c r="BY447" s="107"/>
      <c r="BZ447" s="107"/>
      <c r="CA447" s="111"/>
      <c r="CB447" s="107"/>
      <c r="CC447" s="107"/>
      <c r="CD447" s="107"/>
      <c r="CE447" s="107"/>
      <c r="CF447" s="107"/>
      <c r="CG447" s="107"/>
      <c r="CH447" s="107"/>
      <c r="CI447" s="107"/>
      <c r="CJ447" s="107"/>
    </row>
    <row r="448">
      <c r="A448" s="105"/>
      <c r="B448" s="32"/>
      <c r="C448" s="25"/>
      <c r="D448" s="41"/>
      <c r="E448" s="46"/>
      <c r="F448" s="46"/>
      <c r="G448" s="21">
        <f t="shared" si="166"/>
        <v>0</v>
      </c>
      <c r="H448" s="95"/>
      <c r="I448" s="95"/>
      <c r="J448" s="95"/>
      <c r="K448" s="86">
        <f>K438+K446</f>
        <v>459875.07</v>
      </c>
      <c r="L448" s="95"/>
      <c r="M448" s="38"/>
      <c r="N448" s="32"/>
      <c r="O448" s="25"/>
      <c r="P448" s="41"/>
      <c r="Q448" s="46"/>
      <c r="R448" s="46"/>
      <c r="S448" s="21">
        <f t="shared" si="167"/>
        <v>0</v>
      </c>
      <c r="T448" s="13"/>
      <c r="U448" s="13"/>
      <c r="V448" s="13"/>
      <c r="W448" s="13"/>
      <c r="X448" s="14"/>
      <c r="Y448" s="38"/>
      <c r="Z448" s="32"/>
      <c r="AA448" s="25"/>
      <c r="AB448" s="41"/>
      <c r="AC448" s="46"/>
      <c r="AD448" s="46"/>
      <c r="AE448" s="21">
        <f t="shared" si="168"/>
        <v>0</v>
      </c>
      <c r="AF448" s="13"/>
      <c r="AG448" s="13"/>
      <c r="AH448" s="13"/>
      <c r="AI448" s="13"/>
      <c r="AJ448" s="14"/>
      <c r="AK448" s="38"/>
      <c r="AL448" s="32"/>
      <c r="AM448" s="25"/>
      <c r="AN448" s="41"/>
      <c r="AO448" s="46"/>
      <c r="AP448" s="46"/>
      <c r="AQ448" s="21">
        <f t="shared" si="169"/>
        <v>0</v>
      </c>
      <c r="AR448" s="13"/>
      <c r="AS448" s="13"/>
      <c r="AT448" s="13"/>
      <c r="AU448" s="13"/>
      <c r="AV448" s="14"/>
      <c r="AW448" s="38"/>
      <c r="AX448" s="32"/>
      <c r="AY448" s="25"/>
      <c r="AZ448" s="41"/>
      <c r="BA448" s="46"/>
      <c r="BB448" s="46"/>
      <c r="BC448" s="21">
        <f t="shared" si="170"/>
        <v>0</v>
      </c>
      <c r="BD448" s="13"/>
      <c r="BE448" s="13"/>
      <c r="BF448" s="13"/>
      <c r="BG448" s="13"/>
      <c r="BH448" s="14"/>
      <c r="BI448" s="38"/>
      <c r="BJ448" s="32"/>
      <c r="BK448" s="25"/>
      <c r="BL448" s="41"/>
      <c r="BM448" s="46"/>
      <c r="BN448" s="46"/>
      <c r="BO448" s="21">
        <f t="shared" si="171"/>
        <v>0</v>
      </c>
      <c r="BP448" s="13"/>
      <c r="BQ448" s="13"/>
      <c r="BR448" s="13"/>
      <c r="BS448" s="13"/>
      <c r="BT448" s="14"/>
      <c r="BU448" s="107"/>
      <c r="BV448" s="107"/>
      <c r="BW448" s="107"/>
      <c r="BX448" s="107"/>
      <c r="BY448" s="107"/>
      <c r="BZ448" s="107"/>
      <c r="CA448" s="111"/>
      <c r="CB448" s="107"/>
      <c r="CC448" s="107"/>
      <c r="CD448" s="107"/>
      <c r="CE448" s="107"/>
      <c r="CF448" s="107"/>
      <c r="CG448" s="107"/>
      <c r="CH448" s="107"/>
      <c r="CI448" s="107"/>
      <c r="CJ448" s="107"/>
    </row>
    <row r="449">
      <c r="A449" s="105"/>
      <c r="B449" s="47"/>
      <c r="C449" s="25"/>
      <c r="D449" s="41"/>
      <c r="E449" s="46"/>
      <c r="F449" s="46"/>
      <c r="G449" s="21">
        <f t="shared" si="166"/>
        <v>0</v>
      </c>
      <c r="H449" s="13"/>
      <c r="I449" s="13"/>
      <c r="J449" s="13"/>
      <c r="K449" s="13"/>
      <c r="L449" s="14"/>
      <c r="M449" s="38"/>
      <c r="N449" s="47"/>
      <c r="O449" s="25"/>
      <c r="P449" s="41"/>
      <c r="Q449" s="46"/>
      <c r="R449" s="46"/>
      <c r="S449" s="21">
        <f t="shared" si="167"/>
        <v>0</v>
      </c>
      <c r="T449" s="13"/>
      <c r="U449" s="116"/>
      <c r="V449" s="117" t="s">
        <v>78</v>
      </c>
      <c r="W449" s="116"/>
      <c r="X449" s="14"/>
      <c r="Y449" s="38"/>
      <c r="Z449" s="47"/>
      <c r="AA449" s="25"/>
      <c r="AB449" s="41"/>
      <c r="AC449" s="46"/>
      <c r="AD449" s="46"/>
      <c r="AE449" s="21">
        <f t="shared" si="168"/>
        <v>0</v>
      </c>
      <c r="AF449" s="13"/>
      <c r="AG449" s="116"/>
      <c r="AH449" s="117" t="s">
        <v>59</v>
      </c>
      <c r="AI449" s="116"/>
      <c r="AJ449" s="14"/>
      <c r="AK449" s="38"/>
      <c r="AL449" s="47"/>
      <c r="AM449" s="25"/>
      <c r="AN449" s="41"/>
      <c r="AO449" s="46"/>
      <c r="AP449" s="46"/>
      <c r="AQ449" s="21">
        <f t="shared" si="169"/>
        <v>0</v>
      </c>
      <c r="AR449" s="13"/>
      <c r="AS449" s="116"/>
      <c r="AT449" s="117" t="s">
        <v>60</v>
      </c>
      <c r="AU449" s="116"/>
      <c r="AV449" s="14"/>
      <c r="AW449" s="38"/>
      <c r="AX449" s="47"/>
      <c r="AY449" s="25"/>
      <c r="AZ449" s="41"/>
      <c r="BA449" s="46"/>
      <c r="BB449" s="46"/>
      <c r="BC449" s="21">
        <f t="shared" si="170"/>
        <v>0</v>
      </c>
      <c r="BD449" s="13"/>
      <c r="BE449" s="116"/>
      <c r="BF449" s="117"/>
      <c r="BG449" s="116"/>
      <c r="BH449" s="14"/>
      <c r="BI449" s="38"/>
      <c r="BJ449" s="47"/>
      <c r="BK449" s="25"/>
      <c r="BL449" s="41"/>
      <c r="BM449" s="46"/>
      <c r="BN449" s="46"/>
      <c r="BO449" s="21">
        <f t="shared" si="171"/>
        <v>0</v>
      </c>
      <c r="BP449" s="13"/>
      <c r="BQ449" s="116"/>
      <c r="BR449" s="117" t="s">
        <v>59</v>
      </c>
      <c r="BS449" s="116"/>
      <c r="BT449" s="14"/>
      <c r="BU449" s="107"/>
      <c r="BV449" s="107"/>
      <c r="BW449" s="107"/>
      <c r="BX449" s="107"/>
      <c r="BY449" s="107"/>
      <c r="BZ449" s="107"/>
      <c r="CA449" s="111"/>
      <c r="CB449" s="107"/>
      <c r="CC449" s="107"/>
      <c r="CD449" s="107"/>
      <c r="CE449" s="107"/>
      <c r="CF449" s="107"/>
      <c r="CG449" s="107"/>
      <c r="CH449" s="107"/>
      <c r="CI449" s="107"/>
      <c r="CJ449" s="107"/>
    </row>
    <row r="450">
      <c r="A450" s="38"/>
      <c r="B450" s="47"/>
      <c r="C450" s="25"/>
      <c r="D450" s="41"/>
      <c r="E450" s="46"/>
      <c r="F450" s="46"/>
      <c r="G450" s="21">
        <f t="shared" si="166"/>
        <v>0</v>
      </c>
      <c r="H450" s="116"/>
      <c r="I450" s="117" t="s">
        <v>61</v>
      </c>
      <c r="J450" s="116"/>
      <c r="K450" s="13"/>
      <c r="L450" s="14"/>
      <c r="M450" s="38"/>
      <c r="N450" s="47"/>
      <c r="O450" s="25"/>
      <c r="P450" s="41"/>
      <c r="Q450" s="46"/>
      <c r="R450" s="46"/>
      <c r="S450" s="21">
        <f t="shared" si="167"/>
        <v>0</v>
      </c>
      <c r="T450" s="13"/>
      <c r="U450" s="118">
        <v>0.01</v>
      </c>
      <c r="V450" s="118">
        <v>0.01</v>
      </c>
      <c r="W450" s="117" t="s">
        <v>80</v>
      </c>
      <c r="X450" s="14"/>
      <c r="Y450" s="38"/>
      <c r="Z450" s="47"/>
      <c r="AA450" s="25"/>
      <c r="AB450" s="41"/>
      <c r="AC450" s="46"/>
      <c r="AD450" s="46"/>
      <c r="AE450" s="21">
        <f t="shared" si="168"/>
        <v>0</v>
      </c>
      <c r="AF450" s="13"/>
      <c r="AG450" s="118">
        <v>0.02</v>
      </c>
      <c r="AH450" s="118">
        <v>0.04</v>
      </c>
      <c r="AI450" s="118">
        <v>0.06</v>
      </c>
      <c r="AJ450" s="14"/>
      <c r="AK450" s="38"/>
      <c r="AL450" s="47"/>
      <c r="AM450" s="25"/>
      <c r="AN450" s="41"/>
      <c r="AO450" s="46"/>
      <c r="AP450" s="46"/>
      <c r="AQ450" s="21">
        <f t="shared" si="169"/>
        <v>0</v>
      </c>
      <c r="AR450" s="13"/>
      <c r="AS450" s="118">
        <v>0.03</v>
      </c>
      <c r="AT450" s="118">
        <v>0.05</v>
      </c>
      <c r="AU450" s="118">
        <v>0.07</v>
      </c>
      <c r="AV450" s="14"/>
      <c r="AW450" s="38"/>
      <c r="AX450" s="47"/>
      <c r="AY450" s="25"/>
      <c r="AZ450" s="41"/>
      <c r="BA450" s="46"/>
      <c r="BB450" s="46"/>
      <c r="BC450" s="21">
        <f t="shared" si="170"/>
        <v>0</v>
      </c>
      <c r="BD450" s="13"/>
      <c r="BE450" s="118"/>
      <c r="BF450" s="118"/>
      <c r="BG450" s="117"/>
      <c r="BH450" s="14"/>
      <c r="BI450" s="38"/>
      <c r="BJ450" s="47"/>
      <c r="BK450" s="25"/>
      <c r="BL450" s="41"/>
      <c r="BM450" s="46"/>
      <c r="BN450" s="46"/>
      <c r="BO450" s="21">
        <f t="shared" si="171"/>
        <v>0</v>
      </c>
      <c r="BP450" s="13"/>
      <c r="BQ450" s="118">
        <v>0.03</v>
      </c>
      <c r="BR450" s="118">
        <v>0.05</v>
      </c>
      <c r="BS450" s="118">
        <v>0.07</v>
      </c>
      <c r="BT450" s="14"/>
      <c r="BU450" s="107"/>
      <c r="BV450" s="107"/>
      <c r="BW450" s="107"/>
      <c r="BX450" s="107"/>
      <c r="BY450" s="107"/>
      <c r="BZ450" s="107"/>
      <c r="CA450" s="111"/>
      <c r="CB450" s="107"/>
      <c r="CC450" s="107"/>
      <c r="CD450" s="107"/>
      <c r="CE450" s="107"/>
      <c r="CF450" s="107"/>
      <c r="CG450" s="107"/>
      <c r="CH450" s="107"/>
      <c r="CI450" s="107"/>
      <c r="CJ450" s="107"/>
    </row>
    <row r="451">
      <c r="A451" s="38"/>
      <c r="B451" s="47"/>
      <c r="C451" s="25"/>
      <c r="D451" s="41"/>
      <c r="E451" s="46"/>
      <c r="F451" s="46"/>
      <c r="G451" s="21">
        <f t="shared" si="166"/>
        <v>0</v>
      </c>
      <c r="H451" s="118">
        <v>0.03</v>
      </c>
      <c r="I451" s="118">
        <v>0.05</v>
      </c>
      <c r="J451" s="118">
        <v>0.07</v>
      </c>
      <c r="K451" s="13"/>
      <c r="L451" s="14"/>
      <c r="M451" s="38"/>
      <c r="N451" s="47"/>
      <c r="O451" s="25"/>
      <c r="P451" s="41"/>
      <c r="Q451" s="46"/>
      <c r="R451" s="46"/>
      <c r="S451" s="21">
        <f t="shared" si="167"/>
        <v>0</v>
      </c>
      <c r="T451" s="13"/>
      <c r="U451" s="117">
        <v>5.0</v>
      </c>
      <c r="V451" s="117">
        <v>7.0</v>
      </c>
      <c r="W451" s="117">
        <v>10.0</v>
      </c>
      <c r="X451" s="14"/>
      <c r="Y451" s="38"/>
      <c r="Z451" s="47"/>
      <c r="AA451" s="25"/>
      <c r="AB451" s="41"/>
      <c r="AC451" s="46"/>
      <c r="AD451" s="46"/>
      <c r="AE451" s="21">
        <f t="shared" si="168"/>
        <v>0</v>
      </c>
      <c r="AF451" s="13"/>
      <c r="AG451" s="117">
        <v>5.0</v>
      </c>
      <c r="AH451" s="117">
        <v>7.0</v>
      </c>
      <c r="AI451" s="117">
        <v>10.0</v>
      </c>
      <c r="AJ451" s="14"/>
      <c r="AK451" s="38"/>
      <c r="AL451" s="47"/>
      <c r="AM451" s="25"/>
      <c r="AN451" s="41"/>
      <c r="AO451" s="46"/>
      <c r="AP451" s="46"/>
      <c r="AQ451" s="21">
        <f t="shared" si="169"/>
        <v>0</v>
      </c>
      <c r="AR451" s="13"/>
      <c r="AS451" s="117">
        <v>5.0</v>
      </c>
      <c r="AT451" s="117">
        <v>7.0</v>
      </c>
      <c r="AU451" s="117">
        <v>10.0</v>
      </c>
      <c r="AV451" s="14"/>
      <c r="AW451" s="38"/>
      <c r="AX451" s="47"/>
      <c r="AY451" s="25"/>
      <c r="AZ451" s="41"/>
      <c r="BA451" s="46"/>
      <c r="BB451" s="46"/>
      <c r="BC451" s="21">
        <f t="shared" si="170"/>
        <v>0</v>
      </c>
      <c r="BD451" s="13"/>
      <c r="BE451" s="117"/>
      <c r="BF451" s="117"/>
      <c r="BG451" s="117"/>
      <c r="BH451" s="14"/>
      <c r="BI451" s="38"/>
      <c r="BJ451" s="47"/>
      <c r="BK451" s="25"/>
      <c r="BL451" s="41"/>
      <c r="BM451" s="46"/>
      <c r="BN451" s="46"/>
      <c r="BO451" s="21">
        <f t="shared" si="171"/>
        <v>0</v>
      </c>
      <c r="BP451" s="13"/>
      <c r="BQ451" s="117">
        <v>5.0</v>
      </c>
      <c r="BR451" s="117">
        <v>7.0</v>
      </c>
      <c r="BS451" s="117">
        <v>10.0</v>
      </c>
      <c r="BT451" s="14"/>
      <c r="BU451" s="107"/>
      <c r="BV451" s="107"/>
      <c r="BW451" s="107"/>
      <c r="BX451" s="107"/>
      <c r="BY451" s="107"/>
      <c r="BZ451" s="107"/>
      <c r="CA451" s="111"/>
      <c r="CB451" s="107"/>
      <c r="CC451" s="107"/>
      <c r="CD451" s="107"/>
      <c r="CE451" s="107"/>
      <c r="CF451" s="107"/>
      <c r="CG451" s="107"/>
      <c r="CH451" s="107"/>
      <c r="CI451" s="107"/>
      <c r="CJ451" s="107"/>
    </row>
    <row r="452">
      <c r="A452" s="38"/>
      <c r="B452" s="32"/>
      <c r="C452" s="25"/>
      <c r="D452" s="41"/>
      <c r="E452" s="49"/>
      <c r="F452" s="49"/>
      <c r="G452" s="21">
        <f t="shared" si="166"/>
        <v>0</v>
      </c>
      <c r="H452" s="117">
        <v>5.0</v>
      </c>
      <c r="I452" s="117">
        <v>7.0</v>
      </c>
      <c r="J452" s="117">
        <v>10.0</v>
      </c>
      <c r="K452" s="13"/>
      <c r="L452" s="14"/>
      <c r="M452" s="38"/>
      <c r="N452" s="32"/>
      <c r="O452" s="25"/>
      <c r="P452" s="41"/>
      <c r="Q452" s="49"/>
      <c r="R452" s="49"/>
      <c r="S452" s="21">
        <f t="shared" si="167"/>
        <v>0</v>
      </c>
      <c r="T452" s="13"/>
      <c r="U452" s="13"/>
      <c r="V452" s="13"/>
      <c r="W452" s="13"/>
      <c r="X452" s="14"/>
      <c r="Y452" s="38"/>
      <c r="Z452" s="32"/>
      <c r="AA452" s="25"/>
      <c r="AB452" s="41"/>
      <c r="AC452" s="49"/>
      <c r="AD452" s="49"/>
      <c r="AE452" s="21">
        <f t="shared" si="168"/>
        <v>0</v>
      </c>
      <c r="AF452" s="13"/>
      <c r="AG452" s="13"/>
      <c r="AH452" s="13"/>
      <c r="AI452" s="13"/>
      <c r="AJ452" s="14"/>
      <c r="AK452" s="38"/>
      <c r="AL452" s="32"/>
      <c r="AM452" s="25"/>
      <c r="AN452" s="41"/>
      <c r="AO452" s="49"/>
      <c r="AP452" s="49"/>
      <c r="AQ452" s="21">
        <f t="shared" si="169"/>
        <v>0</v>
      </c>
      <c r="AR452" s="13"/>
      <c r="AS452" s="13"/>
      <c r="AT452" s="13"/>
      <c r="AU452" s="13"/>
      <c r="AV452" s="14"/>
      <c r="AW452" s="38"/>
      <c r="AX452" s="32"/>
      <c r="AY452" s="25"/>
      <c r="AZ452" s="41"/>
      <c r="BA452" s="49"/>
      <c r="BB452" s="49"/>
      <c r="BC452" s="21">
        <f t="shared" si="170"/>
        <v>0</v>
      </c>
      <c r="BD452" s="13"/>
      <c r="BE452" s="13"/>
      <c r="BF452" s="13"/>
      <c r="BG452" s="13"/>
      <c r="BH452" s="14"/>
      <c r="BI452" s="38"/>
      <c r="BJ452" s="32"/>
      <c r="BK452" s="25"/>
      <c r="BL452" s="41"/>
      <c r="BM452" s="49"/>
      <c r="BN452" s="49"/>
      <c r="BO452" s="21">
        <f t="shared" si="171"/>
        <v>0</v>
      </c>
      <c r="BP452" s="13"/>
      <c r="BQ452" s="13"/>
      <c r="BR452" s="13"/>
      <c r="BS452" s="13"/>
      <c r="BT452" s="14"/>
      <c r="BU452" s="107"/>
      <c r="BV452" s="107"/>
      <c r="BW452" s="107"/>
      <c r="BX452" s="107"/>
      <c r="BY452" s="107"/>
      <c r="BZ452" s="107"/>
      <c r="CA452" s="111"/>
      <c r="CB452" s="107"/>
      <c r="CC452" s="107"/>
      <c r="CD452" s="107"/>
      <c r="CE452" s="107"/>
      <c r="CF452" s="107"/>
      <c r="CG452" s="107"/>
      <c r="CH452" s="107"/>
      <c r="CI452" s="107"/>
      <c r="CJ452" s="107"/>
    </row>
    <row r="453">
      <c r="A453" s="38"/>
      <c r="B453" s="32"/>
      <c r="C453" s="25"/>
      <c r="D453" s="41"/>
      <c r="E453" s="49"/>
      <c r="F453" s="49"/>
      <c r="G453" s="21">
        <f t="shared" si="166"/>
        <v>0</v>
      </c>
      <c r="H453" s="13"/>
      <c r="I453" s="13"/>
      <c r="J453" s="13"/>
      <c r="K453" s="13"/>
      <c r="L453" s="14"/>
      <c r="M453" s="38"/>
      <c r="N453" s="32"/>
      <c r="O453" s="25"/>
      <c r="P453" s="41"/>
      <c r="Q453" s="49"/>
      <c r="R453" s="49"/>
      <c r="S453" s="21">
        <f t="shared" si="167"/>
        <v>0</v>
      </c>
      <c r="T453" s="13"/>
      <c r="U453" s="13"/>
      <c r="V453" s="13"/>
      <c r="W453" s="13"/>
      <c r="X453" s="14"/>
      <c r="Y453" s="38"/>
      <c r="Z453" s="32"/>
      <c r="AA453" s="25"/>
      <c r="AB453" s="41"/>
      <c r="AC453" s="49"/>
      <c r="AD453" s="49"/>
      <c r="AE453" s="21">
        <f t="shared" si="168"/>
        <v>0</v>
      </c>
      <c r="AF453" s="13"/>
      <c r="AG453" s="13"/>
      <c r="AH453" s="13"/>
      <c r="AI453" s="13"/>
      <c r="AJ453" s="14"/>
      <c r="AK453" s="38"/>
      <c r="AL453" s="32"/>
      <c r="AM453" s="25"/>
      <c r="AN453" s="41"/>
      <c r="AO453" s="49"/>
      <c r="AP453" s="49"/>
      <c r="AQ453" s="21">
        <f t="shared" si="169"/>
        <v>0</v>
      </c>
      <c r="AR453" s="13"/>
      <c r="AS453" s="13"/>
      <c r="AT453" s="13"/>
      <c r="AU453" s="13"/>
      <c r="AV453" s="14"/>
      <c r="AW453" s="38"/>
      <c r="AX453" s="32"/>
      <c r="AY453" s="25"/>
      <c r="AZ453" s="41"/>
      <c r="BA453" s="49"/>
      <c r="BB453" s="49"/>
      <c r="BC453" s="21">
        <f t="shared" si="170"/>
        <v>0</v>
      </c>
      <c r="BD453" s="13"/>
      <c r="BE453" s="13"/>
      <c r="BF453" s="13"/>
      <c r="BG453" s="13"/>
      <c r="BH453" s="14"/>
      <c r="BI453" s="38"/>
      <c r="BJ453" s="32"/>
      <c r="BK453" s="25"/>
      <c r="BL453" s="41"/>
      <c r="BM453" s="49"/>
      <c r="BN453" s="49"/>
      <c r="BO453" s="21">
        <f t="shared" si="171"/>
        <v>0</v>
      </c>
      <c r="BP453" s="13"/>
      <c r="BQ453" s="13"/>
      <c r="BR453" s="13"/>
      <c r="BS453" s="13"/>
      <c r="BT453" s="14"/>
      <c r="BU453" s="107"/>
      <c r="BV453" s="107"/>
      <c r="BW453" s="107"/>
      <c r="BX453" s="107"/>
      <c r="BY453" s="107"/>
      <c r="BZ453" s="107"/>
      <c r="CA453" s="111"/>
      <c r="CB453" s="107"/>
      <c r="CC453" s="107"/>
      <c r="CD453" s="107"/>
      <c r="CE453" s="107"/>
      <c r="CF453" s="107"/>
      <c r="CG453" s="107"/>
      <c r="CH453" s="107"/>
      <c r="CI453" s="107"/>
      <c r="CJ453" s="107"/>
    </row>
    <row r="454">
      <c r="A454" s="38"/>
      <c r="B454" s="32"/>
      <c r="C454" s="25"/>
      <c r="D454" s="41"/>
      <c r="E454" s="49"/>
      <c r="F454" s="49"/>
      <c r="G454" s="21">
        <f t="shared" si="166"/>
        <v>0</v>
      </c>
      <c r="H454" s="13"/>
      <c r="I454" s="13"/>
      <c r="J454" s="67"/>
      <c r="K454" s="13"/>
      <c r="L454" s="14"/>
      <c r="M454" s="38"/>
      <c r="N454" s="32"/>
      <c r="O454" s="25"/>
      <c r="P454" s="41"/>
      <c r="Q454" s="49"/>
      <c r="R454" s="49"/>
      <c r="S454" s="21">
        <f t="shared" si="167"/>
        <v>0</v>
      </c>
      <c r="T454" s="13"/>
      <c r="U454" s="13"/>
      <c r="V454" s="13"/>
      <c r="W454" s="13"/>
      <c r="X454" s="14"/>
      <c r="Y454" s="38"/>
      <c r="Z454" s="32"/>
      <c r="AA454" s="25"/>
      <c r="AB454" s="41"/>
      <c r="AC454" s="49"/>
      <c r="AD454" s="49"/>
      <c r="AE454" s="21">
        <f t="shared" si="168"/>
        <v>0</v>
      </c>
      <c r="AF454" s="13"/>
      <c r="AG454" s="13"/>
      <c r="AH454" s="13"/>
      <c r="AI454" s="13"/>
      <c r="AJ454" s="14"/>
      <c r="AK454" s="38"/>
      <c r="AL454" s="32"/>
      <c r="AM454" s="25"/>
      <c r="AN454" s="41"/>
      <c r="AO454" s="49"/>
      <c r="AP454" s="49"/>
      <c r="AQ454" s="21">
        <f t="shared" si="169"/>
        <v>0</v>
      </c>
      <c r="AR454" s="13"/>
      <c r="AS454" s="13"/>
      <c r="AT454" s="13"/>
      <c r="AU454" s="13"/>
      <c r="AV454" s="14"/>
      <c r="AW454" s="38"/>
      <c r="AX454" s="32"/>
      <c r="AY454" s="25"/>
      <c r="AZ454" s="41"/>
      <c r="BA454" s="49"/>
      <c r="BB454" s="49"/>
      <c r="BC454" s="21">
        <f t="shared" si="170"/>
        <v>0</v>
      </c>
      <c r="BD454" s="13"/>
      <c r="BE454" s="13"/>
      <c r="BF454" s="13"/>
      <c r="BG454" s="13"/>
      <c r="BH454" s="14"/>
      <c r="BI454" s="38"/>
      <c r="BJ454" s="32"/>
      <c r="BK454" s="25"/>
      <c r="BL454" s="41"/>
      <c r="BM454" s="49"/>
      <c r="BN454" s="49"/>
      <c r="BO454" s="21">
        <f t="shared" si="171"/>
        <v>0</v>
      </c>
      <c r="BP454" s="13"/>
      <c r="BQ454" s="13"/>
      <c r="BR454" s="13"/>
      <c r="BS454" s="13"/>
      <c r="BT454" s="14"/>
      <c r="BU454" s="107"/>
      <c r="BV454" s="107"/>
      <c r="BW454" s="107"/>
      <c r="BX454" s="107"/>
      <c r="BY454" s="107"/>
      <c r="BZ454" s="107"/>
      <c r="CA454" s="111"/>
      <c r="CB454" s="107"/>
      <c r="CC454" s="107"/>
      <c r="CD454" s="107"/>
      <c r="CE454" s="107"/>
      <c r="CF454" s="107"/>
      <c r="CG454" s="107"/>
      <c r="CH454" s="107"/>
      <c r="CI454" s="107"/>
      <c r="CJ454" s="107"/>
    </row>
    <row r="455">
      <c r="A455" s="38"/>
      <c r="B455" s="32"/>
      <c r="C455" s="25"/>
      <c r="D455" s="41"/>
      <c r="E455" s="46"/>
      <c r="F455" s="46"/>
      <c r="G455" s="21">
        <f t="shared" si="166"/>
        <v>0</v>
      </c>
      <c r="H455" s="13"/>
      <c r="I455" s="67" t="s">
        <v>85</v>
      </c>
      <c r="J455" s="13"/>
      <c r="K455" s="13"/>
      <c r="L455" s="14"/>
      <c r="M455" s="38"/>
      <c r="N455" s="32"/>
      <c r="O455" s="25"/>
      <c r="P455" s="41"/>
      <c r="Q455" s="46"/>
      <c r="R455" s="46"/>
      <c r="S455" s="21">
        <f t="shared" si="167"/>
        <v>0</v>
      </c>
      <c r="T455" s="13"/>
      <c r="U455" s="13"/>
      <c r="V455" s="13"/>
      <c r="W455" s="13"/>
      <c r="X455" s="14"/>
      <c r="Y455" s="38"/>
      <c r="Z455" s="32"/>
      <c r="AA455" s="25"/>
      <c r="AB455" s="41"/>
      <c r="AC455" s="46"/>
      <c r="AD455" s="46"/>
      <c r="AE455" s="21">
        <f t="shared" si="168"/>
        <v>0</v>
      </c>
      <c r="AF455" s="13"/>
      <c r="AG455" s="13"/>
      <c r="AH455" s="13"/>
      <c r="AI455" s="13"/>
      <c r="AJ455" s="14"/>
      <c r="AK455" s="38"/>
      <c r="AL455" s="32"/>
      <c r="AM455" s="25"/>
      <c r="AN455" s="41"/>
      <c r="AO455" s="46"/>
      <c r="AP455" s="46"/>
      <c r="AQ455" s="21">
        <f t="shared" si="169"/>
        <v>0</v>
      </c>
      <c r="AR455" s="13"/>
      <c r="AS455" s="13"/>
      <c r="AT455" s="13"/>
      <c r="AU455" s="13"/>
      <c r="AV455" s="14"/>
      <c r="AW455" s="38"/>
      <c r="AX455" s="32"/>
      <c r="AY455" s="25"/>
      <c r="AZ455" s="41"/>
      <c r="BA455" s="46"/>
      <c r="BB455" s="46"/>
      <c r="BC455" s="21">
        <f t="shared" si="170"/>
        <v>0</v>
      </c>
      <c r="BD455" s="13"/>
      <c r="BE455" s="13"/>
      <c r="BF455" s="13"/>
      <c r="BG455" s="13"/>
      <c r="BH455" s="14"/>
      <c r="BI455" s="38"/>
      <c r="BJ455" s="32"/>
      <c r="BK455" s="25"/>
      <c r="BL455" s="41"/>
      <c r="BM455" s="46"/>
      <c r="BN455" s="46"/>
      <c r="BO455" s="21">
        <f t="shared" si="171"/>
        <v>0</v>
      </c>
      <c r="BP455" s="13"/>
      <c r="BQ455" s="13"/>
      <c r="BR455" s="13"/>
      <c r="BS455" s="13"/>
      <c r="BT455" s="14"/>
      <c r="BU455" s="107"/>
      <c r="BV455" s="107"/>
      <c r="BW455" s="107"/>
      <c r="BX455" s="107"/>
      <c r="BY455" s="107"/>
      <c r="BZ455" s="107"/>
      <c r="CA455" s="111"/>
      <c r="CB455" s="107"/>
      <c r="CC455" s="107"/>
      <c r="CD455" s="107"/>
      <c r="CE455" s="107"/>
      <c r="CF455" s="107"/>
      <c r="CG455" s="107"/>
      <c r="CH455" s="107"/>
      <c r="CI455" s="107"/>
      <c r="CJ455" s="107"/>
    </row>
    <row r="456">
      <c r="A456" s="38"/>
      <c r="B456" s="47"/>
      <c r="C456" s="25"/>
      <c r="D456" s="41"/>
      <c r="E456" s="49"/>
      <c r="F456" s="49"/>
      <c r="G456" s="21">
        <f t="shared" si="166"/>
        <v>0</v>
      </c>
      <c r="H456" s="13"/>
      <c r="I456" s="142">
        <v>40363.0</v>
      </c>
      <c r="J456" s="13"/>
      <c r="K456" s="13"/>
      <c r="L456" s="14"/>
      <c r="M456" s="38"/>
      <c r="N456" s="47"/>
      <c r="O456" s="25"/>
      <c r="P456" s="41"/>
      <c r="Q456" s="49"/>
      <c r="R456" s="49"/>
      <c r="S456" s="21">
        <f t="shared" si="167"/>
        <v>0</v>
      </c>
      <c r="T456" s="13"/>
      <c r="U456" s="67"/>
      <c r="V456" s="67"/>
      <c r="W456" s="13"/>
      <c r="X456" s="14"/>
      <c r="Y456" s="38"/>
      <c r="Z456" s="47"/>
      <c r="AA456" s="25"/>
      <c r="AB456" s="41"/>
      <c r="AC456" s="49"/>
      <c r="AD456" s="49"/>
      <c r="AE456" s="21">
        <f t="shared" si="168"/>
        <v>0</v>
      </c>
      <c r="AF456" s="13"/>
      <c r="AG456" s="13"/>
      <c r="AH456" s="13"/>
      <c r="AI456" s="13"/>
      <c r="AJ456" s="14"/>
      <c r="AK456" s="38"/>
      <c r="AL456" s="47"/>
      <c r="AM456" s="25"/>
      <c r="AN456" s="41"/>
      <c r="AO456" s="49"/>
      <c r="AP456" s="49"/>
      <c r="AQ456" s="21">
        <f t="shared" si="169"/>
        <v>0</v>
      </c>
      <c r="AR456" s="13"/>
      <c r="AS456" s="13"/>
      <c r="AT456" s="13"/>
      <c r="AU456" s="13"/>
      <c r="AV456" s="14"/>
      <c r="AW456" s="38"/>
      <c r="AX456" s="47"/>
      <c r="AY456" s="25"/>
      <c r="AZ456" s="41"/>
      <c r="BA456" s="49"/>
      <c r="BB456" s="49"/>
      <c r="BC456" s="21">
        <f t="shared" si="170"/>
        <v>0</v>
      </c>
      <c r="BD456" s="13"/>
      <c r="BE456" s="13"/>
      <c r="BF456" s="13"/>
      <c r="BG456" s="13"/>
      <c r="BH456" s="14"/>
      <c r="BI456" s="38"/>
      <c r="BJ456" s="47"/>
      <c r="BK456" s="25"/>
      <c r="BL456" s="41"/>
      <c r="BM456" s="49"/>
      <c r="BN456" s="49"/>
      <c r="BO456" s="21">
        <f t="shared" si="171"/>
        <v>0</v>
      </c>
      <c r="BP456" s="13"/>
      <c r="BQ456" s="13"/>
      <c r="BR456" s="13"/>
      <c r="BS456" s="13"/>
      <c r="BT456" s="14"/>
      <c r="BU456" s="107"/>
      <c r="BV456" s="107"/>
      <c r="BW456" s="107"/>
      <c r="BX456" s="107"/>
      <c r="BY456" s="107"/>
      <c r="BZ456" s="107"/>
      <c r="CA456" s="111"/>
      <c r="CB456" s="107"/>
      <c r="CC456" s="107"/>
      <c r="CD456" s="107"/>
      <c r="CE456" s="107"/>
      <c r="CF456" s="107"/>
      <c r="CG456" s="107"/>
      <c r="CH456" s="107"/>
      <c r="CI456" s="107"/>
      <c r="CJ456" s="107"/>
    </row>
    <row r="457">
      <c r="A457" s="38"/>
      <c r="B457" s="32"/>
      <c r="C457" s="25"/>
      <c r="D457" s="41"/>
      <c r="E457" s="49"/>
      <c r="F457" s="49"/>
      <c r="G457" s="21">
        <f t="shared" si="166"/>
        <v>0</v>
      </c>
      <c r="H457" s="13"/>
      <c r="I457" s="67"/>
      <c r="J457" s="13"/>
      <c r="K457" s="13"/>
      <c r="L457" s="14"/>
      <c r="M457" s="38"/>
      <c r="N457" s="32"/>
      <c r="O457" s="25"/>
      <c r="P457" s="41"/>
      <c r="Q457" s="49"/>
      <c r="R457" s="49"/>
      <c r="S457" s="21">
        <f t="shared" si="167"/>
        <v>0</v>
      </c>
      <c r="T457" s="13"/>
      <c r="U457" s="13"/>
      <c r="V457" s="13"/>
      <c r="W457" s="13"/>
      <c r="X457" s="14"/>
      <c r="Y457" s="38"/>
      <c r="Z457" s="32"/>
      <c r="AA457" s="25"/>
      <c r="AB457" s="41"/>
      <c r="AC457" s="49"/>
      <c r="AD457" s="49"/>
      <c r="AE457" s="21">
        <f t="shared" si="168"/>
        <v>0</v>
      </c>
      <c r="AF457" s="13"/>
      <c r="AG457" s="13"/>
      <c r="AH457" s="13"/>
      <c r="AI457" s="13"/>
      <c r="AJ457" s="14"/>
      <c r="AK457" s="38"/>
      <c r="AL457" s="32"/>
      <c r="AM457" s="25"/>
      <c r="AN457" s="41"/>
      <c r="AO457" s="49"/>
      <c r="AP457" s="49"/>
      <c r="AQ457" s="21">
        <f t="shared" si="169"/>
        <v>0</v>
      </c>
      <c r="AR457" s="13"/>
      <c r="AS457" s="13"/>
      <c r="AT457" s="13"/>
      <c r="AU457" s="13"/>
      <c r="AV457" s="14"/>
      <c r="AW457" s="38"/>
      <c r="AX457" s="32"/>
      <c r="AY457" s="25"/>
      <c r="AZ457" s="41"/>
      <c r="BA457" s="49"/>
      <c r="BB457" s="49"/>
      <c r="BC457" s="21">
        <f t="shared" si="170"/>
        <v>0</v>
      </c>
      <c r="BD457" s="13"/>
      <c r="BE457" s="13"/>
      <c r="BF457" s="13"/>
      <c r="BG457" s="13"/>
      <c r="BH457" s="14"/>
      <c r="BI457" s="38"/>
      <c r="BJ457" s="32"/>
      <c r="BK457" s="25"/>
      <c r="BL457" s="41"/>
      <c r="BM457" s="49"/>
      <c r="BN457" s="49"/>
      <c r="BO457" s="21">
        <f t="shared" si="171"/>
        <v>0</v>
      </c>
      <c r="BP457" s="13"/>
      <c r="BQ457" s="13"/>
      <c r="BR457" s="13"/>
      <c r="BS457" s="13"/>
      <c r="BT457" s="14"/>
      <c r="BU457" s="107"/>
      <c r="BV457" s="107"/>
      <c r="BW457" s="107"/>
      <c r="BX457" s="107"/>
      <c r="BY457" s="107"/>
      <c r="BZ457" s="107"/>
      <c r="CA457" s="111"/>
      <c r="CB457" s="107"/>
      <c r="CC457" s="107"/>
      <c r="CD457" s="107"/>
      <c r="CE457" s="107"/>
      <c r="CF457" s="107"/>
      <c r="CG457" s="107"/>
      <c r="CH457" s="107"/>
      <c r="CI457" s="107"/>
      <c r="CJ457" s="107"/>
    </row>
    <row r="458">
      <c r="A458" s="38"/>
      <c r="B458" s="32"/>
      <c r="C458" s="25"/>
      <c r="D458" s="41"/>
      <c r="E458" s="49"/>
      <c r="F458" s="49"/>
      <c r="G458" s="21">
        <f t="shared" si="166"/>
        <v>0</v>
      </c>
      <c r="H458" s="13"/>
      <c r="I458" s="67"/>
      <c r="J458" s="13"/>
      <c r="K458" s="13"/>
      <c r="L458" s="14"/>
      <c r="M458" s="38"/>
      <c r="N458" s="32"/>
      <c r="O458" s="25"/>
      <c r="P458" s="41"/>
      <c r="Q458" s="49"/>
      <c r="R458" s="49"/>
      <c r="S458" s="21">
        <f t="shared" si="167"/>
        <v>0</v>
      </c>
      <c r="T458" s="13"/>
      <c r="U458" s="13"/>
      <c r="V458" s="13"/>
      <c r="W458" s="13"/>
      <c r="X458" s="14"/>
      <c r="Y458" s="38"/>
      <c r="Z458" s="32"/>
      <c r="AA458" s="25"/>
      <c r="AB458" s="41"/>
      <c r="AC458" s="49"/>
      <c r="AD458" s="49"/>
      <c r="AE458" s="21">
        <f t="shared" si="168"/>
        <v>0</v>
      </c>
      <c r="AF458" s="13"/>
      <c r="AG458" s="13"/>
      <c r="AH458" s="13"/>
      <c r="AI458" s="13"/>
      <c r="AJ458" s="14"/>
      <c r="AK458" s="38"/>
      <c r="AL458" s="32"/>
      <c r="AM458" s="25"/>
      <c r="AN458" s="41"/>
      <c r="AO458" s="49"/>
      <c r="AP458" s="49"/>
      <c r="AQ458" s="21">
        <f t="shared" si="169"/>
        <v>0</v>
      </c>
      <c r="AR458" s="13"/>
      <c r="AS458" s="13"/>
      <c r="AT458" s="13"/>
      <c r="AU458" s="13"/>
      <c r="AV458" s="14"/>
      <c r="AW458" s="38"/>
      <c r="AX458" s="32"/>
      <c r="AY458" s="25"/>
      <c r="AZ458" s="41"/>
      <c r="BA458" s="49"/>
      <c r="BB458" s="49"/>
      <c r="BC458" s="21">
        <f t="shared" si="170"/>
        <v>0</v>
      </c>
      <c r="BD458" s="13"/>
      <c r="BE458" s="13"/>
      <c r="BF458" s="13"/>
      <c r="BG458" s="13"/>
      <c r="BH458" s="14"/>
      <c r="BI458" s="38"/>
      <c r="BJ458" s="32"/>
      <c r="BK458" s="25"/>
      <c r="BL458" s="41"/>
      <c r="BM458" s="49"/>
      <c r="BN458" s="49"/>
      <c r="BO458" s="21">
        <f t="shared" si="171"/>
        <v>0</v>
      </c>
      <c r="BP458" s="13"/>
      <c r="BQ458" s="13"/>
      <c r="BR458" s="13"/>
      <c r="BS458" s="13"/>
      <c r="BT458" s="14"/>
      <c r="BU458" s="107"/>
      <c r="BV458" s="107"/>
      <c r="BW458" s="107"/>
      <c r="BX458" s="107"/>
      <c r="BY458" s="107"/>
      <c r="BZ458" s="107"/>
      <c r="CA458" s="111"/>
      <c r="CB458" s="107"/>
      <c r="CC458" s="107"/>
      <c r="CD458" s="107"/>
      <c r="CE458" s="107"/>
      <c r="CF458" s="107"/>
      <c r="CG458" s="107"/>
      <c r="CH458" s="107"/>
      <c r="CI458" s="107"/>
      <c r="CJ458" s="107"/>
    </row>
    <row r="459">
      <c r="A459" s="50"/>
      <c r="B459" s="32"/>
      <c r="C459" s="25"/>
      <c r="D459" s="41"/>
      <c r="E459" s="49"/>
      <c r="F459" s="49"/>
      <c r="G459" s="88">
        <f t="shared" si="166"/>
        <v>0</v>
      </c>
      <c r="H459" s="89"/>
      <c r="I459" s="104"/>
      <c r="J459" s="89"/>
      <c r="K459" s="89"/>
      <c r="L459" s="90"/>
      <c r="M459" s="50"/>
      <c r="N459" s="32"/>
      <c r="O459" s="25"/>
      <c r="P459" s="41"/>
      <c r="Q459" s="49"/>
      <c r="R459" s="49"/>
      <c r="S459" s="21">
        <f t="shared" si="167"/>
        <v>0</v>
      </c>
      <c r="T459" s="89"/>
      <c r="U459" s="89"/>
      <c r="V459" s="89"/>
      <c r="W459" s="89"/>
      <c r="X459" s="90"/>
      <c r="Y459" s="50"/>
      <c r="Z459" s="32"/>
      <c r="AA459" s="25"/>
      <c r="AB459" s="41"/>
      <c r="AC459" s="49"/>
      <c r="AD459" s="49"/>
      <c r="AE459" s="21">
        <f t="shared" si="168"/>
        <v>0</v>
      </c>
      <c r="AF459" s="89"/>
      <c r="AG459" s="89"/>
      <c r="AH459" s="89"/>
      <c r="AI459" s="89"/>
      <c r="AJ459" s="90"/>
      <c r="AK459" s="50"/>
      <c r="AL459" s="32"/>
      <c r="AM459" s="25"/>
      <c r="AN459" s="41"/>
      <c r="AO459" s="49"/>
      <c r="AP459" s="49"/>
      <c r="AQ459" s="21">
        <f t="shared" si="169"/>
        <v>0</v>
      </c>
      <c r="AR459" s="89"/>
      <c r="AS459" s="89"/>
      <c r="AT459" s="89"/>
      <c r="AU459" s="89"/>
      <c r="AV459" s="90"/>
      <c r="AW459" s="50"/>
      <c r="AX459" s="32"/>
      <c r="AY459" s="25"/>
      <c r="AZ459" s="41"/>
      <c r="BA459" s="49"/>
      <c r="BB459" s="49"/>
      <c r="BC459" s="21">
        <f t="shared" si="170"/>
        <v>0</v>
      </c>
      <c r="BD459" s="89"/>
      <c r="BE459" s="89"/>
      <c r="BF459" s="89"/>
      <c r="BG459" s="89"/>
      <c r="BH459" s="90"/>
      <c r="BI459" s="50"/>
      <c r="BJ459" s="32"/>
      <c r="BK459" s="25"/>
      <c r="BL459" s="41"/>
      <c r="BM459" s="49"/>
      <c r="BN459" s="49"/>
      <c r="BO459" s="21">
        <f t="shared" si="171"/>
        <v>0</v>
      </c>
      <c r="BP459" s="89"/>
      <c r="BQ459" s="89"/>
      <c r="BR459" s="89"/>
      <c r="BS459" s="89"/>
      <c r="BT459" s="90"/>
      <c r="BU459" s="107"/>
      <c r="BV459" s="107"/>
      <c r="BW459" s="107"/>
      <c r="BX459" s="107"/>
      <c r="BY459" s="107"/>
      <c r="BZ459" s="107"/>
      <c r="CA459" s="111"/>
      <c r="CB459" s="107"/>
      <c r="CC459" s="107"/>
      <c r="CD459" s="107"/>
      <c r="CE459" s="107"/>
      <c r="CF459" s="107"/>
      <c r="CG459" s="107"/>
      <c r="CH459" s="107"/>
      <c r="CI459" s="107"/>
      <c r="CJ459" s="107"/>
    </row>
    <row r="460">
      <c r="A460" s="1" t="s">
        <v>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1" t="s">
        <v>2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3"/>
      <c r="Y460" s="1" t="s">
        <v>88</v>
      </c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3"/>
      <c r="AK460" s="1" t="s">
        <v>97</v>
      </c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3"/>
      <c r="AW460" s="1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3"/>
      <c r="BI460" s="1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3"/>
      <c r="BU460" s="4"/>
      <c r="CG460" s="107"/>
      <c r="CH460" s="107"/>
      <c r="CI460" s="107"/>
      <c r="CJ460" s="107"/>
    </row>
    <row r="461">
      <c r="A461" s="5" t="s">
        <v>98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5" t="s">
        <v>94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5" t="s">
        <v>94</v>
      </c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5" t="s">
        <v>94</v>
      </c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5" t="s">
        <v>94</v>
      </c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5" t="s">
        <v>94</v>
      </c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5" t="s">
        <v>94</v>
      </c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107"/>
      <c r="CH461" s="107"/>
      <c r="CI461" s="107"/>
      <c r="CJ461" s="107"/>
    </row>
    <row r="462">
      <c r="A462" s="7" t="s">
        <v>5</v>
      </c>
      <c r="B462" s="8" t="s">
        <v>6</v>
      </c>
      <c r="C462" s="9" t="s">
        <v>7</v>
      </c>
      <c r="D462" s="10" t="s">
        <v>8</v>
      </c>
      <c r="E462" s="11" t="s">
        <v>9</v>
      </c>
      <c r="F462" s="11" t="s">
        <v>10</v>
      </c>
      <c r="G462" s="12" t="s">
        <v>11</v>
      </c>
      <c r="H462" s="12" t="s">
        <v>12</v>
      </c>
      <c r="I462" s="12" t="s">
        <v>13</v>
      </c>
      <c r="J462" s="13" t="s">
        <v>14</v>
      </c>
      <c r="K462" s="67" t="s">
        <v>15</v>
      </c>
      <c r="L462" s="14" t="s">
        <v>16</v>
      </c>
      <c r="M462" s="7" t="s">
        <v>5</v>
      </c>
      <c r="N462" s="8" t="s">
        <v>6</v>
      </c>
      <c r="O462" s="9" t="s">
        <v>7</v>
      </c>
      <c r="P462" s="10" t="s">
        <v>8</v>
      </c>
      <c r="Q462" s="11" t="s">
        <v>9</v>
      </c>
      <c r="R462" s="11" t="s">
        <v>10</v>
      </c>
      <c r="S462" s="12" t="s">
        <v>11</v>
      </c>
      <c r="T462" s="12" t="s">
        <v>12</v>
      </c>
      <c r="U462" s="12" t="s">
        <v>13</v>
      </c>
      <c r="V462" s="13" t="s">
        <v>14</v>
      </c>
      <c r="W462" s="13" t="s">
        <v>15</v>
      </c>
      <c r="X462" s="14" t="s">
        <v>16</v>
      </c>
      <c r="Y462" s="7" t="s">
        <v>5</v>
      </c>
      <c r="Z462" s="8" t="s">
        <v>6</v>
      </c>
      <c r="AA462" s="9" t="s">
        <v>7</v>
      </c>
      <c r="AB462" s="10" t="s">
        <v>8</v>
      </c>
      <c r="AC462" s="11" t="s">
        <v>9</v>
      </c>
      <c r="AD462" s="11" t="s">
        <v>10</v>
      </c>
      <c r="AE462" s="12" t="s">
        <v>11</v>
      </c>
      <c r="AF462" s="12" t="s">
        <v>12</v>
      </c>
      <c r="AG462" s="12" t="s">
        <v>13</v>
      </c>
      <c r="AH462" s="13" t="s">
        <v>14</v>
      </c>
      <c r="AI462" s="13" t="s">
        <v>15</v>
      </c>
      <c r="AJ462" s="14" t="s">
        <v>16</v>
      </c>
      <c r="AK462" s="7" t="s">
        <v>5</v>
      </c>
      <c r="AL462" s="8" t="s">
        <v>84</v>
      </c>
      <c r="AM462" s="9" t="s">
        <v>7</v>
      </c>
      <c r="AN462" s="10" t="s">
        <v>8</v>
      </c>
      <c r="AO462" s="11" t="s">
        <v>9</v>
      </c>
      <c r="AP462" s="11" t="s">
        <v>10</v>
      </c>
      <c r="AQ462" s="12" t="s">
        <v>11</v>
      </c>
      <c r="AR462" s="12" t="s">
        <v>12</v>
      </c>
      <c r="AS462" s="12" t="s">
        <v>13</v>
      </c>
      <c r="AT462" s="13" t="s">
        <v>14</v>
      </c>
      <c r="AU462" s="13" t="s">
        <v>15</v>
      </c>
      <c r="AV462" s="14" t="s">
        <v>16</v>
      </c>
      <c r="AW462" s="7" t="s">
        <v>5</v>
      </c>
      <c r="AX462" s="8" t="s">
        <v>6</v>
      </c>
      <c r="AY462" s="9" t="s">
        <v>7</v>
      </c>
      <c r="AZ462" s="10" t="s">
        <v>8</v>
      </c>
      <c r="BA462" s="11" t="s">
        <v>9</v>
      </c>
      <c r="BB462" s="11" t="s">
        <v>10</v>
      </c>
      <c r="BC462" s="12" t="s">
        <v>11</v>
      </c>
      <c r="BD462" s="12" t="s">
        <v>12</v>
      </c>
      <c r="BE462" s="12" t="s">
        <v>13</v>
      </c>
      <c r="BF462" s="13" t="s">
        <v>14</v>
      </c>
      <c r="BG462" s="13" t="s">
        <v>15</v>
      </c>
      <c r="BH462" s="14" t="s">
        <v>16</v>
      </c>
      <c r="BI462" s="7" t="s">
        <v>5</v>
      </c>
      <c r="BJ462" s="8" t="s">
        <v>6</v>
      </c>
      <c r="BK462" s="9" t="s">
        <v>7</v>
      </c>
      <c r="BL462" s="10" t="s">
        <v>8</v>
      </c>
      <c r="BM462" s="11" t="s">
        <v>9</v>
      </c>
      <c r="BN462" s="11" t="s">
        <v>10</v>
      </c>
      <c r="BO462" s="12" t="s">
        <v>11</v>
      </c>
      <c r="BP462" s="12" t="s">
        <v>12</v>
      </c>
      <c r="BQ462" s="12" t="s">
        <v>13</v>
      </c>
      <c r="BR462" s="13" t="s">
        <v>14</v>
      </c>
      <c r="BS462" s="13" t="s">
        <v>15</v>
      </c>
      <c r="BT462" s="14" t="s">
        <v>16</v>
      </c>
      <c r="BU462" s="109"/>
      <c r="BV462" s="108"/>
      <c r="BW462" s="108"/>
      <c r="BX462" s="108"/>
      <c r="BY462" s="108"/>
      <c r="BZ462" s="108"/>
      <c r="CA462" s="109"/>
      <c r="CB462" s="109"/>
      <c r="CC462" s="109"/>
      <c r="CD462" s="107"/>
      <c r="CE462" s="107"/>
      <c r="CF462" s="107"/>
      <c r="CG462" s="107"/>
      <c r="CH462" s="107"/>
      <c r="CI462" s="107"/>
      <c r="CJ462" s="107"/>
    </row>
    <row r="463">
      <c r="A463" s="60">
        <v>45965.0</v>
      </c>
      <c r="B463" s="16"/>
      <c r="C463" s="17"/>
      <c r="D463" s="18"/>
      <c r="E463" s="20">
        <v>300000.0</v>
      </c>
      <c r="F463" s="20"/>
      <c r="G463" s="21">
        <f t="shared" ref="G463:G486" si="179">SUM(B463)-(B463*15%)+(C463)-(C463*20.8%)+(D463)+(E463)-(E463*0.95%)+(F463)-(F463*15.5%)</f>
        <v>297150</v>
      </c>
      <c r="H463" s="22">
        <f>SUM(B463:F486)</f>
        <v>2615000</v>
      </c>
      <c r="I463" s="21">
        <f>SUM(G463:G486)</f>
        <v>2558750</v>
      </c>
      <c r="J463" s="21">
        <f>SUM(I463)-(I463*97%)</f>
        <v>76762.5</v>
      </c>
      <c r="K463" s="21">
        <f>SUM(I463)-(I463*95%)</f>
        <v>127937.5</v>
      </c>
      <c r="L463" s="23">
        <f>SUM(I463)-(I463*93%)</f>
        <v>179112.5</v>
      </c>
      <c r="M463" s="60">
        <v>45964.0</v>
      </c>
      <c r="N463" s="24"/>
      <c r="O463" s="25"/>
      <c r="P463" s="18"/>
      <c r="Q463" s="20">
        <v>198000.0</v>
      </c>
      <c r="R463" s="145"/>
      <c r="S463" s="21">
        <f t="shared" ref="S463:S486" si="180">SUM(N463)-(N463*15%)+(O463)-(O463*20.8%)+(P463)+(Q463)-(Q463*0.95%)+(R463)-(R463*15.5%)</f>
        <v>196119</v>
      </c>
      <c r="T463" s="22">
        <f>SUM(N463:R486)</f>
        <v>6228000</v>
      </c>
      <c r="U463" s="21">
        <f>SUM(S463:S486)</f>
        <v>5403564</v>
      </c>
      <c r="V463" s="21">
        <f>SUM(U463)-(U463*97%)</f>
        <v>162106.92</v>
      </c>
      <c r="W463" s="21">
        <f>SUM(U463)-(U463*95%)</f>
        <v>270178.2</v>
      </c>
      <c r="X463" s="23">
        <f>SUM(U463)-(U463*93%)</f>
        <v>378249.48</v>
      </c>
      <c r="Y463" s="60"/>
      <c r="Z463" s="24"/>
      <c r="AA463" s="25"/>
      <c r="AB463" s="18"/>
      <c r="AC463" s="20">
        <v>350000.0</v>
      </c>
      <c r="AD463" s="20"/>
      <c r="AE463" s="21">
        <f t="shared" ref="AE463:AE486" si="181">SUM(Z463)-(Z463*15%)+(AA463)-(AA463*20.8%)+(AB463)+(AC463)-(AC463*0.95%)+(AD463)-(AD463*15.5%)</f>
        <v>346675</v>
      </c>
      <c r="AF463" s="22">
        <f>SUM(Z463:AD486)</f>
        <v>781000</v>
      </c>
      <c r="AG463" s="21">
        <f>SUM(AE463:AE486)</f>
        <v>773580.5</v>
      </c>
      <c r="AH463" s="21">
        <f>SUM(AG463)-(AG463*97%)</f>
        <v>23207.415</v>
      </c>
      <c r="AI463" s="21">
        <f>SUM(AG463)-(AG463*95%)</f>
        <v>38679.025</v>
      </c>
      <c r="AJ463" s="23">
        <f>SUM(AG463)-(AG463*93%)</f>
        <v>54150.635</v>
      </c>
      <c r="AK463" s="15"/>
      <c r="AL463" s="24"/>
      <c r="AM463" s="25"/>
      <c r="AN463" s="18"/>
      <c r="AO463" s="20"/>
      <c r="AP463" s="20"/>
      <c r="AQ463" s="21">
        <f t="shared" ref="AQ463:AQ486" si="182">SUM(AL463)-(AL463*15%)+(AM463)-(AM463*20.8%)+(AN463)+(AO463)-(AO463*0.95%)+(AP463)-(AP463*15.5%)</f>
        <v>0</v>
      </c>
      <c r="AR463" s="22">
        <f>SUM(AL463:AP486)</f>
        <v>0</v>
      </c>
      <c r="AS463" s="21">
        <f>SUM(AQ463:AQ486)</f>
        <v>0</v>
      </c>
      <c r="AT463" s="21">
        <f>SUM(AS463)-(AS463*97%)</f>
        <v>0</v>
      </c>
      <c r="AU463" s="21">
        <f>SUM(AS463)-(AS463*95%)</f>
        <v>0</v>
      </c>
      <c r="AV463" s="23">
        <f>SUM(AS463)-(AS463*93%)</f>
        <v>0</v>
      </c>
      <c r="AW463" s="15">
        <v>31.0</v>
      </c>
      <c r="AX463" s="24"/>
      <c r="AY463" s="25"/>
      <c r="AZ463" s="18"/>
      <c r="BA463" s="20"/>
      <c r="BB463" s="20"/>
      <c r="BC463" s="21">
        <f t="shared" ref="BC463:BC486" si="183">SUM(AX463)-(AX463*15%)+(AY463)-(AY463*20.8%)+(AZ463)+(BA463)-(BA463*0.95%)+(BB463)-(BB463*15.5%)</f>
        <v>0</v>
      </c>
      <c r="BD463" s="22">
        <f>SUM(AX463:BB486)</f>
        <v>0</v>
      </c>
      <c r="BE463" s="21">
        <f>SUM(BC463:BC486)</f>
        <v>0</v>
      </c>
      <c r="BF463" s="21">
        <f>SUM(BE463)-(BE463*97%)</f>
        <v>0</v>
      </c>
      <c r="BG463" s="21">
        <f>SUM(BE463)-(BE463*95%)</f>
        <v>0</v>
      </c>
      <c r="BH463" s="23">
        <f>SUM(BE463)-(BE463*93%)</f>
        <v>0</v>
      </c>
      <c r="BI463" s="15"/>
      <c r="BJ463" s="24"/>
      <c r="BK463" s="25"/>
      <c r="BL463" s="18"/>
      <c r="BM463" s="20"/>
      <c r="BN463" s="20"/>
      <c r="BO463" s="21">
        <f t="shared" ref="BO463:BO486" si="184">SUM(BJ463)-(BJ463*15%)+(BK463)-(BK463*20.8%)+(BL463)+(BM463)-(BM463*0.95%)+(BN463)-(BN463*15.5%)</f>
        <v>0</v>
      </c>
      <c r="BP463" s="22">
        <f>SUM(BJ463:BN486)</f>
        <v>0</v>
      </c>
      <c r="BQ463" s="21">
        <f>SUM(BO463:BO486)</f>
        <v>0</v>
      </c>
      <c r="BR463" s="21">
        <f>SUM(BQ463)-(BQ463*97%)</f>
        <v>0</v>
      </c>
      <c r="BS463" s="21">
        <f>SUM(BQ463)-(BQ463*95%)</f>
        <v>0</v>
      </c>
      <c r="BT463" s="23">
        <f>SUM(BQ463)-(BQ463*93%)</f>
        <v>0</v>
      </c>
      <c r="BU463" s="110"/>
      <c r="BV463" s="107"/>
      <c r="BW463" s="107"/>
      <c r="BX463" s="107"/>
      <c r="BY463" s="107"/>
      <c r="BZ463" s="107"/>
      <c r="CA463" s="111"/>
      <c r="CB463" s="112"/>
      <c r="CC463" s="111"/>
      <c r="CD463" s="111"/>
      <c r="CE463" s="111"/>
      <c r="CF463" s="111"/>
      <c r="CG463" s="107"/>
      <c r="CH463" s="107"/>
      <c r="CI463" s="107"/>
      <c r="CJ463" s="107"/>
    </row>
    <row r="464">
      <c r="A464" s="15"/>
      <c r="B464" s="27"/>
      <c r="C464" s="17"/>
      <c r="D464" s="28">
        <v>495000.0</v>
      </c>
      <c r="E464" s="20"/>
      <c r="F464" s="30"/>
      <c r="G464" s="21">
        <f t="shared" si="179"/>
        <v>495000</v>
      </c>
      <c r="H464" s="31" t="s">
        <v>20</v>
      </c>
      <c r="I464" s="13"/>
      <c r="J464" s="13" t="s">
        <v>21</v>
      </c>
      <c r="K464" s="13" t="s">
        <v>22</v>
      </c>
      <c r="L464" s="14" t="s">
        <v>23</v>
      </c>
      <c r="M464" s="60">
        <v>45965.0</v>
      </c>
      <c r="N464" s="37">
        <v>1000000.0</v>
      </c>
      <c r="O464" s="25"/>
      <c r="P464" s="33"/>
      <c r="Q464" s="30"/>
      <c r="R464" s="30"/>
      <c r="S464" s="21">
        <f t="shared" si="180"/>
        <v>850000</v>
      </c>
      <c r="T464" s="31" t="s">
        <v>20</v>
      </c>
      <c r="U464" s="13"/>
      <c r="V464" s="13" t="s">
        <v>21</v>
      </c>
      <c r="W464" s="13" t="s">
        <v>22</v>
      </c>
      <c r="X464" s="14" t="s">
        <v>23</v>
      </c>
      <c r="Y464" s="60"/>
      <c r="Z464" s="32"/>
      <c r="AA464" s="25"/>
      <c r="AB464" s="33"/>
      <c r="AC464" s="30">
        <v>96000.0</v>
      </c>
      <c r="AD464" s="30"/>
      <c r="AE464" s="21">
        <f t="shared" si="181"/>
        <v>95088</v>
      </c>
      <c r="AF464" s="31" t="s">
        <v>20</v>
      </c>
      <c r="AG464" s="13"/>
      <c r="AH464" s="13" t="s">
        <v>21</v>
      </c>
      <c r="AI464" s="13" t="s">
        <v>22</v>
      </c>
      <c r="AJ464" s="14" t="s">
        <v>23</v>
      </c>
      <c r="AK464" s="15"/>
      <c r="AL464" s="32"/>
      <c r="AM464" s="25"/>
      <c r="AN464" s="33"/>
      <c r="AO464" s="30"/>
      <c r="AP464" s="30"/>
      <c r="AQ464" s="21">
        <f t="shared" si="182"/>
        <v>0</v>
      </c>
      <c r="AR464" s="31" t="s">
        <v>20</v>
      </c>
      <c r="AS464" s="13"/>
      <c r="AT464" s="13" t="s">
        <v>21</v>
      </c>
      <c r="AU464" s="13" t="s">
        <v>22</v>
      </c>
      <c r="AV464" s="14" t="s">
        <v>23</v>
      </c>
      <c r="AW464" s="60"/>
      <c r="AX464" s="32"/>
      <c r="AY464" s="25"/>
      <c r="AZ464" s="33"/>
      <c r="BA464" s="30"/>
      <c r="BB464" s="30"/>
      <c r="BC464" s="21">
        <f t="shared" si="183"/>
        <v>0</v>
      </c>
      <c r="BD464" s="31" t="s">
        <v>20</v>
      </c>
      <c r="BE464" s="13"/>
      <c r="BF464" s="13" t="s">
        <v>21</v>
      </c>
      <c r="BG464" s="13" t="s">
        <v>22</v>
      </c>
      <c r="BH464" s="14" t="s">
        <v>23</v>
      </c>
      <c r="BI464" s="60"/>
      <c r="BJ464" s="32"/>
      <c r="BK464" s="25"/>
      <c r="BL464" s="33"/>
      <c r="BM464" s="30"/>
      <c r="BN464" s="30"/>
      <c r="BO464" s="21">
        <f t="shared" si="184"/>
        <v>0</v>
      </c>
      <c r="BP464" s="31" t="s">
        <v>20</v>
      </c>
      <c r="BQ464" s="13"/>
      <c r="BR464" s="13" t="s">
        <v>21</v>
      </c>
      <c r="BS464" s="13" t="s">
        <v>22</v>
      </c>
      <c r="BT464" s="14" t="s">
        <v>23</v>
      </c>
      <c r="BU464" s="110"/>
      <c r="BV464" s="107"/>
      <c r="BW464" s="107"/>
      <c r="BX464" s="107"/>
      <c r="BY464" s="107"/>
      <c r="BZ464" s="107"/>
      <c r="CA464" s="111"/>
      <c r="CB464" s="113"/>
      <c r="CC464" s="107"/>
      <c r="CD464" s="107"/>
      <c r="CE464" s="107"/>
      <c r="CF464" s="107"/>
      <c r="CG464" s="107"/>
      <c r="CH464" s="107"/>
      <c r="CI464" s="107"/>
      <c r="CJ464" s="107"/>
    </row>
    <row r="465">
      <c r="A465" s="60"/>
      <c r="B465" s="35"/>
      <c r="C465" s="17"/>
      <c r="D465" s="18">
        <v>1100000.0</v>
      </c>
      <c r="E465" s="20"/>
      <c r="F465" s="20"/>
      <c r="G465" s="21">
        <f t="shared" si="179"/>
        <v>1100000</v>
      </c>
      <c r="H465" s="36"/>
      <c r="I465" s="13"/>
      <c r="J465" s="21">
        <f t="shared" ref="J465:L465" si="185">SUM(J463)-(J463*10%)</f>
        <v>69086.25</v>
      </c>
      <c r="K465" s="21">
        <f t="shared" si="185"/>
        <v>115143.75</v>
      </c>
      <c r="L465" s="23">
        <f t="shared" si="185"/>
        <v>161201.25</v>
      </c>
      <c r="M465" s="60">
        <v>45971.0</v>
      </c>
      <c r="N465" s="37"/>
      <c r="O465" s="25"/>
      <c r="P465" s="33"/>
      <c r="Q465" s="20">
        <v>50000.0</v>
      </c>
      <c r="R465" s="20"/>
      <c r="S465" s="21">
        <f t="shared" si="180"/>
        <v>49525</v>
      </c>
      <c r="T465" s="36"/>
      <c r="U465" s="13"/>
      <c r="V465" s="21">
        <f t="shared" ref="V465:X465" si="186">SUM(V463)-(V463*10%)</f>
        <v>145896.228</v>
      </c>
      <c r="W465" s="21">
        <f t="shared" si="186"/>
        <v>243160.38</v>
      </c>
      <c r="X465" s="23">
        <f t="shared" si="186"/>
        <v>340424.532</v>
      </c>
      <c r="Y465" s="15" t="s">
        <v>99</v>
      </c>
      <c r="Z465" s="32"/>
      <c r="AA465" s="25"/>
      <c r="AB465" s="33"/>
      <c r="AC465" s="20">
        <v>155000.0</v>
      </c>
      <c r="AD465" s="20"/>
      <c r="AE465" s="21">
        <f t="shared" si="181"/>
        <v>153527.5</v>
      </c>
      <c r="AF465" s="36"/>
      <c r="AG465" s="13"/>
      <c r="AH465" s="21">
        <f t="shared" ref="AH465:AJ465" si="187">SUM(AH463)-(AH463*10%)</f>
        <v>20886.6735</v>
      </c>
      <c r="AI465" s="21">
        <f t="shared" si="187"/>
        <v>34811.1225</v>
      </c>
      <c r="AJ465" s="23">
        <f t="shared" si="187"/>
        <v>48735.5715</v>
      </c>
      <c r="AK465" s="15"/>
      <c r="AL465" s="37"/>
      <c r="AM465" s="25"/>
      <c r="AN465" s="33"/>
      <c r="AO465" s="20"/>
      <c r="AP465" s="20"/>
      <c r="AQ465" s="21">
        <f t="shared" si="182"/>
        <v>0</v>
      </c>
      <c r="AR465" s="36"/>
      <c r="AS465" s="13"/>
      <c r="AT465" s="21">
        <f t="shared" ref="AT465:AV465" si="188">SUM(AT463)-(AT463*10%)</f>
        <v>0</v>
      </c>
      <c r="AU465" s="21">
        <f t="shared" si="188"/>
        <v>0</v>
      </c>
      <c r="AV465" s="23">
        <f t="shared" si="188"/>
        <v>0</v>
      </c>
      <c r="AW465" s="60"/>
      <c r="AX465" s="32"/>
      <c r="AY465" s="25"/>
      <c r="AZ465" s="33"/>
      <c r="BA465" s="20"/>
      <c r="BB465" s="20"/>
      <c r="BC465" s="21">
        <f t="shared" si="183"/>
        <v>0</v>
      </c>
      <c r="BD465" s="36"/>
      <c r="BE465" s="13"/>
      <c r="BF465" s="21">
        <f t="shared" ref="BF465:BH465" si="189">SUM(BF463)-(BF463*10%)</f>
        <v>0</v>
      </c>
      <c r="BG465" s="21">
        <f t="shared" si="189"/>
        <v>0</v>
      </c>
      <c r="BH465" s="23">
        <f t="shared" si="189"/>
        <v>0</v>
      </c>
      <c r="BI465" s="60"/>
      <c r="BJ465" s="32"/>
      <c r="BK465" s="25"/>
      <c r="BL465" s="33"/>
      <c r="BM465" s="20"/>
      <c r="BN465" s="20"/>
      <c r="BO465" s="21">
        <f t="shared" si="184"/>
        <v>0</v>
      </c>
      <c r="BP465" s="36"/>
      <c r="BQ465" s="13"/>
      <c r="BR465" s="21">
        <f t="shared" ref="BR465:BT465" si="190">SUM(BR463)-(BR463*10%)</f>
        <v>0</v>
      </c>
      <c r="BS465" s="21">
        <f t="shared" si="190"/>
        <v>0</v>
      </c>
      <c r="BT465" s="23">
        <f t="shared" si="190"/>
        <v>0</v>
      </c>
      <c r="BU465" s="110"/>
      <c r="BV465" s="107"/>
      <c r="BW465" s="107"/>
      <c r="BX465" s="107"/>
      <c r="BY465" s="107"/>
      <c r="BZ465" s="107"/>
      <c r="CA465" s="111"/>
      <c r="CB465" s="107"/>
      <c r="CC465" s="107"/>
      <c r="CD465" s="111"/>
      <c r="CE465" s="111"/>
      <c r="CF465" s="111"/>
      <c r="CG465" s="107"/>
      <c r="CH465" s="107"/>
      <c r="CI465" s="107"/>
      <c r="CJ465" s="107"/>
    </row>
    <row r="466">
      <c r="A466" s="60"/>
      <c r="B466" s="27"/>
      <c r="C466" s="17"/>
      <c r="D466" s="18"/>
      <c r="E466" s="20">
        <v>400000.0</v>
      </c>
      <c r="F466" s="20"/>
      <c r="G466" s="21">
        <f t="shared" si="179"/>
        <v>396200</v>
      </c>
      <c r="H466" s="13"/>
      <c r="I466" s="13"/>
      <c r="J466" s="13"/>
      <c r="K466" s="13"/>
      <c r="L466" s="14"/>
      <c r="M466" s="15"/>
      <c r="N466" s="37"/>
      <c r="O466" s="93"/>
      <c r="P466" s="33"/>
      <c r="Q466" s="20">
        <v>150000.0</v>
      </c>
      <c r="R466" s="20"/>
      <c r="S466" s="21">
        <f t="shared" si="180"/>
        <v>148575</v>
      </c>
      <c r="T466" s="13"/>
      <c r="U466" s="13"/>
      <c r="V466" s="13"/>
      <c r="W466" s="13"/>
      <c r="X466" s="14"/>
      <c r="Y466" s="15" t="s">
        <v>100</v>
      </c>
      <c r="Z466" s="32"/>
      <c r="AA466" s="93"/>
      <c r="AB466" s="33"/>
      <c r="AC466" s="20">
        <v>180000.0</v>
      </c>
      <c r="AD466" s="20"/>
      <c r="AE466" s="21">
        <f t="shared" si="181"/>
        <v>178290</v>
      </c>
      <c r="AF466" s="13"/>
      <c r="AG466" s="13"/>
      <c r="AH466" s="13"/>
      <c r="AI466" s="13"/>
      <c r="AJ466" s="14"/>
      <c r="AK466" s="15"/>
      <c r="AL466" s="32"/>
      <c r="AM466" s="93"/>
      <c r="AN466" s="33"/>
      <c r="AO466" s="20"/>
      <c r="AP466" s="20"/>
      <c r="AQ466" s="21">
        <f t="shared" si="182"/>
        <v>0</v>
      </c>
      <c r="AR466" s="13"/>
      <c r="AS466" s="13"/>
      <c r="AT466" s="13"/>
      <c r="AU466" s="13"/>
      <c r="AV466" s="14"/>
      <c r="AW466" s="60"/>
      <c r="AX466" s="32"/>
      <c r="AY466" s="93"/>
      <c r="AZ466" s="33"/>
      <c r="BA466" s="20"/>
      <c r="BB466" s="20"/>
      <c r="BC466" s="21">
        <f t="shared" si="183"/>
        <v>0</v>
      </c>
      <c r="BD466" s="13"/>
      <c r="BE466" s="13"/>
      <c r="BF466" s="13"/>
      <c r="BG466" s="13"/>
      <c r="BH466" s="14"/>
      <c r="BI466" s="60"/>
      <c r="BJ466" s="32"/>
      <c r="BK466" s="93"/>
      <c r="BL466" s="33"/>
      <c r="BM466" s="20"/>
      <c r="BN466" s="20"/>
      <c r="BO466" s="21">
        <f t="shared" si="184"/>
        <v>0</v>
      </c>
      <c r="BP466" s="13"/>
      <c r="BQ466" s="13"/>
      <c r="BR466" s="13"/>
      <c r="BS466" s="13"/>
      <c r="BT466" s="14"/>
      <c r="BU466" s="110"/>
      <c r="BV466" s="107"/>
      <c r="BW466" s="107"/>
      <c r="BX466" s="107"/>
      <c r="BY466" s="107"/>
      <c r="BZ466" s="107"/>
      <c r="CA466" s="111"/>
      <c r="CB466" s="107"/>
      <c r="CC466" s="107"/>
      <c r="CD466" s="107"/>
      <c r="CE466" s="107"/>
      <c r="CF466" s="107"/>
      <c r="CG466" s="107"/>
      <c r="CH466" s="107"/>
      <c r="CI466" s="107"/>
      <c r="CJ466" s="107"/>
    </row>
    <row r="467">
      <c r="A467" s="60"/>
      <c r="B467" s="35"/>
      <c r="C467" s="17"/>
      <c r="D467" s="18"/>
      <c r="E467" s="20"/>
      <c r="F467" s="20"/>
      <c r="G467" s="21">
        <f t="shared" si="179"/>
        <v>0</v>
      </c>
      <c r="H467" s="13"/>
      <c r="I467" s="13"/>
      <c r="J467" s="13"/>
      <c r="K467" s="13"/>
      <c r="L467" s="14"/>
      <c r="M467" s="15" t="s">
        <v>101</v>
      </c>
      <c r="N467" s="20"/>
      <c r="O467" s="25"/>
      <c r="P467" s="33"/>
      <c r="Q467" s="20">
        <v>200000.0</v>
      </c>
      <c r="R467" s="20"/>
      <c r="S467" s="21">
        <f t="shared" si="180"/>
        <v>198100</v>
      </c>
      <c r="T467" s="13"/>
      <c r="U467" s="13"/>
      <c r="V467" s="13"/>
      <c r="W467" s="13"/>
      <c r="X467" s="14"/>
      <c r="Y467" s="60"/>
      <c r="Z467" s="32"/>
      <c r="AA467" s="25"/>
      <c r="AB467" s="33"/>
      <c r="AC467" s="20"/>
      <c r="AD467" s="20"/>
      <c r="AE467" s="21">
        <f t="shared" si="181"/>
        <v>0</v>
      </c>
      <c r="AF467" s="13"/>
      <c r="AG467" s="13"/>
      <c r="AH467" s="13"/>
      <c r="AI467" s="13"/>
      <c r="AJ467" s="14"/>
      <c r="AK467" s="15"/>
      <c r="AL467" s="32"/>
      <c r="AM467" s="25"/>
      <c r="AN467" s="33"/>
      <c r="AO467" s="20"/>
      <c r="AP467" s="20"/>
      <c r="AQ467" s="21">
        <f t="shared" si="182"/>
        <v>0</v>
      </c>
      <c r="AR467" s="13"/>
      <c r="AS467" s="13"/>
      <c r="AT467" s="13"/>
      <c r="AU467" s="13"/>
      <c r="AV467" s="14"/>
      <c r="AW467" s="60"/>
      <c r="AX467" s="32"/>
      <c r="AY467" s="25"/>
      <c r="AZ467" s="33"/>
      <c r="BA467" s="20"/>
      <c r="BB467" s="20"/>
      <c r="BC467" s="21">
        <f t="shared" si="183"/>
        <v>0</v>
      </c>
      <c r="BD467" s="13"/>
      <c r="BE467" s="13"/>
      <c r="BF467" s="13"/>
      <c r="BG467" s="13"/>
      <c r="BH467" s="14"/>
      <c r="BI467" s="60"/>
      <c r="BJ467" s="32"/>
      <c r="BK467" s="25"/>
      <c r="BL467" s="33"/>
      <c r="BM467" s="20"/>
      <c r="BN467" s="20"/>
      <c r="BO467" s="21">
        <f t="shared" si="184"/>
        <v>0</v>
      </c>
      <c r="BP467" s="13"/>
      <c r="BQ467" s="13"/>
      <c r="BR467" s="13"/>
      <c r="BS467" s="13"/>
      <c r="BT467" s="14"/>
      <c r="BU467" s="110"/>
      <c r="BV467" s="107"/>
      <c r="BW467" s="107"/>
      <c r="BX467" s="107"/>
      <c r="BY467" s="107"/>
      <c r="BZ467" s="107"/>
      <c r="CA467" s="111"/>
      <c r="CB467" s="107"/>
      <c r="CC467" s="107"/>
      <c r="CD467" s="107"/>
      <c r="CE467" s="107"/>
      <c r="CF467" s="107"/>
      <c r="CG467" s="107"/>
      <c r="CH467" s="107"/>
      <c r="CI467" s="107"/>
      <c r="CJ467" s="107"/>
    </row>
    <row r="468">
      <c r="A468" s="15"/>
      <c r="B468" s="39"/>
      <c r="C468" s="43"/>
      <c r="D468" s="18"/>
      <c r="E468" s="20"/>
      <c r="F468" s="20">
        <v>320000.0</v>
      </c>
      <c r="G468" s="21">
        <f t="shared" si="179"/>
        <v>270400</v>
      </c>
      <c r="H468" s="13"/>
      <c r="I468" s="13"/>
      <c r="J468" s="13"/>
      <c r="K468" s="13">
        <f>H470</f>
        <v>8735894.5</v>
      </c>
      <c r="L468" s="14"/>
      <c r="M468" s="15" t="s">
        <v>102</v>
      </c>
      <c r="N468" s="32"/>
      <c r="O468" s="93"/>
      <c r="P468" s="33"/>
      <c r="Q468" s="20">
        <v>90000.0</v>
      </c>
      <c r="R468" s="20"/>
      <c r="S468" s="21">
        <f t="shared" si="180"/>
        <v>89145</v>
      </c>
      <c r="T468" s="13"/>
      <c r="U468" s="13"/>
      <c r="V468" s="13"/>
      <c r="W468" s="13"/>
      <c r="X468" s="14"/>
      <c r="Y468" s="60"/>
      <c r="Z468" s="32"/>
      <c r="AA468" s="25"/>
      <c r="AB468" s="33"/>
      <c r="AC468" s="20"/>
      <c r="AD468" s="20"/>
      <c r="AE468" s="21">
        <f t="shared" si="181"/>
        <v>0</v>
      </c>
      <c r="AF468" s="13"/>
      <c r="AG468" s="13"/>
      <c r="AH468" s="13"/>
      <c r="AI468" s="13"/>
      <c r="AJ468" s="14"/>
      <c r="AK468" s="15"/>
      <c r="AL468" s="32"/>
      <c r="AM468" s="25"/>
      <c r="AN468" s="33"/>
      <c r="AO468" s="20"/>
      <c r="AP468" s="20"/>
      <c r="AQ468" s="21">
        <f t="shared" si="182"/>
        <v>0</v>
      </c>
      <c r="AR468" s="13"/>
      <c r="AS468" s="13"/>
      <c r="AT468" s="13"/>
      <c r="AU468" s="13"/>
      <c r="AV468" s="14"/>
      <c r="AW468" s="60"/>
      <c r="AX468" s="32"/>
      <c r="AY468" s="25"/>
      <c r="AZ468" s="33"/>
      <c r="BA468" s="20"/>
      <c r="BB468" s="20"/>
      <c r="BC468" s="21">
        <f t="shared" si="183"/>
        <v>0</v>
      </c>
      <c r="BD468" s="13"/>
      <c r="BE468" s="13"/>
      <c r="BF468" s="13"/>
      <c r="BG468" s="13"/>
      <c r="BH468" s="14"/>
      <c r="BI468" s="60"/>
      <c r="BJ468" s="32"/>
      <c r="BK468" s="25"/>
      <c r="BL468" s="33"/>
      <c r="BM468" s="20"/>
      <c r="BN468" s="20"/>
      <c r="BO468" s="21">
        <f t="shared" si="184"/>
        <v>0</v>
      </c>
      <c r="BP468" s="13"/>
      <c r="BQ468" s="13"/>
      <c r="BR468" s="13"/>
      <c r="BS468" s="13"/>
      <c r="BT468" s="14"/>
      <c r="BU468" s="110"/>
      <c r="BV468" s="107"/>
      <c r="BW468" s="107"/>
      <c r="BX468" s="107"/>
      <c r="BY468" s="107"/>
      <c r="BZ468" s="107"/>
      <c r="CA468" s="111"/>
      <c r="CB468" s="107"/>
      <c r="CC468" s="107"/>
      <c r="CD468" s="107"/>
      <c r="CE468" s="107"/>
      <c r="CF468" s="107"/>
      <c r="CG468" s="107"/>
      <c r="CH468" s="107"/>
      <c r="CI468" s="107"/>
      <c r="CJ468" s="107"/>
    </row>
    <row r="469">
      <c r="A469" s="60"/>
      <c r="B469" s="35"/>
      <c r="C469" s="17"/>
      <c r="D469" s="18"/>
      <c r="E469" s="20"/>
      <c r="F469" s="20"/>
      <c r="G469" s="21">
        <f t="shared" si="179"/>
        <v>0</v>
      </c>
      <c r="H469" s="94" t="s">
        <v>13</v>
      </c>
      <c r="I469" s="86" t="s">
        <v>57</v>
      </c>
      <c r="J469" s="86" t="s">
        <v>57</v>
      </c>
      <c r="K469" s="86" t="s">
        <v>65</v>
      </c>
      <c r="L469" s="95"/>
      <c r="M469" s="15">
        <v>146.0</v>
      </c>
      <c r="N469" s="37">
        <v>1340000.0</v>
      </c>
      <c r="O469" s="25"/>
      <c r="P469" s="33"/>
      <c r="Q469" s="20"/>
      <c r="R469" s="20"/>
      <c r="S469" s="21">
        <f t="shared" si="180"/>
        <v>1139000</v>
      </c>
      <c r="T469" s="13"/>
      <c r="U469" s="13"/>
      <c r="V469" s="13"/>
      <c r="W469" s="13"/>
      <c r="X469" s="14"/>
      <c r="Y469" s="38"/>
      <c r="Z469" s="32"/>
      <c r="AA469" s="25"/>
      <c r="AB469" s="33"/>
      <c r="AC469" s="20"/>
      <c r="AD469" s="20"/>
      <c r="AE469" s="21">
        <f t="shared" si="181"/>
        <v>0</v>
      </c>
      <c r="AF469" s="13"/>
      <c r="AG469" s="13"/>
      <c r="AH469" s="13"/>
      <c r="AI469" s="13"/>
      <c r="AJ469" s="14"/>
      <c r="AK469" s="15"/>
      <c r="AL469" s="32"/>
      <c r="AM469" s="25"/>
      <c r="AN469" s="33"/>
      <c r="AO469" s="20"/>
      <c r="AP469" s="20"/>
      <c r="AQ469" s="21">
        <f t="shared" si="182"/>
        <v>0</v>
      </c>
      <c r="AR469" s="13"/>
      <c r="AS469" s="13"/>
      <c r="AT469" s="13"/>
      <c r="AU469" s="13"/>
      <c r="AV469" s="14"/>
      <c r="AW469" s="38"/>
      <c r="AX469" s="32"/>
      <c r="AY469" s="25"/>
      <c r="AZ469" s="33"/>
      <c r="BA469" s="20"/>
      <c r="BB469" s="20"/>
      <c r="BC469" s="21">
        <f t="shared" si="183"/>
        <v>0</v>
      </c>
      <c r="BD469" s="13"/>
      <c r="BE469" s="13"/>
      <c r="BF469" s="13"/>
      <c r="BG469" s="13"/>
      <c r="BH469" s="14"/>
      <c r="BI469" s="38"/>
      <c r="BJ469" s="32"/>
      <c r="BK469" s="25"/>
      <c r="BL469" s="33"/>
      <c r="BM469" s="20"/>
      <c r="BN469" s="20"/>
      <c r="BO469" s="21">
        <f t="shared" si="184"/>
        <v>0</v>
      </c>
      <c r="BP469" s="13"/>
      <c r="BQ469" s="13"/>
      <c r="BR469" s="13"/>
      <c r="BS469" s="13"/>
      <c r="BT469" s="14"/>
      <c r="BU469" s="110"/>
      <c r="BV469" s="107"/>
      <c r="BW469" s="107"/>
      <c r="BX469" s="107"/>
      <c r="BY469" s="107"/>
      <c r="BZ469" s="107"/>
      <c r="CA469" s="111"/>
      <c r="CB469" s="107"/>
      <c r="CC469" s="107"/>
      <c r="CD469" s="107"/>
      <c r="CE469" s="107"/>
      <c r="CF469" s="107"/>
      <c r="CG469" s="107"/>
      <c r="CH469" s="107"/>
      <c r="CI469" s="107"/>
      <c r="CJ469" s="107"/>
    </row>
    <row r="470">
      <c r="A470" s="15"/>
      <c r="B470" s="16"/>
      <c r="C470" s="17"/>
      <c r="D470" s="28"/>
      <c r="E470" s="30"/>
      <c r="F470" s="30"/>
      <c r="G470" s="21">
        <f t="shared" si="179"/>
        <v>0</v>
      </c>
      <c r="H470" s="95">
        <f>AG463+I463+U463+AS463+BE463+BQ463+CC463</f>
        <v>8735894.5</v>
      </c>
      <c r="I470" s="102" t="s">
        <v>52</v>
      </c>
      <c r="J470" s="102" t="s">
        <v>44</v>
      </c>
      <c r="K470" s="102" t="s">
        <v>52</v>
      </c>
      <c r="L470" s="102" t="s">
        <v>44</v>
      </c>
      <c r="M470" s="15">
        <v>139.0</v>
      </c>
      <c r="N470" s="37"/>
      <c r="O470" s="25"/>
      <c r="P470" s="41"/>
      <c r="Q470" s="20">
        <v>200000.0</v>
      </c>
      <c r="R470" s="20"/>
      <c r="S470" s="21">
        <f t="shared" si="180"/>
        <v>198100</v>
      </c>
      <c r="T470" s="67"/>
      <c r="U470" s="67"/>
      <c r="V470" s="67"/>
      <c r="W470" s="13"/>
      <c r="X470" s="14"/>
      <c r="Y470" s="38"/>
      <c r="Z470" s="37"/>
      <c r="AA470" s="25"/>
      <c r="AB470" s="41"/>
      <c r="AC470" s="20"/>
      <c r="AD470" s="20"/>
      <c r="AE470" s="21">
        <f t="shared" si="181"/>
        <v>0</v>
      </c>
      <c r="AF470" s="13"/>
      <c r="AG470" s="13"/>
      <c r="AH470" s="13"/>
      <c r="AI470" s="13"/>
      <c r="AJ470" s="14"/>
      <c r="AK470" s="15"/>
      <c r="AL470" s="37"/>
      <c r="AM470" s="25"/>
      <c r="AN470" s="41"/>
      <c r="AO470" s="20"/>
      <c r="AP470" s="20"/>
      <c r="AQ470" s="21">
        <f t="shared" si="182"/>
        <v>0</v>
      </c>
      <c r="AR470" s="13"/>
      <c r="AS470" s="13"/>
      <c r="AT470" s="13"/>
      <c r="AU470" s="13"/>
      <c r="AV470" s="14"/>
      <c r="AW470" s="38"/>
      <c r="AX470" s="37"/>
      <c r="AY470" s="25"/>
      <c r="AZ470" s="41"/>
      <c r="BA470" s="20"/>
      <c r="BB470" s="20"/>
      <c r="BC470" s="21">
        <f t="shared" si="183"/>
        <v>0</v>
      </c>
      <c r="BD470" s="13"/>
      <c r="BE470" s="13"/>
      <c r="BF470" s="13"/>
      <c r="BG470" s="13"/>
      <c r="BH470" s="14"/>
      <c r="BI470" s="38"/>
      <c r="BJ470" s="37"/>
      <c r="BK470" s="25"/>
      <c r="BL470" s="41"/>
      <c r="BM470" s="20"/>
      <c r="BN470" s="20"/>
      <c r="BO470" s="21">
        <f t="shared" si="184"/>
        <v>0</v>
      </c>
      <c r="BP470" s="13"/>
      <c r="BQ470" s="13"/>
      <c r="BR470" s="13"/>
      <c r="BS470" s="13"/>
      <c r="BT470" s="14"/>
      <c r="BU470" s="107"/>
      <c r="BV470" s="107"/>
      <c r="BW470" s="107"/>
      <c r="BX470" s="107"/>
      <c r="BY470" s="107"/>
      <c r="BZ470" s="107"/>
      <c r="CA470" s="111"/>
      <c r="CB470" s="107"/>
      <c r="CC470" s="107"/>
      <c r="CD470" s="107"/>
      <c r="CE470" s="107"/>
      <c r="CF470" s="107"/>
      <c r="CG470" s="107"/>
      <c r="CH470" s="107"/>
      <c r="CI470" s="107"/>
      <c r="CJ470" s="107"/>
    </row>
    <row r="471">
      <c r="A471" s="60"/>
      <c r="B471" s="35"/>
      <c r="C471" s="17"/>
      <c r="D471" s="18"/>
      <c r="E471" s="20"/>
      <c r="F471" s="20"/>
      <c r="G471" s="21">
        <f t="shared" si="179"/>
        <v>0</v>
      </c>
      <c r="H471" s="95"/>
      <c r="I471" s="115">
        <f>SUM(H470)-(H470*99%)</f>
        <v>87358.945</v>
      </c>
      <c r="J471" s="87">
        <f>SUM(H470)-(H470*98.5%)</f>
        <v>131038.4175</v>
      </c>
      <c r="K471" s="87">
        <f>SUM(K468)-(K468*99%)</f>
        <v>87358.945</v>
      </c>
      <c r="L471" s="87">
        <f>SUM(K468)-(K468*98.5%)</f>
        <v>131038.4175</v>
      </c>
      <c r="M471" s="15">
        <v>148.0</v>
      </c>
      <c r="N471" s="24"/>
      <c r="O471" s="25"/>
      <c r="P471" s="41"/>
      <c r="Q471" s="30"/>
      <c r="R471" s="20">
        <v>1000000.0</v>
      </c>
      <c r="S471" s="21">
        <f t="shared" si="180"/>
        <v>845000</v>
      </c>
      <c r="T471" s="13"/>
      <c r="U471" s="13"/>
      <c r="V471" s="13"/>
      <c r="W471" s="13"/>
      <c r="X471" s="14"/>
      <c r="Y471" s="38"/>
      <c r="Z471" s="24"/>
      <c r="AA471" s="25"/>
      <c r="AB471" s="41"/>
      <c r="AC471" s="30"/>
      <c r="AD471" s="30"/>
      <c r="AE471" s="21">
        <f t="shared" si="181"/>
        <v>0</v>
      </c>
      <c r="AF471" s="13"/>
      <c r="AG471" s="13"/>
      <c r="AH471" s="13"/>
      <c r="AI471" s="13"/>
      <c r="AJ471" s="14"/>
      <c r="AK471" s="38"/>
      <c r="AL471" s="24"/>
      <c r="AM471" s="25"/>
      <c r="AN471" s="41"/>
      <c r="AO471" s="30"/>
      <c r="AP471" s="30"/>
      <c r="AQ471" s="21">
        <f t="shared" si="182"/>
        <v>0</v>
      </c>
      <c r="AR471" s="13"/>
      <c r="AS471" s="13"/>
      <c r="AT471" s="13"/>
      <c r="AU471" s="13"/>
      <c r="AV471" s="14"/>
      <c r="AW471" s="38"/>
      <c r="AX471" s="24"/>
      <c r="AY471" s="25"/>
      <c r="AZ471" s="41"/>
      <c r="BA471" s="30"/>
      <c r="BB471" s="30"/>
      <c r="BC471" s="21">
        <f t="shared" si="183"/>
        <v>0</v>
      </c>
      <c r="BD471" s="67"/>
      <c r="BE471" s="67"/>
      <c r="BF471" s="13"/>
      <c r="BG471" s="13"/>
      <c r="BH471" s="14"/>
      <c r="BI471" s="38"/>
      <c r="BJ471" s="24"/>
      <c r="BK471" s="25"/>
      <c r="BL471" s="41"/>
      <c r="BM471" s="30"/>
      <c r="BN471" s="30"/>
      <c r="BO471" s="21">
        <f t="shared" si="184"/>
        <v>0</v>
      </c>
      <c r="BP471" s="13"/>
      <c r="BQ471" s="13"/>
      <c r="BR471" s="13"/>
      <c r="BS471" s="13"/>
      <c r="BT471" s="14"/>
      <c r="BU471" s="107"/>
      <c r="BV471" s="107"/>
      <c r="BW471" s="107"/>
      <c r="BX471" s="107"/>
      <c r="BY471" s="107"/>
      <c r="BZ471" s="107"/>
      <c r="CA471" s="111"/>
      <c r="CB471" s="107"/>
      <c r="CC471" s="107"/>
      <c r="CD471" s="107"/>
      <c r="CE471" s="107"/>
      <c r="CF471" s="107"/>
      <c r="CG471" s="107"/>
      <c r="CH471" s="107"/>
      <c r="CI471" s="107"/>
      <c r="CJ471" s="107"/>
    </row>
    <row r="472">
      <c r="A472" s="60"/>
      <c r="B472" s="24"/>
      <c r="C472" s="25"/>
      <c r="D472" s="41"/>
      <c r="E472" s="46"/>
      <c r="F472" s="46"/>
      <c r="G472" s="21">
        <f t="shared" si="179"/>
        <v>0</v>
      </c>
      <c r="H472" s="95"/>
      <c r="I472" s="86" t="s">
        <v>53</v>
      </c>
      <c r="J472" s="86" t="s">
        <v>36</v>
      </c>
      <c r="K472" s="86" t="s">
        <v>53</v>
      </c>
      <c r="L472" s="86" t="s">
        <v>36</v>
      </c>
      <c r="M472" s="15"/>
      <c r="N472" s="37"/>
      <c r="O472" s="25"/>
      <c r="P472" s="33"/>
      <c r="Q472" s="20"/>
      <c r="R472" s="20">
        <v>2000000.0</v>
      </c>
      <c r="S472" s="21">
        <f t="shared" si="180"/>
        <v>1690000</v>
      </c>
      <c r="T472" s="13"/>
      <c r="U472" s="13"/>
      <c r="V472" s="13"/>
      <c r="W472" s="13"/>
      <c r="X472" s="14"/>
      <c r="Y472" s="38"/>
      <c r="Z472" s="37"/>
      <c r="AA472" s="25"/>
      <c r="AB472" s="41"/>
      <c r="AC472" s="20"/>
      <c r="AD472" s="20"/>
      <c r="AE472" s="21">
        <f t="shared" si="181"/>
        <v>0</v>
      </c>
      <c r="AF472" s="13"/>
      <c r="AG472" s="13"/>
      <c r="AH472" s="13"/>
      <c r="AI472" s="13"/>
      <c r="AJ472" s="14"/>
      <c r="AK472" s="38"/>
      <c r="AL472" s="37"/>
      <c r="AM472" s="25"/>
      <c r="AN472" s="41"/>
      <c r="AO472" s="20"/>
      <c r="AP472" s="20"/>
      <c r="AQ472" s="21">
        <f t="shared" si="182"/>
        <v>0</v>
      </c>
      <c r="AR472" s="13"/>
      <c r="AS472" s="13"/>
      <c r="AT472" s="13"/>
      <c r="AU472" s="13"/>
      <c r="AV472" s="14"/>
      <c r="AW472" s="38"/>
      <c r="AX472" s="37"/>
      <c r="AY472" s="25"/>
      <c r="AZ472" s="41"/>
      <c r="BA472" s="20"/>
      <c r="BB472" s="20"/>
      <c r="BC472" s="21">
        <f t="shared" si="183"/>
        <v>0</v>
      </c>
      <c r="BD472" s="13"/>
      <c r="BE472" s="13"/>
      <c r="BF472" s="13"/>
      <c r="BG472" s="13"/>
      <c r="BH472" s="14"/>
      <c r="BI472" s="38"/>
      <c r="BJ472" s="37"/>
      <c r="BK472" s="25"/>
      <c r="BL472" s="41"/>
      <c r="BM472" s="20"/>
      <c r="BN472" s="20"/>
      <c r="BO472" s="21">
        <f t="shared" si="184"/>
        <v>0</v>
      </c>
      <c r="BP472" s="13"/>
      <c r="BQ472" s="13"/>
      <c r="BR472" s="13"/>
      <c r="BS472" s="13"/>
      <c r="BT472" s="14"/>
      <c r="BU472" s="107"/>
      <c r="BV472" s="107"/>
      <c r="BW472" s="107"/>
      <c r="BX472" s="107"/>
      <c r="BY472" s="107"/>
      <c r="BZ472" s="107"/>
      <c r="CA472" s="111"/>
      <c r="CB472" s="107"/>
      <c r="CC472" s="107"/>
      <c r="CD472" s="107"/>
      <c r="CE472" s="107"/>
      <c r="CF472" s="107"/>
      <c r="CG472" s="107"/>
      <c r="CH472" s="107"/>
      <c r="CI472" s="107"/>
      <c r="CJ472" s="107"/>
    </row>
    <row r="473">
      <c r="A473" s="60"/>
      <c r="B473" s="47"/>
      <c r="C473" s="25"/>
      <c r="D473" s="33"/>
      <c r="E473" s="46"/>
      <c r="F473" s="46"/>
      <c r="G473" s="21">
        <f t="shared" si="179"/>
        <v>0</v>
      </c>
      <c r="H473" s="94" t="s">
        <v>12</v>
      </c>
      <c r="I473" s="87">
        <f t="shared" ref="I473:L473" si="191">SUM(I471)-(I471*10%)</f>
        <v>78623.0505</v>
      </c>
      <c r="J473" s="87">
        <f t="shared" si="191"/>
        <v>117934.5758</v>
      </c>
      <c r="K473" s="87">
        <f t="shared" si="191"/>
        <v>78623.0505</v>
      </c>
      <c r="L473" s="87">
        <f t="shared" si="191"/>
        <v>117934.5758</v>
      </c>
      <c r="M473" s="15"/>
      <c r="N473" s="24"/>
      <c r="O473" s="25"/>
      <c r="P473" s="41"/>
      <c r="Q473" s="46"/>
      <c r="R473" s="46"/>
      <c r="S473" s="21">
        <f t="shared" si="180"/>
        <v>0</v>
      </c>
      <c r="T473" s="13"/>
      <c r="U473" s="13"/>
      <c r="V473" s="13"/>
      <c r="W473" s="13"/>
      <c r="X473" s="14"/>
      <c r="Y473" s="38"/>
      <c r="Z473" s="24"/>
      <c r="AA473" s="25"/>
      <c r="AB473" s="41"/>
      <c r="AC473" s="46"/>
      <c r="AD473" s="46"/>
      <c r="AE473" s="21">
        <f t="shared" si="181"/>
        <v>0</v>
      </c>
      <c r="AF473" s="13"/>
      <c r="AG473" s="13"/>
      <c r="AH473" s="13"/>
      <c r="AI473" s="13"/>
      <c r="AJ473" s="14"/>
      <c r="AK473" s="38"/>
      <c r="AL473" s="24"/>
      <c r="AM473" s="25"/>
      <c r="AN473" s="41"/>
      <c r="AO473" s="46"/>
      <c r="AP473" s="46"/>
      <c r="AQ473" s="21">
        <f t="shared" si="182"/>
        <v>0</v>
      </c>
      <c r="AR473" s="13"/>
      <c r="AS473" s="13"/>
      <c r="AT473" s="13"/>
      <c r="AU473" s="13"/>
      <c r="AV473" s="14"/>
      <c r="AW473" s="38"/>
      <c r="AX473" s="24"/>
      <c r="AY473" s="25"/>
      <c r="AZ473" s="41"/>
      <c r="BA473" s="46"/>
      <c r="BB473" s="46"/>
      <c r="BC473" s="21">
        <f t="shared" si="183"/>
        <v>0</v>
      </c>
      <c r="BD473" s="13"/>
      <c r="BE473" s="13"/>
      <c r="BF473" s="13"/>
      <c r="BG473" s="13"/>
      <c r="BH473" s="14"/>
      <c r="BI473" s="38"/>
      <c r="BJ473" s="24"/>
      <c r="BK473" s="25"/>
      <c r="BL473" s="41"/>
      <c r="BM473" s="46"/>
      <c r="BN473" s="46"/>
      <c r="BO473" s="21">
        <f t="shared" si="184"/>
        <v>0</v>
      </c>
      <c r="BP473" s="13"/>
      <c r="BQ473" s="13"/>
      <c r="BR473" s="13"/>
      <c r="BS473" s="13"/>
      <c r="BT473" s="14"/>
      <c r="BU473" s="107"/>
      <c r="BV473" s="107"/>
      <c r="BW473" s="107"/>
      <c r="BX473" s="107"/>
      <c r="BY473" s="107"/>
      <c r="BZ473" s="107"/>
      <c r="CA473" s="111"/>
      <c r="CB473" s="107"/>
      <c r="CC473" s="107"/>
      <c r="CD473" s="107"/>
      <c r="CE473" s="107"/>
      <c r="CF473" s="107"/>
      <c r="CG473" s="107"/>
      <c r="CH473" s="107"/>
      <c r="CI473" s="107"/>
      <c r="CJ473" s="107"/>
    </row>
    <row r="474">
      <c r="A474" s="105"/>
      <c r="B474" s="47"/>
      <c r="C474" s="25"/>
      <c r="D474" s="33"/>
      <c r="E474" s="46"/>
      <c r="F474" s="46"/>
      <c r="G474" s="21">
        <f t="shared" si="179"/>
        <v>0</v>
      </c>
      <c r="H474" s="95">
        <f>H463+T463+AF463+AR463+BD463+BP463+CB463</f>
        <v>9624000</v>
      </c>
      <c r="I474" s="95"/>
      <c r="J474" s="95"/>
      <c r="K474" s="86" t="s">
        <v>66</v>
      </c>
      <c r="L474" s="95"/>
      <c r="M474" s="38"/>
      <c r="N474" s="47"/>
      <c r="O474" s="25"/>
      <c r="P474" s="41"/>
      <c r="Q474" s="46"/>
      <c r="R474" s="46"/>
      <c r="S474" s="21">
        <f t="shared" si="180"/>
        <v>0</v>
      </c>
      <c r="T474" s="13"/>
      <c r="U474" s="13"/>
      <c r="V474" s="13"/>
      <c r="W474" s="13"/>
      <c r="X474" s="14"/>
      <c r="Y474" s="38"/>
      <c r="Z474" s="47"/>
      <c r="AA474" s="25"/>
      <c r="AB474" s="41"/>
      <c r="AC474" s="46"/>
      <c r="AD474" s="46"/>
      <c r="AE474" s="21">
        <f t="shared" si="181"/>
        <v>0</v>
      </c>
      <c r="AF474" s="13"/>
      <c r="AG474" s="13"/>
      <c r="AH474" s="13"/>
      <c r="AI474" s="13"/>
      <c r="AJ474" s="14"/>
      <c r="AK474" s="38"/>
      <c r="AL474" s="47"/>
      <c r="AM474" s="25"/>
      <c r="AN474" s="41"/>
      <c r="AO474" s="46"/>
      <c r="AP474" s="46"/>
      <c r="AQ474" s="21">
        <f t="shared" si="182"/>
        <v>0</v>
      </c>
      <c r="AR474" s="13"/>
      <c r="AS474" s="13"/>
      <c r="AT474" s="13"/>
      <c r="AU474" s="13"/>
      <c r="AV474" s="14"/>
      <c r="AW474" s="38"/>
      <c r="AX474" s="47"/>
      <c r="AY474" s="25"/>
      <c r="AZ474" s="41"/>
      <c r="BA474" s="46"/>
      <c r="BB474" s="46"/>
      <c r="BC474" s="21">
        <f t="shared" si="183"/>
        <v>0</v>
      </c>
      <c r="BD474" s="13"/>
      <c r="BE474" s="13"/>
      <c r="BF474" s="13"/>
      <c r="BG474" s="13"/>
      <c r="BH474" s="14"/>
      <c r="BI474" s="38"/>
      <c r="BJ474" s="47"/>
      <c r="BK474" s="25"/>
      <c r="BL474" s="41"/>
      <c r="BM474" s="46"/>
      <c r="BN474" s="46"/>
      <c r="BO474" s="21">
        <f t="shared" si="184"/>
        <v>0</v>
      </c>
      <c r="BP474" s="13"/>
      <c r="BQ474" s="13"/>
      <c r="BR474" s="13"/>
      <c r="BS474" s="13"/>
      <c r="BT474" s="14"/>
      <c r="BU474" s="107"/>
      <c r="BV474" s="107"/>
      <c r="BW474" s="107"/>
      <c r="BX474" s="107"/>
      <c r="BY474" s="107"/>
      <c r="BZ474" s="107"/>
      <c r="CA474" s="111"/>
      <c r="CB474" s="107"/>
      <c r="CC474" s="107"/>
      <c r="CD474" s="107"/>
      <c r="CE474" s="107"/>
      <c r="CF474" s="107"/>
      <c r="CG474" s="107"/>
      <c r="CH474" s="107"/>
      <c r="CI474" s="107"/>
      <c r="CJ474" s="107"/>
    </row>
    <row r="475">
      <c r="A475" s="105"/>
      <c r="B475" s="32"/>
      <c r="C475" s="25"/>
      <c r="D475" s="41"/>
      <c r="E475" s="46"/>
      <c r="F475" s="46"/>
      <c r="G475" s="21">
        <f t="shared" si="179"/>
        <v>0</v>
      </c>
      <c r="H475" s="95"/>
      <c r="I475" s="95"/>
      <c r="J475" s="95"/>
      <c r="K475" s="86">
        <f>J465+K473</f>
        <v>147709.3005</v>
      </c>
      <c r="L475" s="95"/>
      <c r="M475" s="38"/>
      <c r="N475" s="32"/>
      <c r="O475" s="25"/>
      <c r="P475" s="41"/>
      <c r="Q475" s="46"/>
      <c r="R475" s="46"/>
      <c r="S475" s="21">
        <f t="shared" si="180"/>
        <v>0</v>
      </c>
      <c r="T475" s="13"/>
      <c r="U475" s="13"/>
      <c r="V475" s="13"/>
      <c r="W475" s="13"/>
      <c r="X475" s="14"/>
      <c r="Y475" s="38"/>
      <c r="Z475" s="32"/>
      <c r="AA475" s="25"/>
      <c r="AB475" s="41"/>
      <c r="AC475" s="46"/>
      <c r="AD475" s="46"/>
      <c r="AE475" s="21">
        <f t="shared" si="181"/>
        <v>0</v>
      </c>
      <c r="AF475" s="13"/>
      <c r="AG475" s="13"/>
      <c r="AH475" s="13"/>
      <c r="AI475" s="13"/>
      <c r="AJ475" s="14"/>
      <c r="AK475" s="38"/>
      <c r="AL475" s="32"/>
      <c r="AM475" s="25"/>
      <c r="AN475" s="41"/>
      <c r="AO475" s="46"/>
      <c r="AP475" s="46"/>
      <c r="AQ475" s="21">
        <f t="shared" si="182"/>
        <v>0</v>
      </c>
      <c r="AR475" s="13"/>
      <c r="AS475" s="13"/>
      <c r="AT475" s="13"/>
      <c r="AU475" s="13"/>
      <c r="AV475" s="14"/>
      <c r="AW475" s="38"/>
      <c r="AX475" s="32"/>
      <c r="AY475" s="25"/>
      <c r="AZ475" s="41"/>
      <c r="BA475" s="46"/>
      <c r="BB475" s="46"/>
      <c r="BC475" s="21">
        <f t="shared" si="183"/>
        <v>0</v>
      </c>
      <c r="BD475" s="13"/>
      <c r="BE475" s="13"/>
      <c r="BF475" s="13"/>
      <c r="BG475" s="13"/>
      <c r="BH475" s="14"/>
      <c r="BI475" s="38"/>
      <c r="BJ475" s="32"/>
      <c r="BK475" s="25"/>
      <c r="BL475" s="41"/>
      <c r="BM475" s="46"/>
      <c r="BN475" s="46"/>
      <c r="BO475" s="21">
        <f t="shared" si="184"/>
        <v>0</v>
      </c>
      <c r="BP475" s="13"/>
      <c r="BQ475" s="13"/>
      <c r="BR475" s="13"/>
      <c r="BS475" s="13"/>
      <c r="BT475" s="14"/>
      <c r="BU475" s="107"/>
      <c r="BV475" s="107"/>
      <c r="BW475" s="107"/>
      <c r="BX475" s="107"/>
      <c r="BY475" s="107"/>
      <c r="BZ475" s="107"/>
      <c r="CA475" s="111"/>
      <c r="CB475" s="107"/>
      <c r="CC475" s="107"/>
      <c r="CD475" s="107"/>
      <c r="CE475" s="107"/>
      <c r="CF475" s="107"/>
      <c r="CG475" s="107"/>
      <c r="CH475" s="107"/>
      <c r="CI475" s="107"/>
      <c r="CJ475" s="107"/>
    </row>
    <row r="476">
      <c r="A476" s="105"/>
      <c r="B476" s="47"/>
      <c r="C476" s="25"/>
      <c r="D476" s="41"/>
      <c r="E476" s="46"/>
      <c r="F476" s="46"/>
      <c r="G476" s="21">
        <f t="shared" si="179"/>
        <v>0</v>
      </c>
      <c r="H476" s="13"/>
      <c r="I476" s="13"/>
      <c r="J476" s="13"/>
      <c r="K476" s="13"/>
      <c r="L476" s="14"/>
      <c r="M476" s="38"/>
      <c r="N476" s="47"/>
      <c r="O476" s="25"/>
      <c r="P476" s="41"/>
      <c r="Q476" s="46"/>
      <c r="R476" s="46"/>
      <c r="S476" s="21">
        <f t="shared" si="180"/>
        <v>0</v>
      </c>
      <c r="T476" s="13"/>
      <c r="U476" s="116"/>
      <c r="V476" s="117" t="s">
        <v>78</v>
      </c>
      <c r="W476" s="116"/>
      <c r="X476" s="14"/>
      <c r="Y476" s="38"/>
      <c r="Z476" s="47"/>
      <c r="AA476" s="25"/>
      <c r="AB476" s="41"/>
      <c r="AC476" s="46"/>
      <c r="AD476" s="46"/>
      <c r="AE476" s="21">
        <f t="shared" si="181"/>
        <v>0</v>
      </c>
      <c r="AF476" s="13"/>
      <c r="AG476" s="116"/>
      <c r="AH476" s="117" t="s">
        <v>59</v>
      </c>
      <c r="AI476" s="116"/>
      <c r="AJ476" s="14"/>
      <c r="AK476" s="38"/>
      <c r="AL476" s="47"/>
      <c r="AM476" s="25"/>
      <c r="AN476" s="41"/>
      <c r="AO476" s="46"/>
      <c r="AP476" s="46"/>
      <c r="AQ476" s="21">
        <f t="shared" si="182"/>
        <v>0</v>
      </c>
      <c r="AR476" s="13"/>
      <c r="AS476" s="116"/>
      <c r="AT476" s="117" t="s">
        <v>60</v>
      </c>
      <c r="AU476" s="116"/>
      <c r="AV476" s="14"/>
      <c r="AW476" s="38"/>
      <c r="AX476" s="47"/>
      <c r="AY476" s="25"/>
      <c r="AZ476" s="41"/>
      <c r="BA476" s="46"/>
      <c r="BB476" s="46"/>
      <c r="BC476" s="21">
        <f t="shared" si="183"/>
        <v>0</v>
      </c>
      <c r="BD476" s="13"/>
      <c r="BE476" s="116"/>
      <c r="BF476" s="117"/>
      <c r="BG476" s="116"/>
      <c r="BH476" s="14"/>
      <c r="BI476" s="38"/>
      <c r="BJ476" s="47"/>
      <c r="BK476" s="25"/>
      <c r="BL476" s="41"/>
      <c r="BM476" s="46"/>
      <c r="BN476" s="46"/>
      <c r="BO476" s="21">
        <f t="shared" si="184"/>
        <v>0</v>
      </c>
      <c r="BP476" s="13"/>
      <c r="BQ476" s="116"/>
      <c r="BR476" s="117" t="s">
        <v>59</v>
      </c>
      <c r="BS476" s="116"/>
      <c r="BT476" s="14"/>
      <c r="BU476" s="107"/>
      <c r="BV476" s="107"/>
      <c r="BW476" s="107"/>
      <c r="BX476" s="107"/>
      <c r="BY476" s="107"/>
      <c r="BZ476" s="107"/>
      <c r="CA476" s="111"/>
      <c r="CB476" s="107"/>
      <c r="CC476" s="107"/>
      <c r="CD476" s="107"/>
      <c r="CE476" s="107"/>
      <c r="CF476" s="107"/>
      <c r="CG476" s="107"/>
      <c r="CH476" s="107"/>
      <c r="CI476" s="107"/>
      <c r="CJ476" s="107"/>
    </row>
    <row r="477">
      <c r="A477" s="38"/>
      <c r="B477" s="47"/>
      <c r="C477" s="25"/>
      <c r="D477" s="41"/>
      <c r="E477" s="46"/>
      <c r="F477" s="46"/>
      <c r="G477" s="21">
        <f t="shared" si="179"/>
        <v>0</v>
      </c>
      <c r="H477" s="116"/>
      <c r="I477" s="117" t="s">
        <v>61</v>
      </c>
      <c r="J477" s="116"/>
      <c r="K477" s="13"/>
      <c r="L477" s="14"/>
      <c r="M477" s="38"/>
      <c r="N477" s="47"/>
      <c r="O477" s="25"/>
      <c r="P477" s="41"/>
      <c r="Q477" s="46"/>
      <c r="R477" s="46"/>
      <c r="S477" s="21">
        <f t="shared" si="180"/>
        <v>0</v>
      </c>
      <c r="T477" s="13"/>
      <c r="U477" s="118">
        <v>0.01</v>
      </c>
      <c r="V477" s="118">
        <v>0.01</v>
      </c>
      <c r="W477" s="117" t="s">
        <v>80</v>
      </c>
      <c r="X477" s="14"/>
      <c r="Y477" s="38"/>
      <c r="Z477" s="47"/>
      <c r="AA477" s="25"/>
      <c r="AB477" s="41"/>
      <c r="AC477" s="46"/>
      <c r="AD477" s="46"/>
      <c r="AE477" s="21">
        <f t="shared" si="181"/>
        <v>0</v>
      </c>
      <c r="AF477" s="13"/>
      <c r="AG477" s="118">
        <v>0.02</v>
      </c>
      <c r="AH477" s="118">
        <v>0.04</v>
      </c>
      <c r="AI477" s="118">
        <v>0.06</v>
      </c>
      <c r="AJ477" s="14"/>
      <c r="AK477" s="38"/>
      <c r="AL477" s="47"/>
      <c r="AM477" s="25"/>
      <c r="AN477" s="41"/>
      <c r="AO477" s="46"/>
      <c r="AP477" s="46"/>
      <c r="AQ477" s="21">
        <f t="shared" si="182"/>
        <v>0</v>
      </c>
      <c r="AR477" s="13"/>
      <c r="AS477" s="118">
        <v>0.03</v>
      </c>
      <c r="AT477" s="118">
        <v>0.05</v>
      </c>
      <c r="AU477" s="118">
        <v>0.07</v>
      </c>
      <c r="AV477" s="14"/>
      <c r="AW477" s="38"/>
      <c r="AX477" s="47"/>
      <c r="AY477" s="25"/>
      <c r="AZ477" s="41"/>
      <c r="BA477" s="46"/>
      <c r="BB477" s="46"/>
      <c r="BC477" s="21">
        <f t="shared" si="183"/>
        <v>0</v>
      </c>
      <c r="BD477" s="13"/>
      <c r="BE477" s="118"/>
      <c r="BF477" s="118"/>
      <c r="BG477" s="117"/>
      <c r="BH477" s="14"/>
      <c r="BI477" s="38"/>
      <c r="BJ477" s="47"/>
      <c r="BK477" s="25"/>
      <c r="BL477" s="41"/>
      <c r="BM477" s="46"/>
      <c r="BN477" s="46"/>
      <c r="BO477" s="21">
        <f t="shared" si="184"/>
        <v>0</v>
      </c>
      <c r="BP477" s="13"/>
      <c r="BQ477" s="118">
        <v>0.03</v>
      </c>
      <c r="BR477" s="118">
        <v>0.05</v>
      </c>
      <c r="BS477" s="118">
        <v>0.07</v>
      </c>
      <c r="BT477" s="14"/>
      <c r="BU477" s="107"/>
      <c r="BV477" s="107"/>
      <c r="BW477" s="107"/>
      <c r="BX477" s="107"/>
      <c r="BY477" s="107"/>
      <c r="BZ477" s="107"/>
      <c r="CA477" s="111"/>
      <c r="CB477" s="107"/>
      <c r="CC477" s="107"/>
      <c r="CD477" s="107"/>
      <c r="CE477" s="107"/>
      <c r="CF477" s="107"/>
      <c r="CG477" s="107"/>
      <c r="CH477" s="107"/>
      <c r="CI477" s="107"/>
      <c r="CJ477" s="107"/>
    </row>
    <row r="478">
      <c r="A478" s="38"/>
      <c r="B478" s="47"/>
      <c r="C478" s="25"/>
      <c r="D478" s="41"/>
      <c r="E478" s="46"/>
      <c r="F478" s="46"/>
      <c r="G478" s="21">
        <f t="shared" si="179"/>
        <v>0</v>
      </c>
      <c r="H478" s="118">
        <v>0.03</v>
      </c>
      <c r="I478" s="118">
        <v>0.05</v>
      </c>
      <c r="J478" s="118">
        <v>0.07</v>
      </c>
      <c r="K478" s="13"/>
      <c r="L478" s="14"/>
      <c r="M478" s="38"/>
      <c r="N478" s="47"/>
      <c r="O478" s="25"/>
      <c r="P478" s="41"/>
      <c r="Q478" s="46"/>
      <c r="R478" s="46"/>
      <c r="S478" s="21">
        <f t="shared" si="180"/>
        <v>0</v>
      </c>
      <c r="T478" s="13"/>
      <c r="U478" s="117">
        <v>5.0</v>
      </c>
      <c r="V478" s="117">
        <v>7.0</v>
      </c>
      <c r="W478" s="117">
        <v>10.0</v>
      </c>
      <c r="X478" s="14"/>
      <c r="Y478" s="38"/>
      <c r="Z478" s="47"/>
      <c r="AA478" s="25"/>
      <c r="AB478" s="41"/>
      <c r="AC478" s="46"/>
      <c r="AD478" s="46"/>
      <c r="AE478" s="21">
        <f t="shared" si="181"/>
        <v>0</v>
      </c>
      <c r="AF478" s="13"/>
      <c r="AG478" s="117">
        <v>5.0</v>
      </c>
      <c r="AH478" s="117">
        <v>7.0</v>
      </c>
      <c r="AI478" s="117">
        <v>10.0</v>
      </c>
      <c r="AJ478" s="14"/>
      <c r="AK478" s="38"/>
      <c r="AL478" s="47"/>
      <c r="AM478" s="25"/>
      <c r="AN478" s="41"/>
      <c r="AO478" s="46"/>
      <c r="AP478" s="46"/>
      <c r="AQ478" s="21">
        <f t="shared" si="182"/>
        <v>0</v>
      </c>
      <c r="AR478" s="13"/>
      <c r="AS478" s="117">
        <v>5.0</v>
      </c>
      <c r="AT478" s="117">
        <v>7.0</v>
      </c>
      <c r="AU478" s="117">
        <v>10.0</v>
      </c>
      <c r="AV478" s="14"/>
      <c r="AW478" s="38"/>
      <c r="AX478" s="47"/>
      <c r="AY478" s="25"/>
      <c r="AZ478" s="41"/>
      <c r="BA478" s="46"/>
      <c r="BB478" s="46"/>
      <c r="BC478" s="21">
        <f t="shared" si="183"/>
        <v>0</v>
      </c>
      <c r="BD478" s="13"/>
      <c r="BE478" s="117"/>
      <c r="BF478" s="117"/>
      <c r="BG478" s="117"/>
      <c r="BH478" s="14"/>
      <c r="BI478" s="38"/>
      <c r="BJ478" s="47"/>
      <c r="BK478" s="25"/>
      <c r="BL478" s="41"/>
      <c r="BM478" s="46"/>
      <c r="BN478" s="46"/>
      <c r="BO478" s="21">
        <f t="shared" si="184"/>
        <v>0</v>
      </c>
      <c r="BP478" s="13"/>
      <c r="BQ478" s="117">
        <v>5.0</v>
      </c>
      <c r="BR478" s="117">
        <v>7.0</v>
      </c>
      <c r="BS478" s="117">
        <v>10.0</v>
      </c>
      <c r="BT478" s="14"/>
      <c r="BU478" s="107"/>
      <c r="BV478" s="107"/>
      <c r="BW478" s="107"/>
      <c r="BX478" s="107"/>
      <c r="BY478" s="107"/>
      <c r="BZ478" s="107"/>
      <c r="CA478" s="111"/>
      <c r="CB478" s="107"/>
      <c r="CC478" s="107"/>
      <c r="CD478" s="107"/>
      <c r="CE478" s="107"/>
      <c r="CF478" s="107"/>
      <c r="CG478" s="107"/>
      <c r="CH478" s="107"/>
      <c r="CI478" s="107"/>
      <c r="CJ478" s="107"/>
    </row>
    <row r="479">
      <c r="A479" s="38"/>
      <c r="B479" s="32"/>
      <c r="C479" s="25"/>
      <c r="D479" s="41"/>
      <c r="E479" s="49"/>
      <c r="F479" s="49"/>
      <c r="G479" s="21">
        <f t="shared" si="179"/>
        <v>0</v>
      </c>
      <c r="H479" s="117">
        <v>5.0</v>
      </c>
      <c r="I479" s="117">
        <v>7.0</v>
      </c>
      <c r="J479" s="117">
        <v>10.0</v>
      </c>
      <c r="K479" s="13"/>
      <c r="L479" s="14"/>
      <c r="M479" s="38"/>
      <c r="N479" s="32"/>
      <c r="O479" s="25"/>
      <c r="P479" s="41"/>
      <c r="Q479" s="49"/>
      <c r="R479" s="49"/>
      <c r="S479" s="21">
        <f t="shared" si="180"/>
        <v>0</v>
      </c>
      <c r="T479" s="13"/>
      <c r="U479" s="13"/>
      <c r="V479" s="13"/>
      <c r="W479" s="13"/>
      <c r="X479" s="14"/>
      <c r="Y479" s="38"/>
      <c r="Z479" s="32"/>
      <c r="AA479" s="25"/>
      <c r="AB479" s="41"/>
      <c r="AC479" s="49"/>
      <c r="AD479" s="49"/>
      <c r="AE479" s="21">
        <f t="shared" si="181"/>
        <v>0</v>
      </c>
      <c r="AF479" s="13"/>
      <c r="AG479" s="13"/>
      <c r="AH479" s="13"/>
      <c r="AI479" s="13"/>
      <c r="AJ479" s="14"/>
      <c r="AK479" s="38"/>
      <c r="AL479" s="32"/>
      <c r="AM479" s="25"/>
      <c r="AN479" s="41"/>
      <c r="AO479" s="49"/>
      <c r="AP479" s="49"/>
      <c r="AQ479" s="21">
        <f t="shared" si="182"/>
        <v>0</v>
      </c>
      <c r="AR479" s="13"/>
      <c r="AS479" s="13"/>
      <c r="AT479" s="13"/>
      <c r="AU479" s="13"/>
      <c r="AV479" s="14"/>
      <c r="AW479" s="38"/>
      <c r="AX479" s="32"/>
      <c r="AY479" s="25"/>
      <c r="AZ479" s="41"/>
      <c r="BA479" s="49"/>
      <c r="BB479" s="49"/>
      <c r="BC479" s="21">
        <f t="shared" si="183"/>
        <v>0</v>
      </c>
      <c r="BD479" s="13"/>
      <c r="BE479" s="13"/>
      <c r="BF479" s="13"/>
      <c r="BG479" s="13"/>
      <c r="BH479" s="14"/>
      <c r="BI479" s="38"/>
      <c r="BJ479" s="32"/>
      <c r="BK479" s="25"/>
      <c r="BL479" s="41"/>
      <c r="BM479" s="49"/>
      <c r="BN479" s="49"/>
      <c r="BO479" s="21">
        <f t="shared" si="184"/>
        <v>0</v>
      </c>
      <c r="BP479" s="13"/>
      <c r="BQ479" s="13"/>
      <c r="BR479" s="13"/>
      <c r="BS479" s="13"/>
      <c r="BT479" s="14"/>
      <c r="BU479" s="107"/>
      <c r="BV479" s="107"/>
      <c r="BW479" s="107"/>
      <c r="BX479" s="107"/>
      <c r="BY479" s="107"/>
      <c r="BZ479" s="107"/>
      <c r="CA479" s="111"/>
      <c r="CB479" s="107"/>
      <c r="CC479" s="107"/>
      <c r="CD479" s="107"/>
      <c r="CE479" s="107"/>
      <c r="CF479" s="107"/>
      <c r="CG479" s="107"/>
      <c r="CH479" s="107"/>
      <c r="CI479" s="107"/>
      <c r="CJ479" s="107"/>
    </row>
    <row r="480">
      <c r="A480" s="38"/>
      <c r="B480" s="32"/>
      <c r="C480" s="25"/>
      <c r="D480" s="41"/>
      <c r="E480" s="49"/>
      <c r="F480" s="49"/>
      <c r="G480" s="21">
        <f t="shared" si="179"/>
        <v>0</v>
      </c>
      <c r="H480" s="13"/>
      <c r="I480" s="13"/>
      <c r="J480" s="13"/>
      <c r="K480" s="13"/>
      <c r="L480" s="14"/>
      <c r="M480" s="38"/>
      <c r="N480" s="32"/>
      <c r="O480" s="25"/>
      <c r="P480" s="41"/>
      <c r="Q480" s="49"/>
      <c r="R480" s="49"/>
      <c r="S480" s="21">
        <f t="shared" si="180"/>
        <v>0</v>
      </c>
      <c r="T480" s="13"/>
      <c r="U480" s="13"/>
      <c r="V480" s="13"/>
      <c r="W480" s="13"/>
      <c r="X480" s="14"/>
      <c r="Y480" s="38"/>
      <c r="Z480" s="32"/>
      <c r="AA480" s="25"/>
      <c r="AB480" s="41"/>
      <c r="AC480" s="49"/>
      <c r="AD480" s="49"/>
      <c r="AE480" s="21">
        <f t="shared" si="181"/>
        <v>0</v>
      </c>
      <c r="AF480" s="13"/>
      <c r="AG480" s="13"/>
      <c r="AH480" s="13"/>
      <c r="AI480" s="13"/>
      <c r="AJ480" s="14"/>
      <c r="AK480" s="38"/>
      <c r="AL480" s="32"/>
      <c r="AM480" s="25"/>
      <c r="AN480" s="41"/>
      <c r="AO480" s="49"/>
      <c r="AP480" s="49"/>
      <c r="AQ480" s="21">
        <f t="shared" si="182"/>
        <v>0</v>
      </c>
      <c r="AR480" s="13"/>
      <c r="AS480" s="13"/>
      <c r="AT480" s="13"/>
      <c r="AU480" s="13"/>
      <c r="AV480" s="14"/>
      <c r="AW480" s="38"/>
      <c r="AX480" s="32"/>
      <c r="AY480" s="25"/>
      <c r="AZ480" s="41"/>
      <c r="BA480" s="49"/>
      <c r="BB480" s="49"/>
      <c r="BC480" s="21">
        <f t="shared" si="183"/>
        <v>0</v>
      </c>
      <c r="BD480" s="13"/>
      <c r="BE480" s="13"/>
      <c r="BF480" s="13"/>
      <c r="BG480" s="13"/>
      <c r="BH480" s="14"/>
      <c r="BI480" s="38"/>
      <c r="BJ480" s="32"/>
      <c r="BK480" s="25"/>
      <c r="BL480" s="41"/>
      <c r="BM480" s="49"/>
      <c r="BN480" s="49"/>
      <c r="BO480" s="21">
        <f t="shared" si="184"/>
        <v>0</v>
      </c>
      <c r="BP480" s="13"/>
      <c r="BQ480" s="13"/>
      <c r="BR480" s="13"/>
      <c r="BS480" s="13"/>
      <c r="BT480" s="14"/>
      <c r="BU480" s="107"/>
      <c r="BV480" s="107"/>
      <c r="BW480" s="107"/>
      <c r="BX480" s="107"/>
      <c r="BY480" s="107"/>
      <c r="BZ480" s="107"/>
      <c r="CA480" s="111"/>
      <c r="CB480" s="107"/>
      <c r="CC480" s="107"/>
      <c r="CD480" s="107"/>
      <c r="CE480" s="107"/>
      <c r="CF480" s="107"/>
      <c r="CG480" s="107"/>
      <c r="CH480" s="107"/>
      <c r="CI480" s="107"/>
      <c r="CJ480" s="107"/>
    </row>
    <row r="481">
      <c r="A481" s="38"/>
      <c r="B481" s="32"/>
      <c r="C481" s="25"/>
      <c r="D481" s="41"/>
      <c r="E481" s="49"/>
      <c r="F481" s="49"/>
      <c r="G481" s="21">
        <f t="shared" si="179"/>
        <v>0</v>
      </c>
      <c r="H481" s="13"/>
      <c r="I481" s="13"/>
      <c r="J481" s="67"/>
      <c r="K481" s="13"/>
      <c r="L481" s="14"/>
      <c r="M481" s="38"/>
      <c r="N481" s="32"/>
      <c r="O481" s="25"/>
      <c r="P481" s="41"/>
      <c r="Q481" s="49"/>
      <c r="R481" s="49"/>
      <c r="S481" s="21">
        <f t="shared" si="180"/>
        <v>0</v>
      </c>
      <c r="T481" s="13"/>
      <c r="U481" s="13"/>
      <c r="V481" s="13"/>
      <c r="W481" s="13"/>
      <c r="X481" s="14"/>
      <c r="Y481" s="38"/>
      <c r="Z481" s="32"/>
      <c r="AA481" s="25"/>
      <c r="AB481" s="41"/>
      <c r="AC481" s="49"/>
      <c r="AD481" s="49"/>
      <c r="AE481" s="21">
        <f t="shared" si="181"/>
        <v>0</v>
      </c>
      <c r="AF481" s="13"/>
      <c r="AG481" s="13"/>
      <c r="AH481" s="13"/>
      <c r="AI481" s="13"/>
      <c r="AJ481" s="14"/>
      <c r="AK481" s="38"/>
      <c r="AL481" s="32"/>
      <c r="AM481" s="25"/>
      <c r="AN481" s="41"/>
      <c r="AO481" s="49"/>
      <c r="AP481" s="49"/>
      <c r="AQ481" s="21">
        <f t="shared" si="182"/>
        <v>0</v>
      </c>
      <c r="AR481" s="13"/>
      <c r="AS481" s="13"/>
      <c r="AT481" s="13"/>
      <c r="AU481" s="13"/>
      <c r="AV481" s="14"/>
      <c r="AW481" s="38"/>
      <c r="AX481" s="32"/>
      <c r="AY481" s="25"/>
      <c r="AZ481" s="41"/>
      <c r="BA481" s="49"/>
      <c r="BB481" s="49"/>
      <c r="BC481" s="21">
        <f t="shared" si="183"/>
        <v>0</v>
      </c>
      <c r="BD481" s="13"/>
      <c r="BE481" s="13"/>
      <c r="BF481" s="13"/>
      <c r="BG481" s="13"/>
      <c r="BH481" s="14"/>
      <c r="BI481" s="38"/>
      <c r="BJ481" s="32"/>
      <c r="BK481" s="25"/>
      <c r="BL481" s="41"/>
      <c r="BM481" s="49"/>
      <c r="BN481" s="49"/>
      <c r="BO481" s="21">
        <f t="shared" si="184"/>
        <v>0</v>
      </c>
      <c r="BP481" s="13"/>
      <c r="BQ481" s="13"/>
      <c r="BR481" s="13"/>
      <c r="BS481" s="13"/>
      <c r="BT481" s="14"/>
      <c r="BU481" s="107"/>
      <c r="BV481" s="107"/>
      <c r="BW481" s="107"/>
      <c r="BX481" s="107"/>
      <c r="BY481" s="107"/>
      <c r="BZ481" s="107"/>
      <c r="CA481" s="111"/>
      <c r="CB481" s="107"/>
      <c r="CC481" s="107"/>
      <c r="CD481" s="107"/>
      <c r="CE481" s="107"/>
      <c r="CF481" s="107"/>
      <c r="CG481" s="107"/>
      <c r="CH481" s="107"/>
      <c r="CI481" s="107"/>
      <c r="CJ481" s="107"/>
    </row>
    <row r="482">
      <c r="A482" s="38"/>
      <c r="B482" s="32"/>
      <c r="C482" s="25"/>
      <c r="D482" s="41"/>
      <c r="E482" s="46"/>
      <c r="F482" s="46"/>
      <c r="G482" s="21">
        <f t="shared" si="179"/>
        <v>0</v>
      </c>
      <c r="H482" s="13"/>
      <c r="I482" s="67" t="s">
        <v>85</v>
      </c>
      <c r="J482" s="13"/>
      <c r="K482" s="13"/>
      <c r="L482" s="14"/>
      <c r="M482" s="38"/>
      <c r="N482" s="32"/>
      <c r="O482" s="25"/>
      <c r="P482" s="41"/>
      <c r="Q482" s="46"/>
      <c r="R482" s="46"/>
      <c r="S482" s="21">
        <f t="shared" si="180"/>
        <v>0</v>
      </c>
      <c r="T482" s="13"/>
      <c r="U482" s="13"/>
      <c r="V482" s="13"/>
      <c r="W482" s="13"/>
      <c r="X482" s="14"/>
      <c r="Y482" s="38"/>
      <c r="Z482" s="32"/>
      <c r="AA482" s="25"/>
      <c r="AB482" s="41"/>
      <c r="AC482" s="46"/>
      <c r="AD482" s="46"/>
      <c r="AE482" s="21">
        <f t="shared" si="181"/>
        <v>0</v>
      </c>
      <c r="AF482" s="13"/>
      <c r="AG482" s="13"/>
      <c r="AH482" s="13"/>
      <c r="AI482" s="13"/>
      <c r="AJ482" s="14"/>
      <c r="AK482" s="38"/>
      <c r="AL482" s="32"/>
      <c r="AM482" s="25"/>
      <c r="AN482" s="41"/>
      <c r="AO482" s="46"/>
      <c r="AP482" s="46"/>
      <c r="AQ482" s="21">
        <f t="shared" si="182"/>
        <v>0</v>
      </c>
      <c r="AR482" s="13"/>
      <c r="AS482" s="13"/>
      <c r="AT482" s="13"/>
      <c r="AU482" s="13"/>
      <c r="AV482" s="14"/>
      <c r="AW482" s="38"/>
      <c r="AX482" s="32"/>
      <c r="AY482" s="25"/>
      <c r="AZ482" s="41"/>
      <c r="BA482" s="46"/>
      <c r="BB482" s="46"/>
      <c r="BC482" s="21">
        <f t="shared" si="183"/>
        <v>0</v>
      </c>
      <c r="BD482" s="13"/>
      <c r="BE482" s="13"/>
      <c r="BF482" s="13"/>
      <c r="BG482" s="13"/>
      <c r="BH482" s="14"/>
      <c r="BI482" s="38"/>
      <c r="BJ482" s="32"/>
      <c r="BK482" s="25"/>
      <c r="BL482" s="41"/>
      <c r="BM482" s="46"/>
      <c r="BN482" s="46"/>
      <c r="BO482" s="21">
        <f t="shared" si="184"/>
        <v>0</v>
      </c>
      <c r="BP482" s="13"/>
      <c r="BQ482" s="13"/>
      <c r="BR482" s="13"/>
      <c r="BS482" s="13"/>
      <c r="BT482" s="14"/>
      <c r="BU482" s="107"/>
      <c r="BV482" s="107"/>
      <c r="BW482" s="107"/>
      <c r="BX482" s="107"/>
      <c r="BY482" s="107"/>
      <c r="BZ482" s="107"/>
      <c r="CA482" s="111"/>
      <c r="CB482" s="107"/>
      <c r="CC482" s="107"/>
      <c r="CD482" s="107"/>
      <c r="CE482" s="107"/>
      <c r="CF482" s="107"/>
      <c r="CG482" s="107"/>
      <c r="CH482" s="107"/>
      <c r="CI482" s="107"/>
      <c r="CJ482" s="107"/>
    </row>
    <row r="483">
      <c r="A483" s="38"/>
      <c r="B483" s="47"/>
      <c r="C483" s="25"/>
      <c r="D483" s="41"/>
      <c r="E483" s="49"/>
      <c r="F483" s="49"/>
      <c r="G483" s="21">
        <f t="shared" si="179"/>
        <v>0</v>
      </c>
      <c r="H483" s="13"/>
      <c r="I483" s="142">
        <v>40363.0</v>
      </c>
      <c r="J483" s="13"/>
      <c r="K483" s="13"/>
      <c r="L483" s="14"/>
      <c r="M483" s="38"/>
      <c r="N483" s="47"/>
      <c r="O483" s="25"/>
      <c r="P483" s="41"/>
      <c r="Q483" s="49"/>
      <c r="R483" s="49"/>
      <c r="S483" s="21">
        <f t="shared" si="180"/>
        <v>0</v>
      </c>
      <c r="T483" s="13"/>
      <c r="U483" s="67"/>
      <c r="V483" s="67"/>
      <c r="W483" s="13"/>
      <c r="X483" s="14"/>
      <c r="Y483" s="38"/>
      <c r="Z483" s="47"/>
      <c r="AA483" s="25"/>
      <c r="AB483" s="41"/>
      <c r="AC483" s="49"/>
      <c r="AD483" s="49"/>
      <c r="AE483" s="21">
        <f t="shared" si="181"/>
        <v>0</v>
      </c>
      <c r="AF483" s="13"/>
      <c r="AG483" s="13"/>
      <c r="AH483" s="13"/>
      <c r="AI483" s="13"/>
      <c r="AJ483" s="14"/>
      <c r="AK483" s="38"/>
      <c r="AL483" s="47"/>
      <c r="AM483" s="25"/>
      <c r="AN483" s="41"/>
      <c r="AO483" s="49"/>
      <c r="AP483" s="49"/>
      <c r="AQ483" s="21">
        <f t="shared" si="182"/>
        <v>0</v>
      </c>
      <c r="AR483" s="13"/>
      <c r="AS483" s="13"/>
      <c r="AT483" s="13"/>
      <c r="AU483" s="13"/>
      <c r="AV483" s="14"/>
      <c r="AW483" s="38"/>
      <c r="AX483" s="47"/>
      <c r="AY483" s="25"/>
      <c r="AZ483" s="41"/>
      <c r="BA483" s="49"/>
      <c r="BB483" s="49"/>
      <c r="BC483" s="21">
        <f t="shared" si="183"/>
        <v>0</v>
      </c>
      <c r="BD483" s="13"/>
      <c r="BE483" s="13"/>
      <c r="BF483" s="13"/>
      <c r="BG483" s="13"/>
      <c r="BH483" s="14"/>
      <c r="BI483" s="38"/>
      <c r="BJ483" s="47"/>
      <c r="BK483" s="25"/>
      <c r="BL483" s="41"/>
      <c r="BM483" s="49"/>
      <c r="BN483" s="49"/>
      <c r="BO483" s="21">
        <f t="shared" si="184"/>
        <v>0</v>
      </c>
      <c r="BP483" s="13"/>
      <c r="BQ483" s="13"/>
      <c r="BR483" s="13"/>
      <c r="BS483" s="13"/>
      <c r="BT483" s="14"/>
      <c r="BU483" s="107"/>
      <c r="BV483" s="107"/>
      <c r="BW483" s="107"/>
      <c r="BX483" s="107"/>
      <c r="BY483" s="107"/>
      <c r="BZ483" s="107"/>
      <c r="CA483" s="111"/>
      <c r="CB483" s="107"/>
      <c r="CC483" s="107"/>
      <c r="CD483" s="107"/>
      <c r="CE483" s="107"/>
      <c r="CF483" s="107"/>
      <c r="CG483" s="107"/>
      <c r="CH483" s="107"/>
      <c r="CI483" s="107"/>
      <c r="CJ483" s="107"/>
    </row>
    <row r="484">
      <c r="A484" s="38"/>
      <c r="B484" s="32"/>
      <c r="C484" s="25"/>
      <c r="D484" s="41"/>
      <c r="E484" s="49"/>
      <c r="F484" s="49"/>
      <c r="G484" s="21">
        <f t="shared" si="179"/>
        <v>0</v>
      </c>
      <c r="H484" s="13"/>
      <c r="I484" s="67"/>
      <c r="J484" s="13"/>
      <c r="K484" s="13"/>
      <c r="L484" s="14"/>
      <c r="M484" s="38"/>
      <c r="N484" s="32"/>
      <c r="O484" s="25"/>
      <c r="P484" s="41"/>
      <c r="Q484" s="49"/>
      <c r="R484" s="49"/>
      <c r="S484" s="21">
        <f t="shared" si="180"/>
        <v>0</v>
      </c>
      <c r="T484" s="13"/>
      <c r="U484" s="13"/>
      <c r="V484" s="13"/>
      <c r="W484" s="13"/>
      <c r="X484" s="14"/>
      <c r="Y484" s="38"/>
      <c r="Z484" s="32"/>
      <c r="AA484" s="25"/>
      <c r="AB484" s="41"/>
      <c r="AC484" s="49"/>
      <c r="AD484" s="49"/>
      <c r="AE484" s="21">
        <f t="shared" si="181"/>
        <v>0</v>
      </c>
      <c r="AF484" s="13"/>
      <c r="AG484" s="13"/>
      <c r="AH484" s="13"/>
      <c r="AI484" s="13"/>
      <c r="AJ484" s="14"/>
      <c r="AK484" s="38"/>
      <c r="AL484" s="32"/>
      <c r="AM484" s="25"/>
      <c r="AN484" s="41"/>
      <c r="AO484" s="49"/>
      <c r="AP484" s="49"/>
      <c r="AQ484" s="21">
        <f t="shared" si="182"/>
        <v>0</v>
      </c>
      <c r="AR484" s="13"/>
      <c r="AS484" s="13"/>
      <c r="AT484" s="13"/>
      <c r="AU484" s="13"/>
      <c r="AV484" s="14"/>
      <c r="AW484" s="38"/>
      <c r="AX484" s="32"/>
      <c r="AY484" s="25"/>
      <c r="AZ484" s="41"/>
      <c r="BA484" s="49"/>
      <c r="BB484" s="49"/>
      <c r="BC484" s="21">
        <f t="shared" si="183"/>
        <v>0</v>
      </c>
      <c r="BD484" s="13"/>
      <c r="BE484" s="13"/>
      <c r="BF484" s="13"/>
      <c r="BG484" s="13"/>
      <c r="BH484" s="14"/>
      <c r="BI484" s="38"/>
      <c r="BJ484" s="32"/>
      <c r="BK484" s="25"/>
      <c r="BL484" s="41"/>
      <c r="BM484" s="49"/>
      <c r="BN484" s="49"/>
      <c r="BO484" s="21">
        <f t="shared" si="184"/>
        <v>0</v>
      </c>
      <c r="BP484" s="13"/>
      <c r="BQ484" s="13"/>
      <c r="BR484" s="13"/>
      <c r="BS484" s="13"/>
      <c r="BT484" s="14"/>
      <c r="BU484" s="107"/>
      <c r="BV484" s="107"/>
      <c r="BW484" s="107"/>
      <c r="BX484" s="107"/>
      <c r="BY484" s="107"/>
      <c r="BZ484" s="107"/>
      <c r="CA484" s="111"/>
      <c r="CB484" s="107"/>
      <c r="CC484" s="107"/>
      <c r="CD484" s="107"/>
      <c r="CE484" s="107"/>
      <c r="CF484" s="107"/>
      <c r="CG484" s="107"/>
      <c r="CH484" s="107"/>
      <c r="CI484" s="107"/>
      <c r="CJ484" s="107"/>
    </row>
    <row r="485">
      <c r="A485" s="38"/>
      <c r="B485" s="32"/>
      <c r="C485" s="25"/>
      <c r="D485" s="41"/>
      <c r="E485" s="49"/>
      <c r="F485" s="49"/>
      <c r="G485" s="21">
        <f t="shared" si="179"/>
        <v>0</v>
      </c>
      <c r="H485" s="13"/>
      <c r="I485" s="67"/>
      <c r="J485" s="13"/>
      <c r="K485" s="13"/>
      <c r="L485" s="14"/>
      <c r="M485" s="38"/>
      <c r="N485" s="32"/>
      <c r="O485" s="25"/>
      <c r="P485" s="41"/>
      <c r="Q485" s="49"/>
      <c r="R485" s="49"/>
      <c r="S485" s="21">
        <f t="shared" si="180"/>
        <v>0</v>
      </c>
      <c r="T485" s="13"/>
      <c r="U485" s="13"/>
      <c r="V485" s="13"/>
      <c r="W485" s="13"/>
      <c r="X485" s="14"/>
      <c r="Y485" s="38"/>
      <c r="Z485" s="32"/>
      <c r="AA485" s="25"/>
      <c r="AB485" s="41"/>
      <c r="AC485" s="49"/>
      <c r="AD485" s="49"/>
      <c r="AE485" s="21">
        <f t="shared" si="181"/>
        <v>0</v>
      </c>
      <c r="AF485" s="13"/>
      <c r="AG485" s="13"/>
      <c r="AH485" s="13"/>
      <c r="AI485" s="13"/>
      <c r="AJ485" s="14"/>
      <c r="AK485" s="38"/>
      <c r="AL485" s="32"/>
      <c r="AM485" s="25"/>
      <c r="AN485" s="41"/>
      <c r="AO485" s="49"/>
      <c r="AP485" s="49"/>
      <c r="AQ485" s="21">
        <f t="shared" si="182"/>
        <v>0</v>
      </c>
      <c r="AR485" s="13"/>
      <c r="AS485" s="13"/>
      <c r="AT485" s="13"/>
      <c r="AU485" s="13"/>
      <c r="AV485" s="14"/>
      <c r="AW485" s="38"/>
      <c r="AX485" s="32"/>
      <c r="AY485" s="25"/>
      <c r="AZ485" s="41"/>
      <c r="BA485" s="49"/>
      <c r="BB485" s="49"/>
      <c r="BC485" s="21">
        <f t="shared" si="183"/>
        <v>0</v>
      </c>
      <c r="BD485" s="13"/>
      <c r="BE485" s="13"/>
      <c r="BF485" s="13"/>
      <c r="BG485" s="13"/>
      <c r="BH485" s="14"/>
      <c r="BI485" s="38"/>
      <c r="BJ485" s="32"/>
      <c r="BK485" s="25"/>
      <c r="BL485" s="41"/>
      <c r="BM485" s="49"/>
      <c r="BN485" s="49"/>
      <c r="BO485" s="21">
        <f t="shared" si="184"/>
        <v>0</v>
      </c>
      <c r="BP485" s="13"/>
      <c r="BQ485" s="13"/>
      <c r="BR485" s="13"/>
      <c r="BS485" s="13"/>
      <c r="BT485" s="14"/>
      <c r="BU485" s="107"/>
      <c r="BV485" s="107"/>
      <c r="BW485" s="107"/>
      <c r="BX485" s="107"/>
      <c r="BY485" s="107"/>
      <c r="BZ485" s="107"/>
      <c r="CA485" s="111"/>
      <c r="CB485" s="107"/>
      <c r="CC485" s="107"/>
      <c r="CD485" s="107"/>
      <c r="CE485" s="107"/>
      <c r="CF485" s="107"/>
      <c r="CG485" s="107"/>
      <c r="CH485" s="107"/>
      <c r="CI485" s="107"/>
      <c r="CJ485" s="107"/>
    </row>
    <row r="486">
      <c r="A486" s="50"/>
      <c r="B486" s="32"/>
      <c r="C486" s="25"/>
      <c r="D486" s="41"/>
      <c r="E486" s="49"/>
      <c r="F486" s="49"/>
      <c r="G486" s="88">
        <f t="shared" si="179"/>
        <v>0</v>
      </c>
      <c r="H486" s="89"/>
      <c r="I486" s="104"/>
      <c r="J486" s="89"/>
      <c r="K486" s="89"/>
      <c r="L486" s="90"/>
      <c r="M486" s="50"/>
      <c r="N486" s="32"/>
      <c r="O486" s="25"/>
      <c r="P486" s="41"/>
      <c r="Q486" s="49"/>
      <c r="R486" s="49"/>
      <c r="S486" s="21">
        <f t="shared" si="180"/>
        <v>0</v>
      </c>
      <c r="T486" s="89"/>
      <c r="U486" s="89"/>
      <c r="V486" s="89"/>
      <c r="W486" s="89"/>
      <c r="X486" s="90"/>
      <c r="Y486" s="50"/>
      <c r="Z486" s="32"/>
      <c r="AA486" s="25"/>
      <c r="AB486" s="41"/>
      <c r="AC486" s="49"/>
      <c r="AD486" s="49"/>
      <c r="AE486" s="21">
        <f t="shared" si="181"/>
        <v>0</v>
      </c>
      <c r="AF486" s="89"/>
      <c r="AG486" s="89"/>
      <c r="AH486" s="89"/>
      <c r="AI486" s="89"/>
      <c r="AJ486" s="90"/>
      <c r="AK486" s="50"/>
      <c r="AL486" s="32"/>
      <c r="AM486" s="25"/>
      <c r="AN486" s="41"/>
      <c r="AO486" s="49"/>
      <c r="AP486" s="49"/>
      <c r="AQ486" s="21">
        <f t="shared" si="182"/>
        <v>0</v>
      </c>
      <c r="AR486" s="89"/>
      <c r="AS486" s="89"/>
      <c r="AT486" s="89"/>
      <c r="AU486" s="89"/>
      <c r="AV486" s="90"/>
      <c r="AW486" s="50"/>
      <c r="AX486" s="32"/>
      <c r="AY486" s="25"/>
      <c r="AZ486" s="41"/>
      <c r="BA486" s="49"/>
      <c r="BB486" s="49"/>
      <c r="BC486" s="21">
        <f t="shared" si="183"/>
        <v>0</v>
      </c>
      <c r="BD486" s="89"/>
      <c r="BE486" s="89"/>
      <c r="BF486" s="89"/>
      <c r="BG486" s="89"/>
      <c r="BH486" s="90"/>
      <c r="BI486" s="50"/>
      <c r="BJ486" s="32"/>
      <c r="BK486" s="25"/>
      <c r="BL486" s="41"/>
      <c r="BM486" s="49"/>
      <c r="BN486" s="49"/>
      <c r="BO486" s="21">
        <f t="shared" si="184"/>
        <v>0</v>
      </c>
      <c r="BP486" s="89"/>
      <c r="BQ486" s="89"/>
      <c r="BR486" s="89"/>
      <c r="BS486" s="89"/>
      <c r="BT486" s="90"/>
      <c r="BU486" s="107"/>
      <c r="BV486" s="107"/>
      <c r="BW486" s="107"/>
      <c r="BX486" s="107"/>
      <c r="BY486" s="107"/>
      <c r="BZ486" s="107"/>
      <c r="CA486" s="111"/>
      <c r="CB486" s="107"/>
      <c r="CC486" s="107"/>
      <c r="CD486" s="107"/>
      <c r="CE486" s="107"/>
      <c r="CF486" s="107"/>
      <c r="CG486" s="107"/>
      <c r="CH486" s="107"/>
      <c r="CI486" s="107"/>
      <c r="CJ486" s="107"/>
    </row>
    <row r="487">
      <c r="A487" s="1" t="s">
        <v>0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1" t="s">
        <v>2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3"/>
      <c r="Y487" s="1" t="s">
        <v>88</v>
      </c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3"/>
      <c r="AK487" s="1" t="s">
        <v>97</v>
      </c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3"/>
      <c r="AW487" s="1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3"/>
      <c r="BI487" s="1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3"/>
      <c r="BU487" s="4"/>
      <c r="CG487" s="107"/>
      <c r="CH487" s="107"/>
      <c r="CI487" s="107"/>
      <c r="CJ487" s="107"/>
    </row>
    <row r="488">
      <c r="A488" s="5" t="s">
        <v>103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5" t="s">
        <v>94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5" t="s">
        <v>94</v>
      </c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5" t="s">
        <v>94</v>
      </c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5" t="s">
        <v>94</v>
      </c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5" t="s">
        <v>94</v>
      </c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5" t="s">
        <v>94</v>
      </c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107"/>
      <c r="CH488" s="107"/>
      <c r="CI488" s="107"/>
      <c r="CJ488" s="107"/>
    </row>
    <row r="489">
      <c r="A489" s="7" t="s">
        <v>5</v>
      </c>
      <c r="B489" s="8" t="s">
        <v>6</v>
      </c>
      <c r="C489" s="9" t="s">
        <v>7</v>
      </c>
      <c r="D489" s="10" t="s">
        <v>8</v>
      </c>
      <c r="E489" s="11" t="s">
        <v>9</v>
      </c>
      <c r="F489" s="11" t="s">
        <v>10</v>
      </c>
      <c r="G489" s="12" t="s">
        <v>11</v>
      </c>
      <c r="H489" s="12" t="s">
        <v>12</v>
      </c>
      <c r="I489" s="12" t="s">
        <v>13</v>
      </c>
      <c r="J489" s="13" t="s">
        <v>14</v>
      </c>
      <c r="K489" s="67" t="s">
        <v>15</v>
      </c>
      <c r="L489" s="14" t="s">
        <v>16</v>
      </c>
      <c r="M489" s="7" t="s">
        <v>5</v>
      </c>
      <c r="N489" s="8" t="s">
        <v>6</v>
      </c>
      <c r="O489" s="9" t="s">
        <v>7</v>
      </c>
      <c r="P489" s="10" t="s">
        <v>8</v>
      </c>
      <c r="Q489" s="11" t="s">
        <v>9</v>
      </c>
      <c r="R489" s="11" t="s">
        <v>10</v>
      </c>
      <c r="S489" s="12" t="s">
        <v>11</v>
      </c>
      <c r="T489" s="12" t="s">
        <v>12</v>
      </c>
      <c r="U489" s="12" t="s">
        <v>13</v>
      </c>
      <c r="V489" s="13" t="s">
        <v>14</v>
      </c>
      <c r="W489" s="13" t="s">
        <v>15</v>
      </c>
      <c r="X489" s="14" t="s">
        <v>16</v>
      </c>
      <c r="Y489" s="7" t="s">
        <v>5</v>
      </c>
      <c r="Z489" s="8" t="s">
        <v>6</v>
      </c>
      <c r="AA489" s="9" t="s">
        <v>7</v>
      </c>
      <c r="AB489" s="10" t="s">
        <v>8</v>
      </c>
      <c r="AC489" s="11" t="s">
        <v>9</v>
      </c>
      <c r="AD489" s="11" t="s">
        <v>10</v>
      </c>
      <c r="AE489" s="12" t="s">
        <v>11</v>
      </c>
      <c r="AF489" s="12" t="s">
        <v>12</v>
      </c>
      <c r="AG489" s="12" t="s">
        <v>13</v>
      </c>
      <c r="AH489" s="13" t="s">
        <v>14</v>
      </c>
      <c r="AI489" s="13" t="s">
        <v>15</v>
      </c>
      <c r="AJ489" s="14" t="s">
        <v>16</v>
      </c>
      <c r="AK489" s="7" t="s">
        <v>5</v>
      </c>
      <c r="AL489" s="8" t="s">
        <v>84</v>
      </c>
      <c r="AM489" s="9" t="s">
        <v>7</v>
      </c>
      <c r="AN489" s="10" t="s">
        <v>8</v>
      </c>
      <c r="AO489" s="11" t="s">
        <v>9</v>
      </c>
      <c r="AP489" s="11" t="s">
        <v>10</v>
      </c>
      <c r="AQ489" s="12" t="s">
        <v>11</v>
      </c>
      <c r="AR489" s="12" t="s">
        <v>12</v>
      </c>
      <c r="AS489" s="12" t="s">
        <v>13</v>
      </c>
      <c r="AT489" s="13" t="s">
        <v>14</v>
      </c>
      <c r="AU489" s="13" t="s">
        <v>15</v>
      </c>
      <c r="AV489" s="14" t="s">
        <v>16</v>
      </c>
      <c r="AW489" s="7" t="s">
        <v>5</v>
      </c>
      <c r="AX489" s="8" t="s">
        <v>6</v>
      </c>
      <c r="AY489" s="9" t="s">
        <v>7</v>
      </c>
      <c r="AZ489" s="10" t="s">
        <v>8</v>
      </c>
      <c r="BA489" s="11" t="s">
        <v>9</v>
      </c>
      <c r="BB489" s="11" t="s">
        <v>10</v>
      </c>
      <c r="BC489" s="12" t="s">
        <v>11</v>
      </c>
      <c r="BD489" s="12" t="s">
        <v>12</v>
      </c>
      <c r="BE489" s="12" t="s">
        <v>13</v>
      </c>
      <c r="BF489" s="13" t="s">
        <v>14</v>
      </c>
      <c r="BG489" s="13" t="s">
        <v>15</v>
      </c>
      <c r="BH489" s="14" t="s">
        <v>16</v>
      </c>
      <c r="BI489" s="7" t="s">
        <v>5</v>
      </c>
      <c r="BJ489" s="8" t="s">
        <v>6</v>
      </c>
      <c r="BK489" s="9" t="s">
        <v>7</v>
      </c>
      <c r="BL489" s="10" t="s">
        <v>8</v>
      </c>
      <c r="BM489" s="11" t="s">
        <v>9</v>
      </c>
      <c r="BN489" s="11" t="s">
        <v>10</v>
      </c>
      <c r="BO489" s="12" t="s">
        <v>11</v>
      </c>
      <c r="BP489" s="12" t="s">
        <v>12</v>
      </c>
      <c r="BQ489" s="12" t="s">
        <v>13</v>
      </c>
      <c r="BR489" s="13" t="s">
        <v>14</v>
      </c>
      <c r="BS489" s="13" t="s">
        <v>15</v>
      </c>
      <c r="BT489" s="14" t="s">
        <v>16</v>
      </c>
      <c r="BU489" s="109"/>
      <c r="BV489" s="108"/>
      <c r="BW489" s="108"/>
      <c r="BX489" s="108"/>
      <c r="BY489" s="108"/>
      <c r="BZ489" s="108"/>
      <c r="CA489" s="109"/>
      <c r="CB489" s="109"/>
      <c r="CC489" s="109"/>
      <c r="CD489" s="107"/>
      <c r="CE489" s="107"/>
      <c r="CF489" s="107"/>
      <c r="CG489" s="107"/>
      <c r="CH489" s="107"/>
      <c r="CI489" s="107"/>
      <c r="CJ489" s="107"/>
    </row>
    <row r="490">
      <c r="A490" s="60">
        <v>45994.0</v>
      </c>
      <c r="B490" s="16"/>
      <c r="C490" s="17"/>
      <c r="D490" s="18"/>
      <c r="E490" s="20">
        <v>90000.0</v>
      </c>
      <c r="F490" s="20"/>
      <c r="G490" s="21">
        <f t="shared" ref="G490:G513" si="192">SUM(B490)-(B490*15%)+(C490)-(C490*20.8%)+(D490)+(E490)-(E490*0.95%)+(F490)-(F490*15.5%)</f>
        <v>89145</v>
      </c>
      <c r="H490" s="22">
        <f>SUM(B490:F513)</f>
        <v>1745000</v>
      </c>
      <c r="I490" s="21">
        <f>SUM(G490:G513)</f>
        <v>1728422.5</v>
      </c>
      <c r="J490" s="21">
        <f>SUM(I490)-(I490*97%)</f>
        <v>51852.675</v>
      </c>
      <c r="K490" s="21">
        <f>SUM(I490)-(I490*95%)</f>
        <v>86421.125</v>
      </c>
      <c r="L490" s="23">
        <f>SUM(I490)-(I490*93%)</f>
        <v>120989.575</v>
      </c>
      <c r="M490" s="15" t="s">
        <v>104</v>
      </c>
      <c r="N490" s="24"/>
      <c r="O490" s="25"/>
      <c r="P490" s="41"/>
      <c r="Q490" s="46">
        <v>300000.0</v>
      </c>
      <c r="R490" s="145"/>
      <c r="S490" s="21">
        <f t="shared" ref="S490:S513" si="193">SUM(N490)-(N490*15%)+(O490)-(O490*20.8%)+(P490)+(Q490)-(Q490*0.95%)+(R490)-(R490*15.5%)</f>
        <v>297150</v>
      </c>
      <c r="T490" s="22">
        <f>SUM(N490:R513)</f>
        <v>5506000</v>
      </c>
      <c r="U490" s="21">
        <f>SUM(S490:S513)</f>
        <v>4895743</v>
      </c>
      <c r="V490" s="21">
        <f>SUM(U490)-(U490*97%)</f>
        <v>146872.29</v>
      </c>
      <c r="W490" s="21">
        <f>SUM(U490)-(U490*95%)</f>
        <v>244787.15</v>
      </c>
      <c r="X490" s="23">
        <f>SUM(U490)-(U490*93%)</f>
        <v>342702.01</v>
      </c>
      <c r="Y490" s="60">
        <v>46016.0</v>
      </c>
      <c r="Z490" s="24"/>
      <c r="AA490" s="25"/>
      <c r="AB490" s="18"/>
      <c r="AC490" s="20"/>
      <c r="AD490" s="20">
        <v>500000.0</v>
      </c>
      <c r="AE490" s="21">
        <f t="shared" ref="AE490:AE513" si="194">SUM(Z490)-(Z490*15%)+(AA490)-(AA490*20.8%)+(AB490)+(AC490)-(AC490*0.95%)+(AD490)-(AD490*15.5%)</f>
        <v>422500</v>
      </c>
      <c r="AF490" s="22">
        <f>SUM(Z490:AD513)</f>
        <v>1300000</v>
      </c>
      <c r="AG490" s="21">
        <f>SUM(AE490:AE513)</f>
        <v>1214900</v>
      </c>
      <c r="AH490" s="21">
        <f>SUM(AG490)-(AG490*97%)</f>
        <v>36447</v>
      </c>
      <c r="AI490" s="21">
        <f>SUM(AG490)-(AG490*95%)</f>
        <v>60745</v>
      </c>
      <c r="AJ490" s="23">
        <f>SUM(AG490)-(AG490*93%)</f>
        <v>85043</v>
      </c>
      <c r="AK490" s="15"/>
      <c r="AL490" s="24"/>
      <c r="AM490" s="25"/>
      <c r="AN490" s="18"/>
      <c r="AO490" s="20"/>
      <c r="AP490" s="20"/>
      <c r="AQ490" s="21">
        <f t="shared" ref="AQ490:AQ513" si="195">SUM(AL490)-(AL490*15%)+(AM490)-(AM490*20.8%)+(AN490)+(AO490)-(AO490*0.95%)+(AP490)-(AP490*15.5%)</f>
        <v>0</v>
      </c>
      <c r="AR490" s="22">
        <f>SUM(AL490:AP513)</f>
        <v>0</v>
      </c>
      <c r="AS490" s="21">
        <f>SUM(AQ490:AQ513)</f>
        <v>0</v>
      </c>
      <c r="AT490" s="21">
        <f>SUM(AS490)-(AS490*97%)</f>
        <v>0</v>
      </c>
      <c r="AU490" s="21">
        <f>SUM(AS490)-(AS490*95%)</f>
        <v>0</v>
      </c>
      <c r="AV490" s="23">
        <f>SUM(AS490)-(AS490*93%)</f>
        <v>0</v>
      </c>
      <c r="AW490" s="15">
        <v>31.0</v>
      </c>
      <c r="AX490" s="24"/>
      <c r="AY490" s="25"/>
      <c r="AZ490" s="18"/>
      <c r="BA490" s="20"/>
      <c r="BB490" s="20"/>
      <c r="BC490" s="21">
        <f t="shared" ref="BC490:BC513" si="196">SUM(AX490)-(AX490*15%)+(AY490)-(AY490*20.8%)+(AZ490)+(BA490)-(BA490*0.95%)+(BB490)-(BB490*15.5%)</f>
        <v>0</v>
      </c>
      <c r="BD490" s="22">
        <f>SUM(AX490:BB513)</f>
        <v>0</v>
      </c>
      <c r="BE490" s="21">
        <f>SUM(BC490:BC513)</f>
        <v>0</v>
      </c>
      <c r="BF490" s="21">
        <f>SUM(BE490)-(BE490*97%)</f>
        <v>0</v>
      </c>
      <c r="BG490" s="21">
        <f>SUM(BE490)-(BE490*95%)</f>
        <v>0</v>
      </c>
      <c r="BH490" s="23">
        <f>SUM(BE490)-(BE490*93%)</f>
        <v>0</v>
      </c>
      <c r="BI490" s="15"/>
      <c r="BJ490" s="24"/>
      <c r="BK490" s="25"/>
      <c r="BL490" s="18"/>
      <c r="BM490" s="20"/>
      <c r="BN490" s="20"/>
      <c r="BO490" s="21">
        <f t="shared" ref="BO490:BO513" si="197">SUM(BJ490)-(BJ490*15%)+(BK490)-(BK490*20.8%)+(BL490)+(BM490)-(BM490*0.95%)+(BN490)-(BN490*15.5%)</f>
        <v>0</v>
      </c>
      <c r="BP490" s="22">
        <f>SUM(BJ490:BN513)</f>
        <v>0</v>
      </c>
      <c r="BQ490" s="21">
        <f>SUM(BO490:BO513)</f>
        <v>0</v>
      </c>
      <c r="BR490" s="21">
        <f>SUM(BQ490)-(BQ490*97%)</f>
        <v>0</v>
      </c>
      <c r="BS490" s="21">
        <f>SUM(BQ490)-(BQ490*95%)</f>
        <v>0</v>
      </c>
      <c r="BT490" s="23">
        <f>SUM(BQ490)-(BQ490*93%)</f>
        <v>0</v>
      </c>
      <c r="BU490" s="110"/>
      <c r="BV490" s="107"/>
      <c r="BW490" s="107"/>
      <c r="BX490" s="107"/>
      <c r="BY490" s="107"/>
      <c r="BZ490" s="107"/>
      <c r="CA490" s="111"/>
      <c r="CB490" s="112"/>
      <c r="CC490" s="111"/>
      <c r="CD490" s="111"/>
      <c r="CE490" s="111"/>
      <c r="CF490" s="111"/>
      <c r="CG490" s="107"/>
      <c r="CH490" s="107"/>
      <c r="CI490" s="107"/>
      <c r="CJ490" s="107"/>
    </row>
    <row r="491">
      <c r="A491" s="60">
        <v>46001.0</v>
      </c>
      <c r="B491" s="27"/>
      <c r="C491" s="17"/>
      <c r="D491" s="28"/>
      <c r="E491" s="20">
        <v>155000.0</v>
      </c>
      <c r="F491" s="30"/>
      <c r="G491" s="21">
        <f t="shared" si="192"/>
        <v>153527.5</v>
      </c>
      <c r="H491" s="31" t="s">
        <v>20</v>
      </c>
      <c r="I491" s="13"/>
      <c r="J491" s="13" t="s">
        <v>21</v>
      </c>
      <c r="K491" s="13" t="s">
        <v>22</v>
      </c>
      <c r="L491" s="14" t="s">
        <v>23</v>
      </c>
      <c r="M491" s="60">
        <v>46005.0</v>
      </c>
      <c r="N491" s="37"/>
      <c r="O491" s="25"/>
      <c r="P491" s="33"/>
      <c r="Q491" s="30">
        <v>96000.0</v>
      </c>
      <c r="R491" s="30"/>
      <c r="S491" s="21">
        <f t="shared" si="193"/>
        <v>95088</v>
      </c>
      <c r="T491" s="31" t="s">
        <v>20</v>
      </c>
      <c r="U491" s="13"/>
      <c r="V491" s="13" t="s">
        <v>21</v>
      </c>
      <c r="W491" s="13" t="s">
        <v>22</v>
      </c>
      <c r="X491" s="14" t="s">
        <v>23</v>
      </c>
      <c r="Y491" s="60"/>
      <c r="Z491" s="32"/>
      <c r="AA491" s="25"/>
      <c r="AB491" s="33"/>
      <c r="AC491" s="30">
        <v>800000.0</v>
      </c>
      <c r="AD491" s="30"/>
      <c r="AE491" s="21">
        <f t="shared" si="194"/>
        <v>792400</v>
      </c>
      <c r="AF491" s="31" t="s">
        <v>20</v>
      </c>
      <c r="AG491" s="13"/>
      <c r="AH491" s="13" t="s">
        <v>21</v>
      </c>
      <c r="AI491" s="13" t="s">
        <v>22</v>
      </c>
      <c r="AJ491" s="14" t="s">
        <v>23</v>
      </c>
      <c r="AK491" s="15"/>
      <c r="AL491" s="32"/>
      <c r="AM491" s="25"/>
      <c r="AN491" s="33"/>
      <c r="AO491" s="30"/>
      <c r="AP491" s="30"/>
      <c r="AQ491" s="21">
        <f t="shared" si="195"/>
        <v>0</v>
      </c>
      <c r="AR491" s="31" t="s">
        <v>20</v>
      </c>
      <c r="AS491" s="13"/>
      <c r="AT491" s="13" t="s">
        <v>21</v>
      </c>
      <c r="AU491" s="13" t="s">
        <v>22</v>
      </c>
      <c r="AV491" s="14" t="s">
        <v>23</v>
      </c>
      <c r="AW491" s="60"/>
      <c r="AX491" s="32"/>
      <c r="AY491" s="25"/>
      <c r="AZ491" s="33"/>
      <c r="BA491" s="30"/>
      <c r="BB491" s="30"/>
      <c r="BC491" s="21">
        <f t="shared" si="196"/>
        <v>0</v>
      </c>
      <c r="BD491" s="31" t="s">
        <v>20</v>
      </c>
      <c r="BE491" s="13"/>
      <c r="BF491" s="13" t="s">
        <v>21</v>
      </c>
      <c r="BG491" s="13" t="s">
        <v>22</v>
      </c>
      <c r="BH491" s="14" t="s">
        <v>23</v>
      </c>
      <c r="BI491" s="60"/>
      <c r="BJ491" s="32"/>
      <c r="BK491" s="25"/>
      <c r="BL491" s="33"/>
      <c r="BM491" s="30"/>
      <c r="BN491" s="30"/>
      <c r="BO491" s="21">
        <f t="shared" si="197"/>
        <v>0</v>
      </c>
      <c r="BP491" s="31" t="s">
        <v>20</v>
      </c>
      <c r="BQ491" s="13"/>
      <c r="BR491" s="13" t="s">
        <v>21</v>
      </c>
      <c r="BS491" s="13" t="s">
        <v>22</v>
      </c>
      <c r="BT491" s="14" t="s">
        <v>23</v>
      </c>
      <c r="BU491" s="110"/>
      <c r="BV491" s="107"/>
      <c r="BW491" s="107"/>
      <c r="BX491" s="107"/>
      <c r="BY491" s="107"/>
      <c r="BZ491" s="107"/>
      <c r="CA491" s="111"/>
      <c r="CB491" s="113"/>
      <c r="CC491" s="107"/>
      <c r="CD491" s="107"/>
      <c r="CE491" s="107"/>
      <c r="CF491" s="107"/>
      <c r="CG491" s="107"/>
      <c r="CH491" s="107"/>
      <c r="CI491" s="107"/>
      <c r="CJ491" s="107"/>
    </row>
    <row r="492">
      <c r="A492" s="60">
        <v>46001.0</v>
      </c>
      <c r="B492" s="35"/>
      <c r="C492" s="17"/>
      <c r="D492" s="18"/>
      <c r="E492" s="20">
        <v>90000.0</v>
      </c>
      <c r="F492" s="20"/>
      <c r="G492" s="21">
        <f t="shared" si="192"/>
        <v>89145</v>
      </c>
      <c r="H492" s="36"/>
      <c r="I492" s="13"/>
      <c r="J492" s="21">
        <f t="shared" ref="J492:L492" si="198">SUM(J490)-(J490*10%)</f>
        <v>46667.4075</v>
      </c>
      <c r="K492" s="21">
        <f t="shared" si="198"/>
        <v>77779.0125</v>
      </c>
      <c r="L492" s="23">
        <f t="shared" si="198"/>
        <v>108890.6175</v>
      </c>
      <c r="M492" s="60">
        <v>46005.0</v>
      </c>
      <c r="N492" s="37"/>
      <c r="O492" s="25"/>
      <c r="P492" s="33"/>
      <c r="Q492" s="20"/>
      <c r="R492" s="20">
        <v>1500000.0</v>
      </c>
      <c r="S492" s="21">
        <f t="shared" si="193"/>
        <v>1267500</v>
      </c>
      <c r="T492" s="36"/>
      <c r="U492" s="13"/>
      <c r="V492" s="21">
        <f t="shared" ref="V492:X492" si="199">SUM(V490)-(V490*10%)</f>
        <v>132185.061</v>
      </c>
      <c r="W492" s="21">
        <f t="shared" si="199"/>
        <v>220308.435</v>
      </c>
      <c r="X492" s="23">
        <f t="shared" si="199"/>
        <v>308431.809</v>
      </c>
      <c r="Y492" s="15"/>
      <c r="Z492" s="32"/>
      <c r="AA492" s="25"/>
      <c r="AB492" s="33"/>
      <c r="AC492" s="20"/>
      <c r="AD492" s="20"/>
      <c r="AE492" s="21">
        <f t="shared" si="194"/>
        <v>0</v>
      </c>
      <c r="AF492" s="36"/>
      <c r="AG492" s="13"/>
      <c r="AH492" s="21">
        <f t="shared" ref="AH492:AJ492" si="200">SUM(AH490)-(AH490*10%)</f>
        <v>32802.3</v>
      </c>
      <c r="AI492" s="21">
        <f t="shared" si="200"/>
        <v>54670.5</v>
      </c>
      <c r="AJ492" s="23">
        <f t="shared" si="200"/>
        <v>76538.7</v>
      </c>
      <c r="AK492" s="15"/>
      <c r="AL492" s="37"/>
      <c r="AM492" s="25"/>
      <c r="AN492" s="33"/>
      <c r="AO492" s="20"/>
      <c r="AP492" s="20"/>
      <c r="AQ492" s="21">
        <f t="shared" si="195"/>
        <v>0</v>
      </c>
      <c r="AR492" s="36"/>
      <c r="AS492" s="13"/>
      <c r="AT492" s="21">
        <f t="shared" ref="AT492:AV492" si="201">SUM(AT490)-(AT490*10%)</f>
        <v>0</v>
      </c>
      <c r="AU492" s="21">
        <f t="shared" si="201"/>
        <v>0</v>
      </c>
      <c r="AV492" s="23">
        <f t="shared" si="201"/>
        <v>0</v>
      </c>
      <c r="AW492" s="60"/>
      <c r="AX492" s="32"/>
      <c r="AY492" s="25"/>
      <c r="AZ492" s="33"/>
      <c r="BA492" s="20"/>
      <c r="BB492" s="20"/>
      <c r="BC492" s="21">
        <f t="shared" si="196"/>
        <v>0</v>
      </c>
      <c r="BD492" s="36"/>
      <c r="BE492" s="13"/>
      <c r="BF492" s="21">
        <f t="shared" ref="BF492:BH492" si="202">SUM(BF490)-(BF490*10%)</f>
        <v>0</v>
      </c>
      <c r="BG492" s="21">
        <f t="shared" si="202"/>
        <v>0</v>
      </c>
      <c r="BH492" s="23">
        <f t="shared" si="202"/>
        <v>0</v>
      </c>
      <c r="BI492" s="60"/>
      <c r="BJ492" s="32"/>
      <c r="BK492" s="25"/>
      <c r="BL492" s="33"/>
      <c r="BM492" s="20"/>
      <c r="BN492" s="20"/>
      <c r="BO492" s="21">
        <f t="shared" si="197"/>
        <v>0</v>
      </c>
      <c r="BP492" s="36"/>
      <c r="BQ492" s="13"/>
      <c r="BR492" s="21">
        <f t="shared" ref="BR492:BT492" si="203">SUM(BR490)-(BR490*10%)</f>
        <v>0</v>
      </c>
      <c r="BS492" s="21">
        <f t="shared" si="203"/>
        <v>0</v>
      </c>
      <c r="BT492" s="23">
        <f t="shared" si="203"/>
        <v>0</v>
      </c>
      <c r="BU492" s="110"/>
      <c r="BV492" s="107"/>
      <c r="BW492" s="107"/>
      <c r="BX492" s="107"/>
      <c r="BY492" s="107"/>
      <c r="BZ492" s="107"/>
      <c r="CA492" s="111"/>
      <c r="CB492" s="107"/>
      <c r="CC492" s="107"/>
      <c r="CD492" s="111"/>
      <c r="CE492" s="111"/>
      <c r="CF492" s="111"/>
      <c r="CG492" s="107"/>
      <c r="CH492" s="107"/>
      <c r="CI492" s="107"/>
      <c r="CJ492" s="107"/>
    </row>
    <row r="493">
      <c r="A493" s="60">
        <v>46017.0</v>
      </c>
      <c r="B493" s="27"/>
      <c r="C493" s="17"/>
      <c r="D493" s="18"/>
      <c r="E493" s="20">
        <v>90000.0</v>
      </c>
      <c r="F493" s="20"/>
      <c r="G493" s="21">
        <f t="shared" si="192"/>
        <v>89145</v>
      </c>
      <c r="H493" s="13"/>
      <c r="I493" s="13"/>
      <c r="J493" s="13"/>
      <c r="K493" s="13"/>
      <c r="L493" s="14"/>
      <c r="M493" s="105">
        <v>46008.0</v>
      </c>
      <c r="N493" s="37"/>
      <c r="O493" s="93"/>
      <c r="P493" s="33"/>
      <c r="Q493" s="20">
        <v>50000.0</v>
      </c>
      <c r="R493" s="20"/>
      <c r="S493" s="21">
        <f t="shared" si="193"/>
        <v>49525</v>
      </c>
      <c r="T493" s="13"/>
      <c r="U493" s="13"/>
      <c r="V493" s="13"/>
      <c r="W493" s="13"/>
      <c r="X493" s="14"/>
      <c r="Y493" s="15"/>
      <c r="Z493" s="32"/>
      <c r="AA493" s="93"/>
      <c r="AB493" s="33"/>
      <c r="AC493" s="20"/>
      <c r="AD493" s="20"/>
      <c r="AE493" s="21">
        <f t="shared" si="194"/>
        <v>0</v>
      </c>
      <c r="AF493" s="13"/>
      <c r="AG493" s="13"/>
      <c r="AH493" s="13"/>
      <c r="AI493" s="13"/>
      <c r="AJ493" s="14"/>
      <c r="AK493" s="15"/>
      <c r="AL493" s="32"/>
      <c r="AM493" s="93"/>
      <c r="AN493" s="33"/>
      <c r="AO493" s="20"/>
      <c r="AP493" s="20"/>
      <c r="AQ493" s="21">
        <f t="shared" si="195"/>
        <v>0</v>
      </c>
      <c r="AR493" s="13"/>
      <c r="AS493" s="13"/>
      <c r="AT493" s="13"/>
      <c r="AU493" s="13"/>
      <c r="AV493" s="14"/>
      <c r="AW493" s="60"/>
      <c r="AX493" s="32"/>
      <c r="AY493" s="93"/>
      <c r="AZ493" s="33"/>
      <c r="BA493" s="20"/>
      <c r="BB493" s="20"/>
      <c r="BC493" s="21">
        <f t="shared" si="196"/>
        <v>0</v>
      </c>
      <c r="BD493" s="13"/>
      <c r="BE493" s="13"/>
      <c r="BF493" s="13"/>
      <c r="BG493" s="13"/>
      <c r="BH493" s="14"/>
      <c r="BI493" s="60"/>
      <c r="BJ493" s="32"/>
      <c r="BK493" s="93"/>
      <c r="BL493" s="33"/>
      <c r="BM493" s="20"/>
      <c r="BN493" s="20"/>
      <c r="BO493" s="21">
        <f t="shared" si="197"/>
        <v>0</v>
      </c>
      <c r="BP493" s="13"/>
      <c r="BQ493" s="13"/>
      <c r="BR493" s="13"/>
      <c r="BS493" s="13"/>
      <c r="BT493" s="14"/>
      <c r="BU493" s="110"/>
      <c r="BV493" s="107"/>
      <c r="BW493" s="107"/>
      <c r="BX493" s="107"/>
      <c r="BY493" s="107"/>
      <c r="BZ493" s="107"/>
      <c r="CA493" s="111"/>
      <c r="CB493" s="107"/>
      <c r="CC493" s="107"/>
      <c r="CD493" s="107"/>
      <c r="CE493" s="107"/>
      <c r="CF493" s="107"/>
      <c r="CG493" s="107"/>
      <c r="CH493" s="107"/>
      <c r="CI493" s="107"/>
      <c r="CJ493" s="107"/>
    </row>
    <row r="494">
      <c r="A494" s="60">
        <v>46017.0</v>
      </c>
      <c r="B494" s="35"/>
      <c r="C494" s="17"/>
      <c r="D494" s="18"/>
      <c r="E494" s="20">
        <v>320000.0</v>
      </c>
      <c r="F494" s="20"/>
      <c r="G494" s="21">
        <f t="shared" si="192"/>
        <v>316960</v>
      </c>
      <c r="H494" s="13"/>
      <c r="I494" s="13"/>
      <c r="J494" s="13"/>
      <c r="K494" s="13"/>
      <c r="L494" s="14"/>
      <c r="M494" s="105">
        <v>46009.0</v>
      </c>
      <c r="N494" s="20"/>
      <c r="O494" s="25"/>
      <c r="P494" s="33"/>
      <c r="Q494" s="20">
        <v>160000.0</v>
      </c>
      <c r="R494" s="20"/>
      <c r="S494" s="21">
        <f t="shared" si="193"/>
        <v>158480</v>
      </c>
      <c r="T494" s="13"/>
      <c r="U494" s="13"/>
      <c r="V494" s="13"/>
      <c r="W494" s="13"/>
      <c r="X494" s="14"/>
      <c r="Y494" s="60"/>
      <c r="Z494" s="32"/>
      <c r="AA494" s="25"/>
      <c r="AB494" s="33"/>
      <c r="AC494" s="20"/>
      <c r="AD494" s="20"/>
      <c r="AE494" s="21">
        <f t="shared" si="194"/>
        <v>0</v>
      </c>
      <c r="AF494" s="13"/>
      <c r="AG494" s="13"/>
      <c r="AH494" s="13"/>
      <c r="AI494" s="13"/>
      <c r="AJ494" s="14"/>
      <c r="AK494" s="15"/>
      <c r="AL494" s="32"/>
      <c r="AM494" s="25"/>
      <c r="AN494" s="33"/>
      <c r="AO494" s="20"/>
      <c r="AP494" s="20"/>
      <c r="AQ494" s="21">
        <f t="shared" si="195"/>
        <v>0</v>
      </c>
      <c r="AR494" s="13"/>
      <c r="AS494" s="13"/>
      <c r="AT494" s="13"/>
      <c r="AU494" s="13"/>
      <c r="AV494" s="14"/>
      <c r="AW494" s="60"/>
      <c r="AX494" s="32"/>
      <c r="AY494" s="25"/>
      <c r="AZ494" s="33"/>
      <c r="BA494" s="20"/>
      <c r="BB494" s="20"/>
      <c r="BC494" s="21">
        <f t="shared" si="196"/>
        <v>0</v>
      </c>
      <c r="BD494" s="13"/>
      <c r="BE494" s="13"/>
      <c r="BF494" s="13"/>
      <c r="BG494" s="13"/>
      <c r="BH494" s="14"/>
      <c r="BI494" s="60"/>
      <c r="BJ494" s="32"/>
      <c r="BK494" s="25"/>
      <c r="BL494" s="33"/>
      <c r="BM494" s="20"/>
      <c r="BN494" s="20"/>
      <c r="BO494" s="21">
        <f t="shared" si="197"/>
        <v>0</v>
      </c>
      <c r="BP494" s="13"/>
      <c r="BQ494" s="13"/>
      <c r="BR494" s="13"/>
      <c r="BS494" s="13"/>
      <c r="BT494" s="14"/>
      <c r="BU494" s="110"/>
      <c r="BV494" s="107"/>
      <c r="BW494" s="107"/>
      <c r="BX494" s="107"/>
      <c r="BY494" s="107"/>
      <c r="BZ494" s="107"/>
      <c r="CA494" s="111"/>
      <c r="CB494" s="107"/>
      <c r="CC494" s="107"/>
      <c r="CD494" s="107"/>
      <c r="CE494" s="107"/>
      <c r="CF494" s="107"/>
      <c r="CG494" s="107"/>
      <c r="CH494" s="107"/>
      <c r="CI494" s="107"/>
      <c r="CJ494" s="107"/>
    </row>
    <row r="495">
      <c r="A495" s="60">
        <v>46020.0</v>
      </c>
      <c r="B495" s="39"/>
      <c r="C495" s="43"/>
      <c r="D495" s="18"/>
      <c r="E495" s="20">
        <v>1000000.0</v>
      </c>
      <c r="F495" s="20"/>
      <c r="G495" s="21">
        <f t="shared" si="192"/>
        <v>990500</v>
      </c>
      <c r="H495" s="13"/>
      <c r="I495" s="13"/>
      <c r="J495" s="13"/>
      <c r="K495" s="13">
        <f>H497-AD490-AC491</f>
        <v>6539065.5</v>
      </c>
      <c r="L495" s="14"/>
      <c r="M495" s="105">
        <v>46012.0</v>
      </c>
      <c r="N495" s="32"/>
      <c r="O495" s="93"/>
      <c r="P495" s="33">
        <v>1000000.0</v>
      </c>
      <c r="Q495" s="20"/>
      <c r="R495" s="20"/>
      <c r="S495" s="21">
        <f t="shared" si="193"/>
        <v>1000000</v>
      </c>
      <c r="T495" s="13"/>
      <c r="U495" s="13"/>
      <c r="V495" s="13"/>
      <c r="W495" s="13"/>
      <c r="X495" s="14"/>
      <c r="Y495" s="60"/>
      <c r="Z495" s="32"/>
      <c r="AA495" s="25"/>
      <c r="AB495" s="33"/>
      <c r="AC495" s="20"/>
      <c r="AD495" s="20"/>
      <c r="AE495" s="21">
        <f t="shared" si="194"/>
        <v>0</v>
      </c>
      <c r="AF495" s="13"/>
      <c r="AG495" s="13"/>
      <c r="AH495" s="13"/>
      <c r="AI495" s="13"/>
      <c r="AJ495" s="14"/>
      <c r="AK495" s="15"/>
      <c r="AL495" s="32"/>
      <c r="AM495" s="25"/>
      <c r="AN495" s="33"/>
      <c r="AO495" s="20"/>
      <c r="AP495" s="20"/>
      <c r="AQ495" s="21">
        <f t="shared" si="195"/>
        <v>0</v>
      </c>
      <c r="AR495" s="13"/>
      <c r="AS495" s="13"/>
      <c r="AT495" s="13"/>
      <c r="AU495" s="13"/>
      <c r="AV495" s="14"/>
      <c r="AW495" s="60"/>
      <c r="AX495" s="32"/>
      <c r="AY495" s="25"/>
      <c r="AZ495" s="33"/>
      <c r="BA495" s="20"/>
      <c r="BB495" s="20"/>
      <c r="BC495" s="21">
        <f t="shared" si="196"/>
        <v>0</v>
      </c>
      <c r="BD495" s="13"/>
      <c r="BE495" s="13"/>
      <c r="BF495" s="13"/>
      <c r="BG495" s="13"/>
      <c r="BH495" s="14"/>
      <c r="BI495" s="60"/>
      <c r="BJ495" s="32"/>
      <c r="BK495" s="25"/>
      <c r="BL495" s="33"/>
      <c r="BM495" s="20"/>
      <c r="BN495" s="20"/>
      <c r="BO495" s="21">
        <f t="shared" si="197"/>
        <v>0</v>
      </c>
      <c r="BP495" s="13"/>
      <c r="BQ495" s="13"/>
      <c r="BR495" s="13"/>
      <c r="BS495" s="13"/>
      <c r="BT495" s="14"/>
      <c r="BU495" s="110"/>
      <c r="BV495" s="107"/>
      <c r="BW495" s="107"/>
      <c r="BX495" s="107"/>
      <c r="BY495" s="107"/>
      <c r="BZ495" s="107"/>
      <c r="CA495" s="111"/>
      <c r="CB495" s="107"/>
      <c r="CC495" s="107"/>
      <c r="CD495" s="107"/>
      <c r="CE495" s="107"/>
      <c r="CF495" s="107"/>
      <c r="CG495" s="107"/>
      <c r="CH495" s="107"/>
      <c r="CI495" s="107"/>
      <c r="CJ495" s="107"/>
    </row>
    <row r="496">
      <c r="A496" s="60"/>
      <c r="B496" s="35"/>
      <c r="C496" s="17"/>
      <c r="D496" s="18"/>
      <c r="E496" s="20"/>
      <c r="F496" s="20"/>
      <c r="G496" s="21">
        <f t="shared" si="192"/>
        <v>0</v>
      </c>
      <c r="H496" s="94" t="s">
        <v>13</v>
      </c>
      <c r="I496" s="86" t="s">
        <v>57</v>
      </c>
      <c r="J496" s="86" t="s">
        <v>57</v>
      </c>
      <c r="K496" s="86" t="s">
        <v>65</v>
      </c>
      <c r="L496" s="95"/>
      <c r="M496" s="105">
        <v>46017.0</v>
      </c>
      <c r="N496" s="37"/>
      <c r="O496" s="25"/>
      <c r="P496" s="33"/>
      <c r="Q496" s="20"/>
      <c r="R496" s="20">
        <v>800000.0</v>
      </c>
      <c r="S496" s="21">
        <f t="shared" si="193"/>
        <v>676000</v>
      </c>
      <c r="T496" s="13"/>
      <c r="U496" s="13"/>
      <c r="V496" s="13"/>
      <c r="W496" s="13"/>
      <c r="X496" s="14"/>
      <c r="Y496" s="38"/>
      <c r="Z496" s="32"/>
      <c r="AA496" s="25"/>
      <c r="AB496" s="33"/>
      <c r="AC496" s="20"/>
      <c r="AD496" s="20"/>
      <c r="AE496" s="21">
        <f t="shared" si="194"/>
        <v>0</v>
      </c>
      <c r="AF496" s="13"/>
      <c r="AG496" s="13"/>
      <c r="AH496" s="13"/>
      <c r="AI496" s="13"/>
      <c r="AJ496" s="14"/>
      <c r="AK496" s="15"/>
      <c r="AL496" s="32"/>
      <c r="AM496" s="25"/>
      <c r="AN496" s="33"/>
      <c r="AO496" s="20"/>
      <c r="AP496" s="20"/>
      <c r="AQ496" s="21">
        <f t="shared" si="195"/>
        <v>0</v>
      </c>
      <c r="AR496" s="13"/>
      <c r="AS496" s="13"/>
      <c r="AT496" s="13"/>
      <c r="AU496" s="13"/>
      <c r="AV496" s="14"/>
      <c r="AW496" s="38"/>
      <c r="AX496" s="32"/>
      <c r="AY496" s="25"/>
      <c r="AZ496" s="33"/>
      <c r="BA496" s="20"/>
      <c r="BB496" s="20"/>
      <c r="BC496" s="21">
        <f t="shared" si="196"/>
        <v>0</v>
      </c>
      <c r="BD496" s="13"/>
      <c r="BE496" s="13"/>
      <c r="BF496" s="13"/>
      <c r="BG496" s="13"/>
      <c r="BH496" s="14"/>
      <c r="BI496" s="38"/>
      <c r="BJ496" s="32"/>
      <c r="BK496" s="25"/>
      <c r="BL496" s="33"/>
      <c r="BM496" s="20"/>
      <c r="BN496" s="20"/>
      <c r="BO496" s="21">
        <f t="shared" si="197"/>
        <v>0</v>
      </c>
      <c r="BP496" s="13"/>
      <c r="BQ496" s="13"/>
      <c r="BR496" s="13"/>
      <c r="BS496" s="13"/>
      <c r="BT496" s="14"/>
      <c r="BU496" s="110"/>
      <c r="BV496" s="107"/>
      <c r="BW496" s="107"/>
      <c r="BX496" s="107"/>
      <c r="BY496" s="107"/>
      <c r="BZ496" s="107"/>
      <c r="CA496" s="111"/>
      <c r="CB496" s="107"/>
      <c r="CC496" s="107"/>
      <c r="CD496" s="107"/>
      <c r="CE496" s="107"/>
      <c r="CF496" s="107"/>
      <c r="CG496" s="107"/>
      <c r="CH496" s="107"/>
      <c r="CI496" s="107"/>
      <c r="CJ496" s="107"/>
    </row>
    <row r="497">
      <c r="A497" s="15"/>
      <c r="B497" s="16"/>
      <c r="C497" s="17"/>
      <c r="D497" s="28"/>
      <c r="E497" s="30"/>
      <c r="F497" s="30"/>
      <c r="G497" s="21">
        <f t="shared" si="192"/>
        <v>0</v>
      </c>
      <c r="H497" s="95">
        <f>AG490+I490+U490+AS490+BE490+BQ490+CC490</f>
        <v>7839065.5</v>
      </c>
      <c r="I497" s="102" t="s">
        <v>52</v>
      </c>
      <c r="J497" s="102" t="s">
        <v>44</v>
      </c>
      <c r="K497" s="102" t="s">
        <v>52</v>
      </c>
      <c r="L497" s="102" t="s">
        <v>44</v>
      </c>
      <c r="M497" s="105">
        <v>46017.0</v>
      </c>
      <c r="N497" s="37"/>
      <c r="O497" s="25"/>
      <c r="P497" s="41"/>
      <c r="Q497" s="20"/>
      <c r="R497" s="20">
        <v>1600000.0</v>
      </c>
      <c r="S497" s="21">
        <f t="shared" si="193"/>
        <v>1352000</v>
      </c>
      <c r="T497" s="67"/>
      <c r="U497" s="67"/>
      <c r="V497" s="67"/>
      <c r="W497" s="13"/>
      <c r="X497" s="14"/>
      <c r="Y497" s="38"/>
      <c r="Z497" s="37"/>
      <c r="AA497" s="25"/>
      <c r="AB497" s="41"/>
      <c r="AC497" s="20"/>
      <c r="AD497" s="20"/>
      <c r="AE497" s="21">
        <f t="shared" si="194"/>
        <v>0</v>
      </c>
      <c r="AF497" s="13"/>
      <c r="AG497" s="13"/>
      <c r="AH497" s="13"/>
      <c r="AI497" s="13"/>
      <c r="AJ497" s="14"/>
      <c r="AK497" s="15"/>
      <c r="AL497" s="37"/>
      <c r="AM497" s="25"/>
      <c r="AN497" s="41"/>
      <c r="AO497" s="20"/>
      <c r="AP497" s="20"/>
      <c r="AQ497" s="21">
        <f t="shared" si="195"/>
        <v>0</v>
      </c>
      <c r="AR497" s="13"/>
      <c r="AS497" s="13"/>
      <c r="AT497" s="13"/>
      <c r="AU497" s="13"/>
      <c r="AV497" s="14"/>
      <c r="AW497" s="38"/>
      <c r="AX497" s="37"/>
      <c r="AY497" s="25"/>
      <c r="AZ497" s="41"/>
      <c r="BA497" s="20"/>
      <c r="BB497" s="20"/>
      <c r="BC497" s="21">
        <f t="shared" si="196"/>
        <v>0</v>
      </c>
      <c r="BD497" s="13"/>
      <c r="BE497" s="13"/>
      <c r="BF497" s="13"/>
      <c r="BG497" s="13"/>
      <c r="BH497" s="14"/>
      <c r="BI497" s="38"/>
      <c r="BJ497" s="37"/>
      <c r="BK497" s="25"/>
      <c r="BL497" s="41"/>
      <c r="BM497" s="20"/>
      <c r="BN497" s="20"/>
      <c r="BO497" s="21">
        <f t="shared" si="197"/>
        <v>0</v>
      </c>
      <c r="BP497" s="13"/>
      <c r="BQ497" s="13"/>
      <c r="BR497" s="13"/>
      <c r="BS497" s="13"/>
      <c r="BT497" s="14"/>
      <c r="BU497" s="107"/>
      <c r="BV497" s="107"/>
      <c r="BW497" s="107"/>
      <c r="BX497" s="107"/>
      <c r="BY497" s="107"/>
      <c r="BZ497" s="107"/>
      <c r="CA497" s="111"/>
      <c r="CB497" s="107"/>
      <c r="CC497" s="107"/>
      <c r="CD497" s="107"/>
      <c r="CE497" s="107"/>
      <c r="CF497" s="107"/>
      <c r="CG497" s="107"/>
      <c r="CH497" s="107"/>
      <c r="CI497" s="107"/>
      <c r="CJ497" s="107"/>
    </row>
    <row r="498">
      <c r="A498" s="60"/>
      <c r="B498" s="35"/>
      <c r="C498" s="17"/>
      <c r="D498" s="18"/>
      <c r="E498" s="20"/>
      <c r="F498" s="20"/>
      <c r="G498" s="21">
        <f t="shared" si="192"/>
        <v>0</v>
      </c>
      <c r="H498" s="95"/>
      <c r="I498" s="115">
        <f>SUM(H497)-(H497*99%)</f>
        <v>78390.655</v>
      </c>
      <c r="J498" s="87">
        <f>SUM(H497)-(H497*98.5%)</f>
        <v>117585.9825</v>
      </c>
      <c r="K498" s="87">
        <f>SUM(K495)-(K495*99%)</f>
        <v>65390.655</v>
      </c>
      <c r="L498" s="87">
        <f>SUM(K495)-(K495*98.5%)</f>
        <v>98085.9825</v>
      </c>
      <c r="M498" s="15"/>
      <c r="N498" s="24"/>
      <c r="O498" s="25"/>
      <c r="P498" s="41"/>
      <c r="Q498" s="30"/>
      <c r="R498" s="20"/>
      <c r="S498" s="21">
        <f t="shared" si="193"/>
        <v>0</v>
      </c>
      <c r="T498" s="13"/>
      <c r="U498" s="13"/>
      <c r="V498" s="13"/>
      <c r="W498" s="13"/>
      <c r="X498" s="14"/>
      <c r="Y498" s="38"/>
      <c r="Z498" s="24"/>
      <c r="AA498" s="25"/>
      <c r="AB498" s="41"/>
      <c r="AC498" s="30"/>
      <c r="AD498" s="30"/>
      <c r="AE498" s="21">
        <f t="shared" si="194"/>
        <v>0</v>
      </c>
      <c r="AF498" s="13"/>
      <c r="AG498" s="13"/>
      <c r="AH498" s="13"/>
      <c r="AI498" s="13"/>
      <c r="AJ498" s="14"/>
      <c r="AK498" s="38"/>
      <c r="AL498" s="24"/>
      <c r="AM498" s="25"/>
      <c r="AN498" s="41"/>
      <c r="AO498" s="30"/>
      <c r="AP498" s="30"/>
      <c r="AQ498" s="21">
        <f t="shared" si="195"/>
        <v>0</v>
      </c>
      <c r="AR498" s="13"/>
      <c r="AS498" s="13"/>
      <c r="AT498" s="13"/>
      <c r="AU498" s="13"/>
      <c r="AV498" s="14"/>
      <c r="AW498" s="38"/>
      <c r="AX498" s="24"/>
      <c r="AY498" s="25"/>
      <c r="AZ498" s="41"/>
      <c r="BA498" s="30"/>
      <c r="BB498" s="30"/>
      <c r="BC498" s="21">
        <f t="shared" si="196"/>
        <v>0</v>
      </c>
      <c r="BD498" s="67"/>
      <c r="BE498" s="67"/>
      <c r="BF498" s="13"/>
      <c r="BG498" s="13"/>
      <c r="BH498" s="14"/>
      <c r="BI498" s="38"/>
      <c r="BJ498" s="24"/>
      <c r="BK498" s="25"/>
      <c r="BL498" s="41"/>
      <c r="BM498" s="30"/>
      <c r="BN498" s="30"/>
      <c r="BO498" s="21">
        <f t="shared" si="197"/>
        <v>0</v>
      </c>
      <c r="BP498" s="13"/>
      <c r="BQ498" s="13"/>
      <c r="BR498" s="13"/>
      <c r="BS498" s="13"/>
      <c r="BT498" s="14"/>
      <c r="BU498" s="107"/>
      <c r="BV498" s="107"/>
      <c r="BW498" s="107"/>
      <c r="BX498" s="107"/>
      <c r="BY498" s="107"/>
      <c r="BZ498" s="107"/>
      <c r="CA498" s="111"/>
      <c r="CB498" s="107"/>
      <c r="CC498" s="107"/>
      <c r="CD498" s="107"/>
      <c r="CE498" s="107"/>
      <c r="CF498" s="107"/>
      <c r="CG498" s="107"/>
      <c r="CH498" s="107"/>
      <c r="CI498" s="107"/>
      <c r="CJ498" s="107"/>
    </row>
    <row r="499">
      <c r="A499" s="60"/>
      <c r="B499" s="24"/>
      <c r="C499" s="25"/>
      <c r="D499" s="41"/>
      <c r="E499" s="46"/>
      <c r="F499" s="46"/>
      <c r="G499" s="21">
        <f t="shared" si="192"/>
        <v>0</v>
      </c>
      <c r="H499" s="95"/>
      <c r="I499" s="86" t="s">
        <v>53</v>
      </c>
      <c r="J499" s="86" t="s">
        <v>36</v>
      </c>
      <c r="K499" s="86" t="s">
        <v>53</v>
      </c>
      <c r="L499" s="86" t="s">
        <v>36</v>
      </c>
      <c r="M499" s="15"/>
      <c r="N499" s="37"/>
      <c r="O499" s="25"/>
      <c r="P499" s="33"/>
      <c r="Q499" s="20"/>
      <c r="R499" s="20"/>
      <c r="S499" s="21">
        <f t="shared" si="193"/>
        <v>0</v>
      </c>
      <c r="T499" s="13"/>
      <c r="U499" s="13"/>
      <c r="V499" s="13"/>
      <c r="W499" s="13"/>
      <c r="X499" s="14"/>
      <c r="Y499" s="38"/>
      <c r="Z499" s="37"/>
      <c r="AA499" s="25"/>
      <c r="AB499" s="41"/>
      <c r="AC499" s="20"/>
      <c r="AD499" s="20"/>
      <c r="AE499" s="21">
        <f t="shared" si="194"/>
        <v>0</v>
      </c>
      <c r="AF499" s="13"/>
      <c r="AG499" s="13"/>
      <c r="AH499" s="13"/>
      <c r="AI499" s="13"/>
      <c r="AJ499" s="14"/>
      <c r="AK499" s="38"/>
      <c r="AL499" s="37"/>
      <c r="AM499" s="25"/>
      <c r="AN499" s="41"/>
      <c r="AO499" s="20"/>
      <c r="AP499" s="20"/>
      <c r="AQ499" s="21">
        <f t="shared" si="195"/>
        <v>0</v>
      </c>
      <c r="AR499" s="13"/>
      <c r="AS499" s="13"/>
      <c r="AT499" s="13"/>
      <c r="AU499" s="13"/>
      <c r="AV499" s="14"/>
      <c r="AW499" s="38"/>
      <c r="AX499" s="37"/>
      <c r="AY499" s="25"/>
      <c r="AZ499" s="41"/>
      <c r="BA499" s="20"/>
      <c r="BB499" s="20"/>
      <c r="BC499" s="21">
        <f t="shared" si="196"/>
        <v>0</v>
      </c>
      <c r="BD499" s="13"/>
      <c r="BE499" s="13"/>
      <c r="BF499" s="13"/>
      <c r="BG499" s="13"/>
      <c r="BH499" s="14"/>
      <c r="BI499" s="38"/>
      <c r="BJ499" s="37"/>
      <c r="BK499" s="25"/>
      <c r="BL499" s="41"/>
      <c r="BM499" s="20"/>
      <c r="BN499" s="20"/>
      <c r="BO499" s="21">
        <f t="shared" si="197"/>
        <v>0</v>
      </c>
      <c r="BP499" s="13"/>
      <c r="BQ499" s="13"/>
      <c r="BR499" s="13"/>
      <c r="BS499" s="13"/>
      <c r="BT499" s="14"/>
      <c r="BU499" s="107"/>
      <c r="BV499" s="107"/>
      <c r="BW499" s="107"/>
      <c r="BX499" s="107"/>
      <c r="BY499" s="107"/>
      <c r="BZ499" s="107"/>
      <c r="CA499" s="111"/>
      <c r="CB499" s="107"/>
      <c r="CC499" s="107"/>
      <c r="CD499" s="107"/>
      <c r="CE499" s="107"/>
      <c r="CF499" s="107"/>
      <c r="CG499" s="107"/>
      <c r="CH499" s="107"/>
      <c r="CI499" s="107"/>
      <c r="CJ499" s="107"/>
    </row>
    <row r="500">
      <c r="A500" s="60"/>
      <c r="B500" s="47"/>
      <c r="C500" s="25"/>
      <c r="D500" s="33"/>
      <c r="E500" s="46"/>
      <c r="F500" s="46"/>
      <c r="G500" s="21">
        <f t="shared" si="192"/>
        <v>0</v>
      </c>
      <c r="H500" s="94" t="s">
        <v>12</v>
      </c>
      <c r="I500" s="87">
        <f t="shared" ref="I500:L500" si="204">SUM(I498)-(I498*10%)</f>
        <v>70551.5895</v>
      </c>
      <c r="J500" s="87">
        <f t="shared" si="204"/>
        <v>105827.3843</v>
      </c>
      <c r="K500" s="87">
        <f t="shared" si="204"/>
        <v>58851.5895</v>
      </c>
      <c r="L500" s="87">
        <f t="shared" si="204"/>
        <v>88277.38425</v>
      </c>
      <c r="M500" s="15"/>
      <c r="N500" s="24"/>
      <c r="O500" s="25"/>
      <c r="P500" s="41"/>
      <c r="Q500" s="46"/>
      <c r="R500" s="46"/>
      <c r="S500" s="21">
        <f t="shared" si="193"/>
        <v>0</v>
      </c>
      <c r="T500" s="13"/>
      <c r="U500" s="13"/>
      <c r="V500" s="13"/>
      <c r="W500" s="13"/>
      <c r="X500" s="14"/>
      <c r="Y500" s="38"/>
      <c r="Z500" s="24"/>
      <c r="AA500" s="25"/>
      <c r="AB500" s="41"/>
      <c r="AC500" s="46"/>
      <c r="AD500" s="46"/>
      <c r="AE500" s="21">
        <f t="shared" si="194"/>
        <v>0</v>
      </c>
      <c r="AF500" s="13"/>
      <c r="AG500" s="13"/>
      <c r="AH500" s="13"/>
      <c r="AI500" s="13"/>
      <c r="AJ500" s="14"/>
      <c r="AK500" s="38"/>
      <c r="AL500" s="24"/>
      <c r="AM500" s="25"/>
      <c r="AN500" s="41"/>
      <c r="AO500" s="46"/>
      <c r="AP500" s="46"/>
      <c r="AQ500" s="21">
        <f t="shared" si="195"/>
        <v>0</v>
      </c>
      <c r="AR500" s="13"/>
      <c r="AS500" s="13"/>
      <c r="AT500" s="13"/>
      <c r="AU500" s="13"/>
      <c r="AV500" s="14"/>
      <c r="AW500" s="38"/>
      <c r="AX500" s="24"/>
      <c r="AY500" s="25"/>
      <c r="AZ500" s="41"/>
      <c r="BA500" s="46"/>
      <c r="BB500" s="46"/>
      <c r="BC500" s="21">
        <f t="shared" si="196"/>
        <v>0</v>
      </c>
      <c r="BD500" s="13"/>
      <c r="BE500" s="13"/>
      <c r="BF500" s="13"/>
      <c r="BG500" s="13"/>
      <c r="BH500" s="14"/>
      <c r="BI500" s="38"/>
      <c r="BJ500" s="24"/>
      <c r="BK500" s="25"/>
      <c r="BL500" s="41"/>
      <c r="BM500" s="46"/>
      <c r="BN500" s="46"/>
      <c r="BO500" s="21">
        <f t="shared" si="197"/>
        <v>0</v>
      </c>
      <c r="BP500" s="13"/>
      <c r="BQ500" s="13"/>
      <c r="BR500" s="13"/>
      <c r="BS500" s="13"/>
      <c r="BT500" s="14"/>
      <c r="BU500" s="107"/>
      <c r="BV500" s="107"/>
      <c r="BW500" s="107"/>
      <c r="BX500" s="107"/>
      <c r="BY500" s="107"/>
      <c r="BZ500" s="107"/>
      <c r="CA500" s="111"/>
      <c r="CB500" s="107"/>
      <c r="CC500" s="107"/>
      <c r="CD500" s="107"/>
      <c r="CE500" s="107"/>
      <c r="CF500" s="107"/>
      <c r="CG500" s="107"/>
      <c r="CH500" s="107"/>
      <c r="CI500" s="107"/>
      <c r="CJ500" s="107"/>
    </row>
    <row r="501">
      <c r="A501" s="105"/>
      <c r="B501" s="47"/>
      <c r="C501" s="25"/>
      <c r="D501" s="33"/>
      <c r="E501" s="46"/>
      <c r="F501" s="46"/>
      <c r="G501" s="21">
        <f t="shared" si="192"/>
        <v>0</v>
      </c>
      <c r="H501" s="95">
        <f>H490+T490+AF490+AR490+BD490+BP490+CB490</f>
        <v>8551000</v>
      </c>
      <c r="I501" s="95"/>
      <c r="J501" s="95"/>
      <c r="K501" s="86" t="s">
        <v>66</v>
      </c>
      <c r="L501" s="95"/>
      <c r="M501" s="38"/>
      <c r="N501" s="47"/>
      <c r="O501" s="25"/>
      <c r="P501" s="41"/>
      <c r="Q501" s="46"/>
      <c r="R501" s="46"/>
      <c r="S501" s="21">
        <f t="shared" si="193"/>
        <v>0</v>
      </c>
      <c r="T501" s="13"/>
      <c r="U501" s="13"/>
      <c r="V501" s="13"/>
      <c r="W501" s="13"/>
      <c r="X501" s="14"/>
      <c r="Y501" s="38"/>
      <c r="Z501" s="47"/>
      <c r="AA501" s="25"/>
      <c r="AB501" s="41"/>
      <c r="AC501" s="46"/>
      <c r="AD501" s="46"/>
      <c r="AE501" s="21">
        <f t="shared" si="194"/>
        <v>0</v>
      </c>
      <c r="AF501" s="13"/>
      <c r="AG501" s="13"/>
      <c r="AH501" s="13"/>
      <c r="AI501" s="13"/>
      <c r="AJ501" s="14"/>
      <c r="AK501" s="38"/>
      <c r="AL501" s="47"/>
      <c r="AM501" s="25"/>
      <c r="AN501" s="41"/>
      <c r="AO501" s="46"/>
      <c r="AP501" s="46"/>
      <c r="AQ501" s="21">
        <f t="shared" si="195"/>
        <v>0</v>
      </c>
      <c r="AR501" s="13"/>
      <c r="AS501" s="13"/>
      <c r="AT501" s="13"/>
      <c r="AU501" s="13"/>
      <c r="AV501" s="14"/>
      <c r="AW501" s="38"/>
      <c r="AX501" s="47"/>
      <c r="AY501" s="25"/>
      <c r="AZ501" s="41"/>
      <c r="BA501" s="46"/>
      <c r="BB501" s="46"/>
      <c r="BC501" s="21">
        <f t="shared" si="196"/>
        <v>0</v>
      </c>
      <c r="BD501" s="13"/>
      <c r="BE501" s="13"/>
      <c r="BF501" s="13"/>
      <c r="BG501" s="13"/>
      <c r="BH501" s="14"/>
      <c r="BI501" s="38"/>
      <c r="BJ501" s="47"/>
      <c r="BK501" s="25"/>
      <c r="BL501" s="41"/>
      <c r="BM501" s="46"/>
      <c r="BN501" s="46"/>
      <c r="BO501" s="21">
        <f t="shared" si="197"/>
        <v>0</v>
      </c>
      <c r="BP501" s="13"/>
      <c r="BQ501" s="13"/>
      <c r="BR501" s="13"/>
      <c r="BS501" s="13"/>
      <c r="BT501" s="14"/>
      <c r="BU501" s="107"/>
      <c r="BV501" s="107"/>
      <c r="BW501" s="107"/>
      <c r="BX501" s="107"/>
      <c r="BY501" s="107"/>
      <c r="BZ501" s="107"/>
      <c r="CA501" s="111"/>
      <c r="CB501" s="107"/>
      <c r="CC501" s="107"/>
      <c r="CD501" s="107"/>
      <c r="CE501" s="107"/>
      <c r="CF501" s="107"/>
      <c r="CG501" s="107"/>
      <c r="CH501" s="107"/>
      <c r="CI501" s="107"/>
      <c r="CJ501" s="107"/>
    </row>
    <row r="502">
      <c r="A502" s="105"/>
      <c r="B502" s="32"/>
      <c r="C502" s="25"/>
      <c r="D502" s="41"/>
      <c r="E502" s="46"/>
      <c r="F502" s="46"/>
      <c r="G502" s="21">
        <f t="shared" si="192"/>
        <v>0</v>
      </c>
      <c r="H502" s="95"/>
      <c r="I502" s="95"/>
      <c r="J502" s="95"/>
      <c r="K502" s="86">
        <f>J492+K500</f>
        <v>105518.997</v>
      </c>
      <c r="L502" s="95"/>
      <c r="M502" s="38"/>
      <c r="N502" s="32"/>
      <c r="O502" s="25"/>
      <c r="P502" s="41"/>
      <c r="Q502" s="46"/>
      <c r="R502" s="46"/>
      <c r="S502" s="21">
        <f t="shared" si="193"/>
        <v>0</v>
      </c>
      <c r="T502" s="13"/>
      <c r="U502" s="13"/>
      <c r="V502" s="13"/>
      <c r="W502" s="13"/>
      <c r="X502" s="14"/>
      <c r="Y502" s="38"/>
      <c r="Z502" s="32"/>
      <c r="AA502" s="25"/>
      <c r="AB502" s="41"/>
      <c r="AC502" s="46"/>
      <c r="AD502" s="46"/>
      <c r="AE502" s="21">
        <f t="shared" si="194"/>
        <v>0</v>
      </c>
      <c r="AF502" s="13"/>
      <c r="AG502" s="13"/>
      <c r="AH502" s="13"/>
      <c r="AI502" s="13"/>
      <c r="AJ502" s="14"/>
      <c r="AK502" s="38"/>
      <c r="AL502" s="32"/>
      <c r="AM502" s="25"/>
      <c r="AN502" s="41"/>
      <c r="AO502" s="46"/>
      <c r="AP502" s="46"/>
      <c r="AQ502" s="21">
        <f t="shared" si="195"/>
        <v>0</v>
      </c>
      <c r="AR502" s="13"/>
      <c r="AS502" s="13"/>
      <c r="AT502" s="13"/>
      <c r="AU502" s="13"/>
      <c r="AV502" s="14"/>
      <c r="AW502" s="38"/>
      <c r="AX502" s="32"/>
      <c r="AY502" s="25"/>
      <c r="AZ502" s="41"/>
      <c r="BA502" s="46"/>
      <c r="BB502" s="46"/>
      <c r="BC502" s="21">
        <f t="shared" si="196"/>
        <v>0</v>
      </c>
      <c r="BD502" s="13"/>
      <c r="BE502" s="13"/>
      <c r="BF502" s="13"/>
      <c r="BG502" s="13"/>
      <c r="BH502" s="14"/>
      <c r="BI502" s="38"/>
      <c r="BJ502" s="32"/>
      <c r="BK502" s="25"/>
      <c r="BL502" s="41"/>
      <c r="BM502" s="46"/>
      <c r="BN502" s="46"/>
      <c r="BO502" s="21">
        <f t="shared" si="197"/>
        <v>0</v>
      </c>
      <c r="BP502" s="13"/>
      <c r="BQ502" s="13"/>
      <c r="BR502" s="13"/>
      <c r="BS502" s="13"/>
      <c r="BT502" s="14"/>
      <c r="BU502" s="107"/>
      <c r="BV502" s="107"/>
      <c r="BW502" s="107"/>
      <c r="BX502" s="107"/>
      <c r="BY502" s="107"/>
      <c r="BZ502" s="107"/>
      <c r="CA502" s="111"/>
      <c r="CB502" s="107"/>
      <c r="CC502" s="107"/>
      <c r="CD502" s="107"/>
      <c r="CE502" s="107"/>
      <c r="CF502" s="107"/>
      <c r="CG502" s="107"/>
      <c r="CH502" s="107"/>
      <c r="CI502" s="107"/>
      <c r="CJ502" s="107"/>
    </row>
    <row r="503">
      <c r="A503" s="105"/>
      <c r="B503" s="47"/>
      <c r="C503" s="25"/>
      <c r="D503" s="41"/>
      <c r="E503" s="46"/>
      <c r="F503" s="46"/>
      <c r="G503" s="21">
        <f t="shared" si="192"/>
        <v>0</v>
      </c>
      <c r="H503" s="13"/>
      <c r="I503" s="13"/>
      <c r="J503" s="13"/>
      <c r="K503" s="13"/>
      <c r="L503" s="14"/>
      <c r="M503" s="38"/>
      <c r="N503" s="47"/>
      <c r="O503" s="25"/>
      <c r="P503" s="41"/>
      <c r="Q503" s="46"/>
      <c r="R503" s="46"/>
      <c r="S503" s="21">
        <f t="shared" si="193"/>
        <v>0</v>
      </c>
      <c r="T503" s="13"/>
      <c r="U503" s="116"/>
      <c r="V503" s="117" t="s">
        <v>78</v>
      </c>
      <c r="W503" s="116"/>
      <c r="X503" s="14"/>
      <c r="Y503" s="38"/>
      <c r="Z503" s="47"/>
      <c r="AA503" s="25"/>
      <c r="AB503" s="41"/>
      <c r="AC503" s="46"/>
      <c r="AD503" s="46"/>
      <c r="AE503" s="21">
        <f t="shared" si="194"/>
        <v>0</v>
      </c>
      <c r="AF503" s="13"/>
      <c r="AG503" s="116"/>
      <c r="AH503" s="117" t="s">
        <v>59</v>
      </c>
      <c r="AI503" s="116"/>
      <c r="AJ503" s="14"/>
      <c r="AK503" s="38"/>
      <c r="AL503" s="47"/>
      <c r="AM503" s="25"/>
      <c r="AN503" s="41"/>
      <c r="AO503" s="46"/>
      <c r="AP503" s="46"/>
      <c r="AQ503" s="21">
        <f t="shared" si="195"/>
        <v>0</v>
      </c>
      <c r="AR503" s="13"/>
      <c r="AS503" s="116"/>
      <c r="AT503" s="117" t="s">
        <v>60</v>
      </c>
      <c r="AU503" s="116"/>
      <c r="AV503" s="14"/>
      <c r="AW503" s="38"/>
      <c r="AX503" s="47"/>
      <c r="AY503" s="25"/>
      <c r="AZ503" s="41"/>
      <c r="BA503" s="46"/>
      <c r="BB503" s="46"/>
      <c r="BC503" s="21">
        <f t="shared" si="196"/>
        <v>0</v>
      </c>
      <c r="BD503" s="13"/>
      <c r="BE503" s="116"/>
      <c r="BF503" s="117"/>
      <c r="BG503" s="116"/>
      <c r="BH503" s="14"/>
      <c r="BI503" s="38"/>
      <c r="BJ503" s="47"/>
      <c r="BK503" s="25"/>
      <c r="BL503" s="41"/>
      <c r="BM503" s="46"/>
      <c r="BN503" s="46"/>
      <c r="BO503" s="21">
        <f t="shared" si="197"/>
        <v>0</v>
      </c>
      <c r="BP503" s="13"/>
      <c r="BQ503" s="116"/>
      <c r="BR503" s="117" t="s">
        <v>59</v>
      </c>
      <c r="BS503" s="116"/>
      <c r="BT503" s="14"/>
      <c r="BU503" s="107"/>
      <c r="BV503" s="107"/>
      <c r="BW503" s="107"/>
      <c r="BX503" s="107"/>
      <c r="BY503" s="107"/>
      <c r="BZ503" s="107"/>
      <c r="CA503" s="111"/>
      <c r="CB503" s="107"/>
      <c r="CC503" s="107"/>
      <c r="CD503" s="107"/>
      <c r="CE503" s="107"/>
      <c r="CF503" s="107"/>
      <c r="CG503" s="107"/>
      <c r="CH503" s="107"/>
      <c r="CI503" s="107"/>
      <c r="CJ503" s="107"/>
    </row>
    <row r="504">
      <c r="A504" s="38"/>
      <c r="B504" s="47"/>
      <c r="C504" s="25"/>
      <c r="D504" s="41"/>
      <c r="E504" s="46"/>
      <c r="F504" s="46"/>
      <c r="G504" s="21">
        <f t="shared" si="192"/>
        <v>0</v>
      </c>
      <c r="H504" s="116"/>
      <c r="I504" s="117" t="s">
        <v>61</v>
      </c>
      <c r="J504" s="116"/>
      <c r="K504" s="13"/>
      <c r="L504" s="14"/>
      <c r="M504" s="38"/>
      <c r="N504" s="47"/>
      <c r="O504" s="25"/>
      <c r="P504" s="41"/>
      <c r="Q504" s="46"/>
      <c r="R504" s="46"/>
      <c r="S504" s="21">
        <f t="shared" si="193"/>
        <v>0</v>
      </c>
      <c r="T504" s="13"/>
      <c r="U504" s="118">
        <v>0.01</v>
      </c>
      <c r="V504" s="118">
        <v>0.01</v>
      </c>
      <c r="W504" s="117" t="s">
        <v>80</v>
      </c>
      <c r="X504" s="14"/>
      <c r="Y504" s="38"/>
      <c r="Z504" s="47"/>
      <c r="AA504" s="25"/>
      <c r="AB504" s="41"/>
      <c r="AC504" s="46"/>
      <c r="AD504" s="46"/>
      <c r="AE504" s="21">
        <f t="shared" si="194"/>
        <v>0</v>
      </c>
      <c r="AF504" s="13"/>
      <c r="AG504" s="118">
        <v>0.02</v>
      </c>
      <c r="AH504" s="118">
        <v>0.04</v>
      </c>
      <c r="AI504" s="118">
        <v>0.06</v>
      </c>
      <c r="AJ504" s="14"/>
      <c r="AK504" s="38"/>
      <c r="AL504" s="47"/>
      <c r="AM504" s="25"/>
      <c r="AN504" s="41"/>
      <c r="AO504" s="46"/>
      <c r="AP504" s="46"/>
      <c r="AQ504" s="21">
        <f t="shared" si="195"/>
        <v>0</v>
      </c>
      <c r="AR504" s="13"/>
      <c r="AS504" s="118">
        <v>0.03</v>
      </c>
      <c r="AT504" s="118">
        <v>0.05</v>
      </c>
      <c r="AU504" s="118">
        <v>0.07</v>
      </c>
      <c r="AV504" s="14"/>
      <c r="AW504" s="38"/>
      <c r="AX504" s="47"/>
      <c r="AY504" s="25"/>
      <c r="AZ504" s="41"/>
      <c r="BA504" s="46"/>
      <c r="BB504" s="46"/>
      <c r="BC504" s="21">
        <f t="shared" si="196"/>
        <v>0</v>
      </c>
      <c r="BD504" s="13"/>
      <c r="BE504" s="118"/>
      <c r="BF504" s="118"/>
      <c r="BG504" s="117"/>
      <c r="BH504" s="14"/>
      <c r="BI504" s="38"/>
      <c r="BJ504" s="47"/>
      <c r="BK504" s="25"/>
      <c r="BL504" s="41"/>
      <c r="BM504" s="46"/>
      <c r="BN504" s="46"/>
      <c r="BO504" s="21">
        <f t="shared" si="197"/>
        <v>0</v>
      </c>
      <c r="BP504" s="13"/>
      <c r="BQ504" s="118">
        <v>0.03</v>
      </c>
      <c r="BR504" s="118">
        <v>0.05</v>
      </c>
      <c r="BS504" s="118">
        <v>0.07</v>
      </c>
      <c r="BT504" s="14"/>
      <c r="BU504" s="107"/>
      <c r="BV504" s="107"/>
      <c r="BW504" s="107"/>
      <c r="BX504" s="107"/>
      <c r="BY504" s="107"/>
      <c r="BZ504" s="107"/>
      <c r="CA504" s="111"/>
      <c r="CB504" s="107"/>
      <c r="CC504" s="107"/>
      <c r="CD504" s="107"/>
      <c r="CE504" s="107"/>
      <c r="CF504" s="107"/>
      <c r="CG504" s="107"/>
      <c r="CH504" s="107"/>
      <c r="CI504" s="107"/>
      <c r="CJ504" s="107"/>
    </row>
    <row r="505">
      <c r="A505" s="38"/>
      <c r="B505" s="47"/>
      <c r="C505" s="25"/>
      <c r="D505" s="41"/>
      <c r="E505" s="46"/>
      <c r="F505" s="46"/>
      <c r="G505" s="21">
        <f t="shared" si="192"/>
        <v>0</v>
      </c>
      <c r="H505" s="118">
        <v>0.03</v>
      </c>
      <c r="I505" s="118">
        <v>0.05</v>
      </c>
      <c r="J505" s="118">
        <v>0.07</v>
      </c>
      <c r="K505" s="13"/>
      <c r="L505" s="14"/>
      <c r="M505" s="38"/>
      <c r="N505" s="47"/>
      <c r="O505" s="25"/>
      <c r="P505" s="41"/>
      <c r="Q505" s="46"/>
      <c r="R505" s="46"/>
      <c r="S505" s="21">
        <f t="shared" si="193"/>
        <v>0</v>
      </c>
      <c r="T505" s="13"/>
      <c r="U505" s="117">
        <v>5.0</v>
      </c>
      <c r="V505" s="117">
        <v>7.0</v>
      </c>
      <c r="W505" s="117">
        <v>10.0</v>
      </c>
      <c r="X505" s="14"/>
      <c r="Y505" s="38"/>
      <c r="Z505" s="47"/>
      <c r="AA505" s="25"/>
      <c r="AB505" s="41"/>
      <c r="AC505" s="46"/>
      <c r="AD505" s="46"/>
      <c r="AE505" s="21">
        <f t="shared" si="194"/>
        <v>0</v>
      </c>
      <c r="AF505" s="13"/>
      <c r="AG505" s="117">
        <v>5.0</v>
      </c>
      <c r="AH505" s="117">
        <v>7.0</v>
      </c>
      <c r="AI505" s="117">
        <v>10.0</v>
      </c>
      <c r="AJ505" s="14"/>
      <c r="AK505" s="38"/>
      <c r="AL505" s="47"/>
      <c r="AM505" s="25"/>
      <c r="AN505" s="41"/>
      <c r="AO505" s="46"/>
      <c r="AP505" s="46"/>
      <c r="AQ505" s="21">
        <f t="shared" si="195"/>
        <v>0</v>
      </c>
      <c r="AR505" s="13"/>
      <c r="AS505" s="117">
        <v>5.0</v>
      </c>
      <c r="AT505" s="117">
        <v>7.0</v>
      </c>
      <c r="AU505" s="117">
        <v>10.0</v>
      </c>
      <c r="AV505" s="14"/>
      <c r="AW505" s="38"/>
      <c r="AX505" s="47"/>
      <c r="AY505" s="25"/>
      <c r="AZ505" s="41"/>
      <c r="BA505" s="46"/>
      <c r="BB505" s="46"/>
      <c r="BC505" s="21">
        <f t="shared" si="196"/>
        <v>0</v>
      </c>
      <c r="BD505" s="13"/>
      <c r="BE505" s="117"/>
      <c r="BF505" s="117"/>
      <c r="BG505" s="117"/>
      <c r="BH505" s="14"/>
      <c r="BI505" s="38"/>
      <c r="BJ505" s="47"/>
      <c r="BK505" s="25"/>
      <c r="BL505" s="41"/>
      <c r="BM505" s="46"/>
      <c r="BN505" s="46"/>
      <c r="BO505" s="21">
        <f t="shared" si="197"/>
        <v>0</v>
      </c>
      <c r="BP505" s="13"/>
      <c r="BQ505" s="117">
        <v>5.0</v>
      </c>
      <c r="BR505" s="117">
        <v>7.0</v>
      </c>
      <c r="BS505" s="117">
        <v>10.0</v>
      </c>
      <c r="BT505" s="14"/>
      <c r="BU505" s="107"/>
      <c r="BV505" s="107"/>
      <c r="BW505" s="107"/>
      <c r="BX505" s="107"/>
      <c r="BY505" s="107"/>
      <c r="BZ505" s="107"/>
      <c r="CA505" s="111"/>
      <c r="CB505" s="107"/>
      <c r="CC505" s="107"/>
      <c r="CD505" s="107"/>
      <c r="CE505" s="107"/>
      <c r="CF505" s="107"/>
      <c r="CG505" s="107"/>
      <c r="CH505" s="107"/>
      <c r="CI505" s="107"/>
      <c r="CJ505" s="107"/>
    </row>
    <row r="506">
      <c r="A506" s="38"/>
      <c r="B506" s="32"/>
      <c r="C506" s="25"/>
      <c r="D506" s="41"/>
      <c r="E506" s="49"/>
      <c r="F506" s="49"/>
      <c r="G506" s="21">
        <f t="shared" si="192"/>
        <v>0</v>
      </c>
      <c r="H506" s="117">
        <v>5.0</v>
      </c>
      <c r="I506" s="117">
        <v>7.0</v>
      </c>
      <c r="J506" s="117">
        <v>10.0</v>
      </c>
      <c r="K506" s="13"/>
      <c r="L506" s="14"/>
      <c r="M506" s="38"/>
      <c r="N506" s="32"/>
      <c r="O506" s="25"/>
      <c r="P506" s="41"/>
      <c r="Q506" s="49"/>
      <c r="R506" s="49"/>
      <c r="S506" s="21">
        <f t="shared" si="193"/>
        <v>0</v>
      </c>
      <c r="T506" s="13"/>
      <c r="U506" s="13"/>
      <c r="V506" s="13"/>
      <c r="W506" s="13"/>
      <c r="X506" s="14"/>
      <c r="Y506" s="38"/>
      <c r="Z506" s="32"/>
      <c r="AA506" s="25"/>
      <c r="AB506" s="41"/>
      <c r="AC506" s="49"/>
      <c r="AD506" s="49"/>
      <c r="AE506" s="21">
        <f t="shared" si="194"/>
        <v>0</v>
      </c>
      <c r="AF506" s="13"/>
      <c r="AG506" s="13"/>
      <c r="AH506" s="13"/>
      <c r="AI506" s="13"/>
      <c r="AJ506" s="14"/>
      <c r="AK506" s="38"/>
      <c r="AL506" s="32"/>
      <c r="AM506" s="25"/>
      <c r="AN506" s="41"/>
      <c r="AO506" s="49"/>
      <c r="AP506" s="49"/>
      <c r="AQ506" s="21">
        <f t="shared" si="195"/>
        <v>0</v>
      </c>
      <c r="AR506" s="13"/>
      <c r="AS506" s="13"/>
      <c r="AT506" s="13"/>
      <c r="AU506" s="13"/>
      <c r="AV506" s="14"/>
      <c r="AW506" s="38"/>
      <c r="AX506" s="32"/>
      <c r="AY506" s="25"/>
      <c r="AZ506" s="41"/>
      <c r="BA506" s="49"/>
      <c r="BB506" s="49"/>
      <c r="BC506" s="21">
        <f t="shared" si="196"/>
        <v>0</v>
      </c>
      <c r="BD506" s="13"/>
      <c r="BE506" s="13"/>
      <c r="BF506" s="13"/>
      <c r="BG506" s="13"/>
      <c r="BH506" s="14"/>
      <c r="BI506" s="38"/>
      <c r="BJ506" s="32"/>
      <c r="BK506" s="25"/>
      <c r="BL506" s="41"/>
      <c r="BM506" s="49"/>
      <c r="BN506" s="49"/>
      <c r="BO506" s="21">
        <f t="shared" si="197"/>
        <v>0</v>
      </c>
      <c r="BP506" s="13"/>
      <c r="BQ506" s="13"/>
      <c r="BR506" s="13"/>
      <c r="BS506" s="13"/>
      <c r="BT506" s="14"/>
      <c r="BU506" s="107"/>
      <c r="BV506" s="107"/>
      <c r="BW506" s="107"/>
      <c r="BX506" s="107"/>
      <c r="BY506" s="107"/>
      <c r="BZ506" s="107"/>
      <c r="CA506" s="111"/>
      <c r="CB506" s="107"/>
      <c r="CC506" s="107"/>
      <c r="CD506" s="107"/>
      <c r="CE506" s="107"/>
      <c r="CF506" s="107"/>
      <c r="CG506" s="107"/>
      <c r="CH506" s="107"/>
      <c r="CI506" s="107"/>
      <c r="CJ506" s="107"/>
    </row>
    <row r="507">
      <c r="A507" s="38"/>
      <c r="B507" s="32"/>
      <c r="C507" s="25"/>
      <c r="D507" s="41"/>
      <c r="E507" s="49"/>
      <c r="F507" s="49"/>
      <c r="G507" s="21">
        <f t="shared" si="192"/>
        <v>0</v>
      </c>
      <c r="H507" s="13"/>
      <c r="I507" s="13"/>
      <c r="J507" s="13"/>
      <c r="K507" s="13"/>
      <c r="L507" s="14"/>
      <c r="M507" s="38"/>
      <c r="N507" s="32"/>
      <c r="O507" s="25"/>
      <c r="P507" s="41"/>
      <c r="Q507" s="49"/>
      <c r="R507" s="49"/>
      <c r="S507" s="21">
        <f t="shared" si="193"/>
        <v>0</v>
      </c>
      <c r="T507" s="13"/>
      <c r="U507" s="13"/>
      <c r="V507" s="13"/>
      <c r="W507" s="13"/>
      <c r="X507" s="14"/>
      <c r="Y507" s="38"/>
      <c r="Z507" s="32"/>
      <c r="AA507" s="25"/>
      <c r="AB507" s="41"/>
      <c r="AC507" s="49"/>
      <c r="AD507" s="49"/>
      <c r="AE507" s="21">
        <f t="shared" si="194"/>
        <v>0</v>
      </c>
      <c r="AF507" s="13"/>
      <c r="AG507" s="13"/>
      <c r="AH507" s="13"/>
      <c r="AI507" s="13"/>
      <c r="AJ507" s="14"/>
      <c r="AK507" s="38"/>
      <c r="AL507" s="32"/>
      <c r="AM507" s="25"/>
      <c r="AN507" s="41"/>
      <c r="AO507" s="49"/>
      <c r="AP507" s="49"/>
      <c r="AQ507" s="21">
        <f t="shared" si="195"/>
        <v>0</v>
      </c>
      <c r="AR507" s="13"/>
      <c r="AS507" s="13"/>
      <c r="AT507" s="13"/>
      <c r="AU507" s="13"/>
      <c r="AV507" s="14"/>
      <c r="AW507" s="38"/>
      <c r="AX507" s="32"/>
      <c r="AY507" s="25"/>
      <c r="AZ507" s="41"/>
      <c r="BA507" s="49"/>
      <c r="BB507" s="49"/>
      <c r="BC507" s="21">
        <f t="shared" si="196"/>
        <v>0</v>
      </c>
      <c r="BD507" s="13"/>
      <c r="BE507" s="13"/>
      <c r="BF507" s="13"/>
      <c r="BG507" s="13"/>
      <c r="BH507" s="14"/>
      <c r="BI507" s="38"/>
      <c r="BJ507" s="32"/>
      <c r="BK507" s="25"/>
      <c r="BL507" s="41"/>
      <c r="BM507" s="49"/>
      <c r="BN507" s="49"/>
      <c r="BO507" s="21">
        <f t="shared" si="197"/>
        <v>0</v>
      </c>
      <c r="BP507" s="13"/>
      <c r="BQ507" s="13"/>
      <c r="BR507" s="13"/>
      <c r="BS507" s="13"/>
      <c r="BT507" s="14"/>
      <c r="BU507" s="107"/>
      <c r="BV507" s="107"/>
      <c r="BW507" s="107"/>
      <c r="BX507" s="107"/>
      <c r="BY507" s="107"/>
      <c r="BZ507" s="107"/>
      <c r="CA507" s="111"/>
      <c r="CB507" s="107"/>
      <c r="CC507" s="107"/>
      <c r="CD507" s="107"/>
      <c r="CE507" s="107"/>
      <c r="CF507" s="107"/>
      <c r="CG507" s="107"/>
      <c r="CH507" s="107"/>
      <c r="CI507" s="107"/>
      <c r="CJ507" s="107"/>
    </row>
    <row r="508">
      <c r="A508" s="38"/>
      <c r="B508" s="32"/>
      <c r="C508" s="25"/>
      <c r="D508" s="41"/>
      <c r="E508" s="49"/>
      <c r="F508" s="49"/>
      <c r="G508" s="21">
        <f t="shared" si="192"/>
        <v>0</v>
      </c>
      <c r="H508" s="13"/>
      <c r="I508" s="13"/>
      <c r="J508" s="67"/>
      <c r="K508" s="13"/>
      <c r="L508" s="14"/>
      <c r="M508" s="38"/>
      <c r="N508" s="32"/>
      <c r="O508" s="25"/>
      <c r="P508" s="41"/>
      <c r="Q508" s="49"/>
      <c r="R508" s="49"/>
      <c r="S508" s="21">
        <f t="shared" si="193"/>
        <v>0</v>
      </c>
      <c r="T508" s="13"/>
      <c r="U508" s="13"/>
      <c r="V508" s="13"/>
      <c r="W508" s="13"/>
      <c r="X508" s="14"/>
      <c r="Y508" s="38"/>
      <c r="Z508" s="32"/>
      <c r="AA508" s="25"/>
      <c r="AB508" s="41"/>
      <c r="AC508" s="49"/>
      <c r="AD508" s="49"/>
      <c r="AE508" s="21">
        <f t="shared" si="194"/>
        <v>0</v>
      </c>
      <c r="AF508" s="13"/>
      <c r="AG508" s="13"/>
      <c r="AH508" s="13"/>
      <c r="AI508" s="13"/>
      <c r="AJ508" s="14"/>
      <c r="AK508" s="38"/>
      <c r="AL508" s="32"/>
      <c r="AM508" s="25"/>
      <c r="AN508" s="41"/>
      <c r="AO508" s="49"/>
      <c r="AP508" s="49"/>
      <c r="AQ508" s="21">
        <f t="shared" si="195"/>
        <v>0</v>
      </c>
      <c r="AR508" s="13"/>
      <c r="AS508" s="13"/>
      <c r="AT508" s="13"/>
      <c r="AU508" s="13"/>
      <c r="AV508" s="14"/>
      <c r="AW508" s="38"/>
      <c r="AX508" s="32"/>
      <c r="AY508" s="25"/>
      <c r="AZ508" s="41"/>
      <c r="BA508" s="49"/>
      <c r="BB508" s="49"/>
      <c r="BC508" s="21">
        <f t="shared" si="196"/>
        <v>0</v>
      </c>
      <c r="BD508" s="13"/>
      <c r="BE508" s="13"/>
      <c r="BF508" s="13"/>
      <c r="BG508" s="13"/>
      <c r="BH508" s="14"/>
      <c r="BI508" s="38"/>
      <c r="BJ508" s="32"/>
      <c r="BK508" s="25"/>
      <c r="BL508" s="41"/>
      <c r="BM508" s="49"/>
      <c r="BN508" s="49"/>
      <c r="BO508" s="21">
        <f t="shared" si="197"/>
        <v>0</v>
      </c>
      <c r="BP508" s="13"/>
      <c r="BQ508" s="13"/>
      <c r="BR508" s="13"/>
      <c r="BS508" s="13"/>
      <c r="BT508" s="14"/>
      <c r="BU508" s="107"/>
      <c r="BV508" s="107"/>
      <c r="BW508" s="107"/>
      <c r="BX508" s="107"/>
      <c r="BY508" s="107"/>
      <c r="BZ508" s="107"/>
      <c r="CA508" s="111"/>
      <c r="CB508" s="107"/>
      <c r="CC508" s="107"/>
      <c r="CD508" s="107"/>
      <c r="CE508" s="107"/>
      <c r="CF508" s="107"/>
      <c r="CG508" s="107"/>
      <c r="CH508" s="107"/>
      <c r="CI508" s="107"/>
      <c r="CJ508" s="107"/>
    </row>
    <row r="509">
      <c r="A509" s="38"/>
      <c r="B509" s="32"/>
      <c r="C509" s="25"/>
      <c r="D509" s="41"/>
      <c r="E509" s="46"/>
      <c r="F509" s="46"/>
      <c r="G509" s="21">
        <f t="shared" si="192"/>
        <v>0</v>
      </c>
      <c r="H509" s="13"/>
      <c r="I509" s="67" t="s">
        <v>85</v>
      </c>
      <c r="J509" s="13"/>
      <c r="K509" s="13"/>
      <c r="L509" s="14"/>
      <c r="M509" s="38"/>
      <c r="N509" s="32"/>
      <c r="O509" s="25"/>
      <c r="P509" s="41"/>
      <c r="Q509" s="46"/>
      <c r="R509" s="46"/>
      <c r="S509" s="21">
        <f t="shared" si="193"/>
        <v>0</v>
      </c>
      <c r="T509" s="13"/>
      <c r="U509" s="13"/>
      <c r="V509" s="13"/>
      <c r="W509" s="13"/>
      <c r="X509" s="14"/>
      <c r="Y509" s="38"/>
      <c r="Z509" s="32"/>
      <c r="AA509" s="25"/>
      <c r="AB509" s="41"/>
      <c r="AC509" s="46"/>
      <c r="AD509" s="46"/>
      <c r="AE509" s="21">
        <f t="shared" si="194"/>
        <v>0</v>
      </c>
      <c r="AF509" s="13"/>
      <c r="AG509" s="13"/>
      <c r="AH509" s="13"/>
      <c r="AI509" s="13"/>
      <c r="AJ509" s="14"/>
      <c r="AK509" s="38"/>
      <c r="AL509" s="32"/>
      <c r="AM509" s="25"/>
      <c r="AN509" s="41"/>
      <c r="AO509" s="46"/>
      <c r="AP509" s="46"/>
      <c r="AQ509" s="21">
        <f t="shared" si="195"/>
        <v>0</v>
      </c>
      <c r="AR509" s="13"/>
      <c r="AS509" s="13"/>
      <c r="AT509" s="13"/>
      <c r="AU509" s="13"/>
      <c r="AV509" s="14"/>
      <c r="AW509" s="38"/>
      <c r="AX509" s="32"/>
      <c r="AY509" s="25"/>
      <c r="AZ509" s="41"/>
      <c r="BA509" s="46"/>
      <c r="BB509" s="46"/>
      <c r="BC509" s="21">
        <f t="shared" si="196"/>
        <v>0</v>
      </c>
      <c r="BD509" s="13"/>
      <c r="BE509" s="13"/>
      <c r="BF509" s="13"/>
      <c r="BG509" s="13"/>
      <c r="BH509" s="14"/>
      <c r="BI509" s="38"/>
      <c r="BJ509" s="32"/>
      <c r="BK509" s="25"/>
      <c r="BL509" s="41"/>
      <c r="BM509" s="46"/>
      <c r="BN509" s="46"/>
      <c r="BO509" s="21">
        <f t="shared" si="197"/>
        <v>0</v>
      </c>
      <c r="BP509" s="13"/>
      <c r="BQ509" s="13"/>
      <c r="BR509" s="13"/>
      <c r="BS509" s="13"/>
      <c r="BT509" s="14"/>
      <c r="BU509" s="107"/>
      <c r="BV509" s="107"/>
      <c r="BW509" s="107"/>
      <c r="BX509" s="107"/>
      <c r="BY509" s="107"/>
      <c r="BZ509" s="107"/>
      <c r="CA509" s="111"/>
      <c r="CB509" s="107"/>
      <c r="CC509" s="107"/>
      <c r="CD509" s="107"/>
      <c r="CE509" s="107"/>
      <c r="CF509" s="107"/>
      <c r="CG509" s="107"/>
      <c r="CH509" s="107"/>
      <c r="CI509" s="107"/>
      <c r="CJ509" s="107"/>
    </row>
    <row r="510">
      <c r="A510" s="38"/>
      <c r="B510" s="47"/>
      <c r="C510" s="25"/>
      <c r="D510" s="41"/>
      <c r="E510" s="49"/>
      <c r="F510" s="49"/>
      <c r="G510" s="21">
        <f t="shared" si="192"/>
        <v>0</v>
      </c>
      <c r="H510" s="13"/>
      <c r="I510" s="142">
        <v>40363.0</v>
      </c>
      <c r="J510" s="13"/>
      <c r="K510" s="13"/>
      <c r="L510" s="14"/>
      <c r="M510" s="38"/>
      <c r="N510" s="47"/>
      <c r="O510" s="25"/>
      <c r="P510" s="41"/>
      <c r="Q510" s="49"/>
      <c r="R510" s="49"/>
      <c r="S510" s="21">
        <f t="shared" si="193"/>
        <v>0</v>
      </c>
      <c r="T510" s="13"/>
      <c r="U510" s="67"/>
      <c r="V510" s="67"/>
      <c r="W510" s="13"/>
      <c r="X510" s="14"/>
      <c r="Y510" s="38"/>
      <c r="Z510" s="47"/>
      <c r="AA510" s="25"/>
      <c r="AB510" s="41"/>
      <c r="AC510" s="49"/>
      <c r="AD510" s="49"/>
      <c r="AE510" s="21">
        <f t="shared" si="194"/>
        <v>0</v>
      </c>
      <c r="AF510" s="13"/>
      <c r="AG510" s="13"/>
      <c r="AH510" s="13"/>
      <c r="AI510" s="13"/>
      <c r="AJ510" s="14"/>
      <c r="AK510" s="38"/>
      <c r="AL510" s="47"/>
      <c r="AM510" s="25"/>
      <c r="AN510" s="41"/>
      <c r="AO510" s="49"/>
      <c r="AP510" s="49"/>
      <c r="AQ510" s="21">
        <f t="shared" si="195"/>
        <v>0</v>
      </c>
      <c r="AR510" s="13"/>
      <c r="AS510" s="13"/>
      <c r="AT510" s="13"/>
      <c r="AU510" s="13"/>
      <c r="AV510" s="14"/>
      <c r="AW510" s="38"/>
      <c r="AX510" s="47"/>
      <c r="AY510" s="25"/>
      <c r="AZ510" s="41"/>
      <c r="BA510" s="49"/>
      <c r="BB510" s="49"/>
      <c r="BC510" s="21">
        <f t="shared" si="196"/>
        <v>0</v>
      </c>
      <c r="BD510" s="13"/>
      <c r="BE510" s="13"/>
      <c r="BF510" s="13"/>
      <c r="BG510" s="13"/>
      <c r="BH510" s="14"/>
      <c r="BI510" s="38"/>
      <c r="BJ510" s="47"/>
      <c r="BK510" s="25"/>
      <c r="BL510" s="41"/>
      <c r="BM510" s="49"/>
      <c r="BN510" s="49"/>
      <c r="BO510" s="21">
        <f t="shared" si="197"/>
        <v>0</v>
      </c>
      <c r="BP510" s="13"/>
      <c r="BQ510" s="13"/>
      <c r="BR510" s="13"/>
      <c r="BS510" s="13"/>
      <c r="BT510" s="14"/>
      <c r="BU510" s="107"/>
      <c r="BV510" s="107"/>
      <c r="BW510" s="107"/>
      <c r="BX510" s="107"/>
      <c r="BY510" s="107"/>
      <c r="BZ510" s="107"/>
      <c r="CA510" s="111"/>
      <c r="CB510" s="107"/>
      <c r="CC510" s="107"/>
      <c r="CD510" s="107"/>
      <c r="CE510" s="107"/>
      <c r="CF510" s="107"/>
      <c r="CG510" s="107"/>
      <c r="CH510" s="107"/>
      <c r="CI510" s="107"/>
      <c r="CJ510" s="107"/>
    </row>
    <row r="511">
      <c r="A511" s="38"/>
      <c r="B511" s="32"/>
      <c r="C511" s="25"/>
      <c r="D511" s="41"/>
      <c r="E511" s="49"/>
      <c r="F511" s="49"/>
      <c r="G511" s="21">
        <f t="shared" si="192"/>
        <v>0</v>
      </c>
      <c r="H511" s="13"/>
      <c r="I511" s="67"/>
      <c r="J511" s="13"/>
      <c r="K511" s="13"/>
      <c r="L511" s="14"/>
      <c r="M511" s="38"/>
      <c r="N511" s="32"/>
      <c r="O511" s="25"/>
      <c r="P511" s="41"/>
      <c r="Q511" s="49"/>
      <c r="R511" s="49"/>
      <c r="S511" s="21">
        <f t="shared" si="193"/>
        <v>0</v>
      </c>
      <c r="T511" s="13"/>
      <c r="U511" s="13"/>
      <c r="V511" s="13"/>
      <c r="W511" s="13"/>
      <c r="X511" s="14"/>
      <c r="Y511" s="38"/>
      <c r="Z511" s="32"/>
      <c r="AA511" s="25"/>
      <c r="AB511" s="41"/>
      <c r="AC511" s="49"/>
      <c r="AD511" s="49"/>
      <c r="AE511" s="21">
        <f t="shared" si="194"/>
        <v>0</v>
      </c>
      <c r="AF511" s="13"/>
      <c r="AG511" s="13"/>
      <c r="AH511" s="13"/>
      <c r="AI511" s="13"/>
      <c r="AJ511" s="14"/>
      <c r="AK511" s="38"/>
      <c r="AL511" s="32"/>
      <c r="AM511" s="25"/>
      <c r="AN511" s="41"/>
      <c r="AO511" s="49"/>
      <c r="AP511" s="49"/>
      <c r="AQ511" s="21">
        <f t="shared" si="195"/>
        <v>0</v>
      </c>
      <c r="AR511" s="13"/>
      <c r="AS511" s="13"/>
      <c r="AT511" s="13"/>
      <c r="AU511" s="13"/>
      <c r="AV511" s="14"/>
      <c r="AW511" s="38"/>
      <c r="AX511" s="32"/>
      <c r="AY511" s="25"/>
      <c r="AZ511" s="41"/>
      <c r="BA511" s="49"/>
      <c r="BB511" s="49"/>
      <c r="BC511" s="21">
        <f t="shared" si="196"/>
        <v>0</v>
      </c>
      <c r="BD511" s="13"/>
      <c r="BE511" s="13"/>
      <c r="BF511" s="13"/>
      <c r="BG511" s="13"/>
      <c r="BH511" s="14"/>
      <c r="BI511" s="38"/>
      <c r="BJ511" s="32"/>
      <c r="BK511" s="25"/>
      <c r="BL511" s="41"/>
      <c r="BM511" s="49"/>
      <c r="BN511" s="49"/>
      <c r="BO511" s="21">
        <f t="shared" si="197"/>
        <v>0</v>
      </c>
      <c r="BP511" s="13"/>
      <c r="BQ511" s="13"/>
      <c r="BR511" s="13"/>
      <c r="BS511" s="13"/>
      <c r="BT511" s="14"/>
      <c r="BU511" s="107"/>
      <c r="BV511" s="107"/>
      <c r="BW511" s="107"/>
      <c r="BX511" s="107"/>
      <c r="BY511" s="107"/>
      <c r="BZ511" s="107"/>
      <c r="CA511" s="111"/>
      <c r="CB511" s="107"/>
      <c r="CC511" s="107"/>
      <c r="CD511" s="107"/>
      <c r="CE511" s="107"/>
      <c r="CF511" s="107"/>
      <c r="CG511" s="107"/>
      <c r="CH511" s="107"/>
      <c r="CI511" s="107"/>
      <c r="CJ511" s="107"/>
    </row>
    <row r="512">
      <c r="A512" s="38"/>
      <c r="B512" s="32"/>
      <c r="C512" s="25"/>
      <c r="D512" s="41"/>
      <c r="E512" s="49"/>
      <c r="F512" s="49"/>
      <c r="G512" s="21">
        <f t="shared" si="192"/>
        <v>0</v>
      </c>
      <c r="H512" s="13"/>
      <c r="I512" s="67"/>
      <c r="J512" s="13"/>
      <c r="K512" s="13"/>
      <c r="L512" s="14"/>
      <c r="M512" s="38"/>
      <c r="N512" s="32"/>
      <c r="O512" s="25"/>
      <c r="P512" s="41"/>
      <c r="Q512" s="49"/>
      <c r="R512" s="49"/>
      <c r="S512" s="21">
        <f t="shared" si="193"/>
        <v>0</v>
      </c>
      <c r="T512" s="13"/>
      <c r="U512" s="13"/>
      <c r="V512" s="13"/>
      <c r="W512" s="13"/>
      <c r="X512" s="14"/>
      <c r="Y512" s="38"/>
      <c r="Z512" s="32"/>
      <c r="AA512" s="25"/>
      <c r="AB512" s="41"/>
      <c r="AC512" s="49"/>
      <c r="AD512" s="49"/>
      <c r="AE512" s="21">
        <f t="shared" si="194"/>
        <v>0</v>
      </c>
      <c r="AF512" s="13"/>
      <c r="AG512" s="13"/>
      <c r="AH512" s="13"/>
      <c r="AI512" s="13"/>
      <c r="AJ512" s="14"/>
      <c r="AK512" s="38"/>
      <c r="AL512" s="32"/>
      <c r="AM512" s="25"/>
      <c r="AN512" s="41"/>
      <c r="AO512" s="49"/>
      <c r="AP512" s="49"/>
      <c r="AQ512" s="21">
        <f t="shared" si="195"/>
        <v>0</v>
      </c>
      <c r="AR512" s="13"/>
      <c r="AS512" s="13"/>
      <c r="AT512" s="13"/>
      <c r="AU512" s="13"/>
      <c r="AV512" s="14"/>
      <c r="AW512" s="38"/>
      <c r="AX512" s="32"/>
      <c r="AY512" s="25"/>
      <c r="AZ512" s="41"/>
      <c r="BA512" s="49"/>
      <c r="BB512" s="49"/>
      <c r="BC512" s="21">
        <f t="shared" si="196"/>
        <v>0</v>
      </c>
      <c r="BD512" s="13"/>
      <c r="BE512" s="13"/>
      <c r="BF512" s="13"/>
      <c r="BG512" s="13"/>
      <c r="BH512" s="14"/>
      <c r="BI512" s="38"/>
      <c r="BJ512" s="32"/>
      <c r="BK512" s="25"/>
      <c r="BL512" s="41"/>
      <c r="BM512" s="49"/>
      <c r="BN512" s="49"/>
      <c r="BO512" s="21">
        <f t="shared" si="197"/>
        <v>0</v>
      </c>
      <c r="BP512" s="13"/>
      <c r="BQ512" s="13"/>
      <c r="BR512" s="13"/>
      <c r="BS512" s="13"/>
      <c r="BT512" s="14"/>
      <c r="BU512" s="107"/>
      <c r="BV512" s="107"/>
      <c r="BW512" s="107"/>
      <c r="BX512" s="107"/>
      <c r="BY512" s="107"/>
      <c r="BZ512" s="107"/>
      <c r="CA512" s="111"/>
      <c r="CB512" s="107"/>
      <c r="CC512" s="107"/>
      <c r="CD512" s="107"/>
      <c r="CE512" s="107"/>
      <c r="CF512" s="107"/>
      <c r="CG512" s="107"/>
      <c r="CH512" s="107"/>
      <c r="CI512" s="107"/>
      <c r="CJ512" s="107"/>
    </row>
    <row r="513">
      <c r="A513" s="50"/>
      <c r="B513" s="32"/>
      <c r="C513" s="25"/>
      <c r="D513" s="41"/>
      <c r="E513" s="49"/>
      <c r="F513" s="49"/>
      <c r="G513" s="88">
        <f t="shared" si="192"/>
        <v>0</v>
      </c>
      <c r="H513" s="89"/>
      <c r="I513" s="104"/>
      <c r="J513" s="89"/>
      <c r="K513" s="89"/>
      <c r="L513" s="90"/>
      <c r="M513" s="50"/>
      <c r="N513" s="32"/>
      <c r="O513" s="25"/>
      <c r="P513" s="41"/>
      <c r="Q513" s="49"/>
      <c r="R513" s="49"/>
      <c r="S513" s="21">
        <f t="shared" si="193"/>
        <v>0</v>
      </c>
      <c r="T513" s="89"/>
      <c r="U513" s="89"/>
      <c r="V513" s="89"/>
      <c r="W513" s="89"/>
      <c r="X513" s="90"/>
      <c r="Y513" s="50"/>
      <c r="Z513" s="32"/>
      <c r="AA513" s="25"/>
      <c r="AB513" s="41"/>
      <c r="AC513" s="49"/>
      <c r="AD513" s="49"/>
      <c r="AE513" s="21">
        <f t="shared" si="194"/>
        <v>0</v>
      </c>
      <c r="AF513" s="89"/>
      <c r="AG513" s="89"/>
      <c r="AH513" s="89"/>
      <c r="AI513" s="89"/>
      <c r="AJ513" s="90"/>
      <c r="AK513" s="50"/>
      <c r="AL513" s="32"/>
      <c r="AM513" s="25"/>
      <c r="AN513" s="41"/>
      <c r="AO513" s="49"/>
      <c r="AP513" s="49"/>
      <c r="AQ513" s="21">
        <f t="shared" si="195"/>
        <v>0</v>
      </c>
      <c r="AR513" s="89"/>
      <c r="AS513" s="89"/>
      <c r="AT513" s="89"/>
      <c r="AU513" s="89"/>
      <c r="AV513" s="90"/>
      <c r="AW513" s="50"/>
      <c r="AX513" s="32"/>
      <c r="AY513" s="25"/>
      <c r="AZ513" s="41"/>
      <c r="BA513" s="49"/>
      <c r="BB513" s="49"/>
      <c r="BC513" s="21">
        <f t="shared" si="196"/>
        <v>0</v>
      </c>
      <c r="BD513" s="89"/>
      <c r="BE513" s="89"/>
      <c r="BF513" s="89"/>
      <c r="BG513" s="89"/>
      <c r="BH513" s="90"/>
      <c r="BI513" s="50"/>
      <c r="BJ513" s="32"/>
      <c r="BK513" s="25"/>
      <c r="BL513" s="41"/>
      <c r="BM513" s="49"/>
      <c r="BN513" s="49"/>
      <c r="BO513" s="21">
        <f t="shared" si="197"/>
        <v>0</v>
      </c>
      <c r="BP513" s="89"/>
      <c r="BQ513" s="89"/>
      <c r="BR513" s="89"/>
      <c r="BS513" s="89"/>
      <c r="BT513" s="90"/>
      <c r="BU513" s="107"/>
      <c r="BV513" s="107"/>
      <c r="BW513" s="107"/>
      <c r="BX513" s="107"/>
      <c r="BY513" s="107"/>
      <c r="BZ513" s="107"/>
      <c r="CA513" s="111"/>
      <c r="CB513" s="107"/>
      <c r="CC513" s="107"/>
      <c r="CD513" s="107"/>
      <c r="CE513" s="107"/>
      <c r="CF513" s="107"/>
      <c r="CG513" s="107"/>
      <c r="CH513" s="107"/>
      <c r="CI513" s="107"/>
      <c r="CJ513" s="107"/>
    </row>
    <row r="514">
      <c r="A514" s="1" t="s">
        <v>0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1" t="s">
        <v>2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3"/>
      <c r="Y514" s="1" t="s">
        <v>88</v>
      </c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3"/>
      <c r="AK514" s="1" t="s">
        <v>97</v>
      </c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3"/>
      <c r="AW514" s="1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3"/>
      <c r="BI514" s="1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3"/>
      <c r="BU514" s="4"/>
      <c r="CG514" s="107"/>
      <c r="CH514" s="107"/>
      <c r="CI514" s="107"/>
      <c r="CJ514" s="107"/>
    </row>
    <row r="515">
      <c r="A515" s="5" t="s">
        <v>105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5" t="s">
        <v>105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5" t="s">
        <v>105</v>
      </c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5" t="s">
        <v>105</v>
      </c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5" t="s">
        <v>94</v>
      </c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5" t="s">
        <v>94</v>
      </c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5" t="s">
        <v>94</v>
      </c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107"/>
      <c r="CH515" s="107"/>
      <c r="CI515" s="107"/>
      <c r="CJ515" s="107"/>
    </row>
    <row r="516">
      <c r="A516" s="7" t="s">
        <v>5</v>
      </c>
      <c r="B516" s="8" t="s">
        <v>6</v>
      </c>
      <c r="C516" s="9" t="s">
        <v>106</v>
      </c>
      <c r="D516" s="10" t="s">
        <v>8</v>
      </c>
      <c r="E516" s="11" t="s">
        <v>9</v>
      </c>
      <c r="F516" s="11" t="s">
        <v>10</v>
      </c>
      <c r="G516" s="12" t="s">
        <v>11</v>
      </c>
      <c r="H516" s="12" t="s">
        <v>12</v>
      </c>
      <c r="I516" s="12" t="s">
        <v>13</v>
      </c>
      <c r="J516" s="13" t="s">
        <v>14</v>
      </c>
      <c r="K516" s="67" t="s">
        <v>15</v>
      </c>
      <c r="L516" s="14" t="s">
        <v>16</v>
      </c>
      <c r="M516" s="7" t="s">
        <v>5</v>
      </c>
      <c r="N516" s="8" t="s">
        <v>6</v>
      </c>
      <c r="O516" s="9" t="s">
        <v>7</v>
      </c>
      <c r="P516" s="10" t="s">
        <v>8</v>
      </c>
      <c r="Q516" s="11" t="s">
        <v>9</v>
      </c>
      <c r="R516" s="11" t="s">
        <v>10</v>
      </c>
      <c r="S516" s="12" t="s">
        <v>11</v>
      </c>
      <c r="T516" s="12" t="s">
        <v>12</v>
      </c>
      <c r="U516" s="12" t="s">
        <v>13</v>
      </c>
      <c r="V516" s="13" t="s">
        <v>14</v>
      </c>
      <c r="W516" s="13" t="s">
        <v>15</v>
      </c>
      <c r="X516" s="14" t="s">
        <v>16</v>
      </c>
      <c r="Y516" s="7" t="s">
        <v>5</v>
      </c>
      <c r="Z516" s="8" t="s">
        <v>6</v>
      </c>
      <c r="AA516" s="9" t="s">
        <v>7</v>
      </c>
      <c r="AB516" s="10" t="s">
        <v>8</v>
      </c>
      <c r="AC516" s="11" t="s">
        <v>9</v>
      </c>
      <c r="AD516" s="11" t="s">
        <v>10</v>
      </c>
      <c r="AE516" s="12" t="s">
        <v>11</v>
      </c>
      <c r="AF516" s="12" t="s">
        <v>12</v>
      </c>
      <c r="AG516" s="12" t="s">
        <v>13</v>
      </c>
      <c r="AH516" s="13" t="s">
        <v>14</v>
      </c>
      <c r="AI516" s="13" t="s">
        <v>15</v>
      </c>
      <c r="AJ516" s="14" t="s">
        <v>16</v>
      </c>
      <c r="AK516" s="7" t="s">
        <v>5</v>
      </c>
      <c r="AL516" s="8" t="s">
        <v>84</v>
      </c>
      <c r="AM516" s="9" t="s">
        <v>7</v>
      </c>
      <c r="AN516" s="10" t="s">
        <v>8</v>
      </c>
      <c r="AO516" s="11" t="s">
        <v>9</v>
      </c>
      <c r="AP516" s="11" t="s">
        <v>10</v>
      </c>
      <c r="AQ516" s="12" t="s">
        <v>11</v>
      </c>
      <c r="AR516" s="12" t="s">
        <v>12</v>
      </c>
      <c r="AS516" s="12" t="s">
        <v>13</v>
      </c>
      <c r="AT516" s="13" t="s">
        <v>14</v>
      </c>
      <c r="AU516" s="13" t="s">
        <v>15</v>
      </c>
      <c r="AV516" s="14" t="s">
        <v>16</v>
      </c>
      <c r="AW516" s="7" t="s">
        <v>5</v>
      </c>
      <c r="AX516" s="8" t="s">
        <v>6</v>
      </c>
      <c r="AY516" s="9" t="s">
        <v>7</v>
      </c>
      <c r="AZ516" s="10" t="s">
        <v>8</v>
      </c>
      <c r="BA516" s="11" t="s">
        <v>9</v>
      </c>
      <c r="BB516" s="11" t="s">
        <v>10</v>
      </c>
      <c r="BC516" s="12" t="s">
        <v>11</v>
      </c>
      <c r="BD516" s="12" t="s">
        <v>12</v>
      </c>
      <c r="BE516" s="12" t="s">
        <v>13</v>
      </c>
      <c r="BF516" s="13" t="s">
        <v>14</v>
      </c>
      <c r="BG516" s="13" t="s">
        <v>15</v>
      </c>
      <c r="BH516" s="14" t="s">
        <v>16</v>
      </c>
      <c r="BI516" s="7" t="s">
        <v>5</v>
      </c>
      <c r="BJ516" s="8" t="s">
        <v>6</v>
      </c>
      <c r="BK516" s="9" t="s">
        <v>7</v>
      </c>
      <c r="BL516" s="10" t="s">
        <v>8</v>
      </c>
      <c r="BM516" s="11" t="s">
        <v>9</v>
      </c>
      <c r="BN516" s="11" t="s">
        <v>10</v>
      </c>
      <c r="BO516" s="12" t="s">
        <v>11</v>
      </c>
      <c r="BP516" s="12" t="s">
        <v>12</v>
      </c>
      <c r="BQ516" s="12" t="s">
        <v>13</v>
      </c>
      <c r="BR516" s="13" t="s">
        <v>14</v>
      </c>
      <c r="BS516" s="13" t="s">
        <v>15</v>
      </c>
      <c r="BT516" s="14" t="s">
        <v>16</v>
      </c>
      <c r="BU516" s="109"/>
      <c r="BV516" s="108"/>
      <c r="BW516" s="108"/>
      <c r="BX516" s="108"/>
      <c r="BY516" s="108"/>
      <c r="BZ516" s="108"/>
      <c r="CA516" s="109"/>
      <c r="CB516" s="109"/>
      <c r="CC516" s="109"/>
      <c r="CD516" s="107"/>
      <c r="CE516" s="107"/>
      <c r="CF516" s="107"/>
      <c r="CG516" s="107"/>
      <c r="CH516" s="107"/>
      <c r="CI516" s="107"/>
      <c r="CJ516" s="107"/>
    </row>
    <row r="517">
      <c r="A517" s="60"/>
      <c r="B517" s="16"/>
      <c r="C517" s="17"/>
      <c r="D517" s="18">
        <v>90000.0</v>
      </c>
      <c r="E517" s="20"/>
      <c r="F517" s="20"/>
      <c r="G517" s="21">
        <f t="shared" ref="G517:G540" si="205">SUM(B517)-(B517*15%)+(C517)-(C517*20.8%)+(D517)+(E517)-(E517*0.95%)+(F517)-(F517*15.5%)</f>
        <v>90000</v>
      </c>
      <c r="H517" s="22">
        <f>SUM(B517:F540)</f>
        <v>4653500</v>
      </c>
      <c r="I517" s="21">
        <f>SUM(G517:G540)</f>
        <v>4414967</v>
      </c>
      <c r="J517" s="21">
        <f>SUM(I517)-(I517*97%)</f>
        <v>132449.01</v>
      </c>
      <c r="K517" s="21">
        <f>SUM(I517)-(I517*95%)</f>
        <v>220748.35</v>
      </c>
      <c r="L517" s="23">
        <f>SUM(I517)-(I517*93%)</f>
        <v>309047.69</v>
      </c>
      <c r="M517" s="15"/>
      <c r="N517" s="24"/>
      <c r="O517" s="25"/>
      <c r="P517" s="41"/>
      <c r="Q517" s="46"/>
      <c r="R517" s="145"/>
      <c r="S517" s="21">
        <f t="shared" ref="S517:S540" si="206">SUM(N517)-(N517*15%)+(O517)-(O517*20.8%)+(P517)+(Q517)-(Q517*0.95%)+(R517)-(R517*15.5%)</f>
        <v>0</v>
      </c>
      <c r="T517" s="22">
        <f>SUM(N517:R540)</f>
        <v>0</v>
      </c>
      <c r="U517" s="21">
        <f>SUM(S517:S540)</f>
        <v>0</v>
      </c>
      <c r="V517" s="21">
        <f>SUM(U517)-(U517*97%)</f>
        <v>0</v>
      </c>
      <c r="W517" s="21">
        <f>SUM(U517)-(U517*95%)</f>
        <v>0</v>
      </c>
      <c r="X517" s="23">
        <f>SUM(U517)-(U517*93%)</f>
        <v>0</v>
      </c>
      <c r="Y517" s="60"/>
      <c r="Z517" s="24"/>
      <c r="AA517" s="25"/>
      <c r="AB517" s="18"/>
      <c r="AC517" s="20"/>
      <c r="AD517" s="20"/>
      <c r="AE517" s="21">
        <f t="shared" ref="AE517:AE540" si="207">SUM(Z517)-(Z517*15%)+(AA517)-(AA517*20.8%)+(AB517)+(AC517)-(AC517*0.95%)+(AD517)-(AD517*15.5%)</f>
        <v>0</v>
      </c>
      <c r="AF517" s="22">
        <f>SUM(Z517:AD540)</f>
        <v>0</v>
      </c>
      <c r="AG517" s="21">
        <f>SUM(AE517:AE540)</f>
        <v>0</v>
      </c>
      <c r="AH517" s="21">
        <f>SUM(AG517)-(AG517*97%)</f>
        <v>0</v>
      </c>
      <c r="AI517" s="21">
        <f>SUM(AG517)-(AG517*95%)</f>
        <v>0</v>
      </c>
      <c r="AJ517" s="23">
        <f>SUM(AG517)-(AG517*93%)</f>
        <v>0</v>
      </c>
      <c r="AK517" s="15"/>
      <c r="AL517" s="24"/>
      <c r="AM517" s="25"/>
      <c r="AN517" s="18"/>
      <c r="AO517" s="20"/>
      <c r="AP517" s="20"/>
      <c r="AQ517" s="21">
        <f t="shared" ref="AQ517:AQ540" si="208">SUM(AL517)-(AL517*15%)+(AM517)-(AM517*20.8%)+(AN517)+(AO517)-(AO517*0.95%)+(AP517)-(AP517*15.5%)</f>
        <v>0</v>
      </c>
      <c r="AR517" s="22">
        <f>SUM(AL517:AP540)</f>
        <v>0</v>
      </c>
      <c r="AS517" s="21">
        <f>SUM(AQ517:AQ540)</f>
        <v>0</v>
      </c>
      <c r="AT517" s="21">
        <f>SUM(AS517)-(AS517*97%)</f>
        <v>0</v>
      </c>
      <c r="AU517" s="21">
        <f>SUM(AS517)-(AS517*95%)</f>
        <v>0</v>
      </c>
      <c r="AV517" s="23">
        <f>SUM(AS517)-(AS517*93%)</f>
        <v>0</v>
      </c>
      <c r="AW517" s="15">
        <v>31.0</v>
      </c>
      <c r="AX517" s="24"/>
      <c r="AY517" s="25"/>
      <c r="AZ517" s="18"/>
      <c r="BA517" s="20"/>
      <c r="BB517" s="20"/>
      <c r="BC517" s="21">
        <f t="shared" ref="BC517:BC540" si="209">SUM(AX517)-(AX517*15%)+(AY517)-(AY517*20.8%)+(AZ517)+(BA517)-(BA517*0.95%)+(BB517)-(BB517*15.5%)</f>
        <v>0</v>
      </c>
      <c r="BD517" s="22">
        <f>SUM(AX517:BB540)</f>
        <v>0</v>
      </c>
      <c r="BE517" s="21">
        <f>SUM(BC517:BC540)</f>
        <v>0</v>
      </c>
      <c r="BF517" s="21">
        <f>SUM(BE517)-(BE517*97%)</f>
        <v>0</v>
      </c>
      <c r="BG517" s="21">
        <f>SUM(BE517)-(BE517*95%)</f>
        <v>0</v>
      </c>
      <c r="BH517" s="23">
        <f>SUM(BE517)-(BE517*93%)</f>
        <v>0</v>
      </c>
      <c r="BI517" s="15"/>
      <c r="BJ517" s="24"/>
      <c r="BK517" s="25"/>
      <c r="BL517" s="18"/>
      <c r="BM517" s="20"/>
      <c r="BN517" s="20"/>
      <c r="BO517" s="21">
        <f t="shared" ref="BO517:BO540" si="210">SUM(BJ517)-(BJ517*15%)+(BK517)-(BK517*20.8%)+(BL517)+(BM517)-(BM517*0.95%)+(BN517)-(BN517*15.5%)</f>
        <v>0</v>
      </c>
      <c r="BP517" s="22">
        <f>SUM(BJ517:BN540)</f>
        <v>0</v>
      </c>
      <c r="BQ517" s="21">
        <f>SUM(BO517:BO540)</f>
        <v>0</v>
      </c>
      <c r="BR517" s="21">
        <f>SUM(BQ517)-(BQ517*97%)</f>
        <v>0</v>
      </c>
      <c r="BS517" s="21">
        <f>SUM(BQ517)-(BQ517*95%)</f>
        <v>0</v>
      </c>
      <c r="BT517" s="23">
        <f>SUM(BQ517)-(BQ517*93%)</f>
        <v>0</v>
      </c>
      <c r="BU517" s="110"/>
      <c r="BV517" s="107"/>
      <c r="BW517" s="107"/>
      <c r="BX517" s="107"/>
      <c r="BY517" s="107"/>
      <c r="BZ517" s="107"/>
      <c r="CA517" s="111"/>
      <c r="CB517" s="112"/>
      <c r="CC517" s="111"/>
      <c r="CD517" s="111"/>
      <c r="CE517" s="111"/>
      <c r="CF517" s="111"/>
      <c r="CG517" s="107"/>
      <c r="CH517" s="107"/>
      <c r="CI517" s="107"/>
      <c r="CJ517" s="107"/>
    </row>
    <row r="518">
      <c r="A518" s="60"/>
      <c r="B518" s="27"/>
      <c r="C518" s="17"/>
      <c r="D518" s="28"/>
      <c r="E518" s="20">
        <v>500000.0</v>
      </c>
      <c r="F518" s="30"/>
      <c r="G518" s="21">
        <f t="shared" si="205"/>
        <v>495250</v>
      </c>
      <c r="H518" s="31" t="s">
        <v>20</v>
      </c>
      <c r="I518" s="13"/>
      <c r="J518" s="13" t="s">
        <v>21</v>
      </c>
      <c r="K518" s="13" t="s">
        <v>22</v>
      </c>
      <c r="L518" s="14" t="s">
        <v>23</v>
      </c>
      <c r="M518" s="60"/>
      <c r="N518" s="37"/>
      <c r="O518" s="25"/>
      <c r="P518" s="33"/>
      <c r="Q518" s="30"/>
      <c r="R518" s="30"/>
      <c r="S518" s="21">
        <f t="shared" si="206"/>
        <v>0</v>
      </c>
      <c r="T518" s="31" t="s">
        <v>20</v>
      </c>
      <c r="U518" s="13"/>
      <c r="V518" s="13" t="s">
        <v>21</v>
      </c>
      <c r="W518" s="13" t="s">
        <v>22</v>
      </c>
      <c r="X518" s="14" t="s">
        <v>23</v>
      </c>
      <c r="Y518" s="60"/>
      <c r="Z518" s="32"/>
      <c r="AA518" s="25"/>
      <c r="AB518" s="33"/>
      <c r="AC518" s="30"/>
      <c r="AD518" s="30"/>
      <c r="AE518" s="21">
        <f t="shared" si="207"/>
        <v>0</v>
      </c>
      <c r="AF518" s="31" t="s">
        <v>20</v>
      </c>
      <c r="AG518" s="13"/>
      <c r="AH518" s="13" t="s">
        <v>21</v>
      </c>
      <c r="AI518" s="13" t="s">
        <v>22</v>
      </c>
      <c r="AJ518" s="14" t="s">
        <v>23</v>
      </c>
      <c r="AK518" s="15"/>
      <c r="AL518" s="32"/>
      <c r="AM518" s="25"/>
      <c r="AN518" s="33"/>
      <c r="AO518" s="30"/>
      <c r="AP518" s="30"/>
      <c r="AQ518" s="21">
        <f t="shared" si="208"/>
        <v>0</v>
      </c>
      <c r="AR518" s="31" t="s">
        <v>20</v>
      </c>
      <c r="AS518" s="13"/>
      <c r="AT518" s="13" t="s">
        <v>21</v>
      </c>
      <c r="AU518" s="13" t="s">
        <v>22</v>
      </c>
      <c r="AV518" s="14" t="s">
        <v>23</v>
      </c>
      <c r="AW518" s="60"/>
      <c r="AX518" s="32"/>
      <c r="AY518" s="25"/>
      <c r="AZ518" s="33"/>
      <c r="BA518" s="30"/>
      <c r="BB518" s="30"/>
      <c r="BC518" s="21">
        <f t="shared" si="209"/>
        <v>0</v>
      </c>
      <c r="BD518" s="31" t="s">
        <v>20</v>
      </c>
      <c r="BE518" s="13"/>
      <c r="BF518" s="13" t="s">
        <v>21</v>
      </c>
      <c r="BG518" s="13" t="s">
        <v>22</v>
      </c>
      <c r="BH518" s="14" t="s">
        <v>23</v>
      </c>
      <c r="BI518" s="60"/>
      <c r="BJ518" s="32"/>
      <c r="BK518" s="25"/>
      <c r="BL518" s="33"/>
      <c r="BM518" s="30"/>
      <c r="BN518" s="30"/>
      <c r="BO518" s="21">
        <f t="shared" si="210"/>
        <v>0</v>
      </c>
      <c r="BP518" s="31" t="s">
        <v>20</v>
      </c>
      <c r="BQ518" s="13"/>
      <c r="BR518" s="13" t="s">
        <v>21</v>
      </c>
      <c r="BS518" s="13" t="s">
        <v>22</v>
      </c>
      <c r="BT518" s="14" t="s">
        <v>23</v>
      </c>
      <c r="BU518" s="110"/>
      <c r="BV518" s="107"/>
      <c r="BW518" s="107"/>
      <c r="BX518" s="107"/>
      <c r="BY518" s="107"/>
      <c r="BZ518" s="107"/>
      <c r="CA518" s="111"/>
      <c r="CB518" s="113"/>
      <c r="CC518" s="107"/>
      <c r="CD518" s="107"/>
      <c r="CE518" s="107"/>
      <c r="CF518" s="107"/>
      <c r="CG518" s="107"/>
      <c r="CH518" s="107"/>
      <c r="CI518" s="107"/>
      <c r="CJ518" s="107"/>
    </row>
    <row r="519">
      <c r="A519" s="60"/>
      <c r="B519" s="35"/>
      <c r="C519" s="17"/>
      <c r="D519" s="18"/>
      <c r="E519" s="20">
        <v>90000.0</v>
      </c>
      <c r="F519" s="20"/>
      <c r="G519" s="21">
        <f t="shared" si="205"/>
        <v>89145</v>
      </c>
      <c r="H519" s="36"/>
      <c r="I519" s="13"/>
      <c r="J519" s="21">
        <f t="shared" ref="J519:L519" si="211">SUM(J517)-(J517*10%)</f>
        <v>119204.109</v>
      </c>
      <c r="K519" s="21">
        <f t="shared" si="211"/>
        <v>198673.515</v>
      </c>
      <c r="L519" s="23">
        <f t="shared" si="211"/>
        <v>278142.921</v>
      </c>
      <c r="M519" s="60"/>
      <c r="N519" s="37"/>
      <c r="O519" s="25"/>
      <c r="P519" s="33"/>
      <c r="Q519" s="20"/>
      <c r="R519" s="20"/>
      <c r="S519" s="21">
        <f t="shared" si="206"/>
        <v>0</v>
      </c>
      <c r="T519" s="36"/>
      <c r="U519" s="13"/>
      <c r="V519" s="21">
        <f t="shared" ref="V519:X519" si="212">SUM(V517)-(V517*10%)</f>
        <v>0</v>
      </c>
      <c r="W519" s="21">
        <f t="shared" si="212"/>
        <v>0</v>
      </c>
      <c r="X519" s="23">
        <f t="shared" si="212"/>
        <v>0</v>
      </c>
      <c r="Y519" s="15"/>
      <c r="Z519" s="32"/>
      <c r="AA519" s="25"/>
      <c r="AB519" s="33"/>
      <c r="AC519" s="20"/>
      <c r="AD519" s="20"/>
      <c r="AE519" s="21">
        <f t="shared" si="207"/>
        <v>0</v>
      </c>
      <c r="AF519" s="36"/>
      <c r="AG519" s="13"/>
      <c r="AH519" s="21">
        <f t="shared" ref="AH519:AJ519" si="213">SUM(AH517)-(AH517*10%)</f>
        <v>0</v>
      </c>
      <c r="AI519" s="21">
        <f t="shared" si="213"/>
        <v>0</v>
      </c>
      <c r="AJ519" s="23">
        <f t="shared" si="213"/>
        <v>0</v>
      </c>
      <c r="AK519" s="15"/>
      <c r="AL519" s="37"/>
      <c r="AM519" s="25"/>
      <c r="AN519" s="33"/>
      <c r="AO519" s="20"/>
      <c r="AP519" s="20"/>
      <c r="AQ519" s="21">
        <f t="shared" si="208"/>
        <v>0</v>
      </c>
      <c r="AR519" s="36"/>
      <c r="AS519" s="13"/>
      <c r="AT519" s="21">
        <f t="shared" ref="AT519:AV519" si="214">SUM(AT517)-(AT517*10%)</f>
        <v>0</v>
      </c>
      <c r="AU519" s="21">
        <f t="shared" si="214"/>
        <v>0</v>
      </c>
      <c r="AV519" s="23">
        <f t="shared" si="214"/>
        <v>0</v>
      </c>
      <c r="AW519" s="60"/>
      <c r="AX519" s="32"/>
      <c r="AY519" s="25"/>
      <c r="AZ519" s="33"/>
      <c r="BA519" s="20"/>
      <c r="BB519" s="20"/>
      <c r="BC519" s="21">
        <f t="shared" si="209"/>
        <v>0</v>
      </c>
      <c r="BD519" s="36"/>
      <c r="BE519" s="13"/>
      <c r="BF519" s="21">
        <f t="shared" ref="BF519:BH519" si="215">SUM(BF517)-(BF517*10%)</f>
        <v>0</v>
      </c>
      <c r="BG519" s="21">
        <f t="shared" si="215"/>
        <v>0</v>
      </c>
      <c r="BH519" s="23">
        <f t="shared" si="215"/>
        <v>0</v>
      </c>
      <c r="BI519" s="60"/>
      <c r="BJ519" s="32"/>
      <c r="BK519" s="25"/>
      <c r="BL519" s="33"/>
      <c r="BM519" s="20"/>
      <c r="BN519" s="20"/>
      <c r="BO519" s="21">
        <f t="shared" si="210"/>
        <v>0</v>
      </c>
      <c r="BP519" s="36"/>
      <c r="BQ519" s="13"/>
      <c r="BR519" s="21">
        <f t="shared" ref="BR519:BT519" si="216">SUM(BR517)-(BR517*10%)</f>
        <v>0</v>
      </c>
      <c r="BS519" s="21">
        <f t="shared" si="216"/>
        <v>0</v>
      </c>
      <c r="BT519" s="23">
        <f t="shared" si="216"/>
        <v>0</v>
      </c>
      <c r="BU519" s="110"/>
      <c r="BV519" s="107"/>
      <c r="BW519" s="107"/>
      <c r="BX519" s="107"/>
      <c r="BY519" s="107"/>
      <c r="BZ519" s="107"/>
      <c r="CA519" s="111"/>
      <c r="CB519" s="107"/>
      <c r="CC519" s="107"/>
      <c r="CD519" s="111"/>
      <c r="CE519" s="111"/>
      <c r="CF519" s="111"/>
      <c r="CG519" s="107"/>
      <c r="CH519" s="107"/>
      <c r="CI519" s="107"/>
      <c r="CJ519" s="107"/>
    </row>
    <row r="520">
      <c r="A520" s="60"/>
      <c r="B520" s="27"/>
      <c r="C520" s="17"/>
      <c r="D520" s="18"/>
      <c r="E520" s="20"/>
      <c r="F520" s="20">
        <v>454500.0</v>
      </c>
      <c r="G520" s="21">
        <f t="shared" si="205"/>
        <v>384052.5</v>
      </c>
      <c r="H520" s="13"/>
      <c r="I520" s="13"/>
      <c r="J520" s="13"/>
      <c r="K520" s="13"/>
      <c r="L520" s="14"/>
      <c r="M520" s="105"/>
      <c r="N520" s="37"/>
      <c r="O520" s="93"/>
      <c r="P520" s="33"/>
      <c r="Q520" s="20"/>
      <c r="R520" s="20"/>
      <c r="S520" s="21">
        <f t="shared" si="206"/>
        <v>0</v>
      </c>
      <c r="T520" s="13"/>
      <c r="U520" s="13"/>
      <c r="V520" s="13"/>
      <c r="W520" s="13"/>
      <c r="X520" s="14"/>
      <c r="Y520" s="15"/>
      <c r="Z520" s="32"/>
      <c r="AA520" s="93"/>
      <c r="AB520" s="33"/>
      <c r="AC520" s="20"/>
      <c r="AD520" s="20"/>
      <c r="AE520" s="21">
        <f t="shared" si="207"/>
        <v>0</v>
      </c>
      <c r="AF520" s="13"/>
      <c r="AG520" s="13"/>
      <c r="AH520" s="13"/>
      <c r="AI520" s="13"/>
      <c r="AJ520" s="14"/>
      <c r="AK520" s="15"/>
      <c r="AL520" s="32"/>
      <c r="AM520" s="93"/>
      <c r="AN520" s="33"/>
      <c r="AO520" s="20"/>
      <c r="AP520" s="20"/>
      <c r="AQ520" s="21">
        <f t="shared" si="208"/>
        <v>0</v>
      </c>
      <c r="AR520" s="13"/>
      <c r="AS520" s="13"/>
      <c r="AT520" s="13"/>
      <c r="AU520" s="13"/>
      <c r="AV520" s="14"/>
      <c r="AW520" s="60"/>
      <c r="AX520" s="32"/>
      <c r="AY520" s="93"/>
      <c r="AZ520" s="33"/>
      <c r="BA520" s="20"/>
      <c r="BB520" s="20"/>
      <c r="BC520" s="21">
        <f t="shared" si="209"/>
        <v>0</v>
      </c>
      <c r="BD520" s="13"/>
      <c r="BE520" s="13"/>
      <c r="BF520" s="13"/>
      <c r="BG520" s="13"/>
      <c r="BH520" s="14"/>
      <c r="BI520" s="60"/>
      <c r="BJ520" s="32"/>
      <c r="BK520" s="93"/>
      <c r="BL520" s="33"/>
      <c r="BM520" s="20"/>
      <c r="BN520" s="20"/>
      <c r="BO520" s="21">
        <f t="shared" si="210"/>
        <v>0</v>
      </c>
      <c r="BP520" s="13"/>
      <c r="BQ520" s="13"/>
      <c r="BR520" s="13"/>
      <c r="BS520" s="13"/>
      <c r="BT520" s="14"/>
      <c r="BU520" s="110"/>
      <c r="BV520" s="107"/>
      <c r="BW520" s="107"/>
      <c r="BX520" s="107"/>
      <c r="BY520" s="107"/>
      <c r="BZ520" s="107"/>
      <c r="CA520" s="111"/>
      <c r="CB520" s="107"/>
      <c r="CC520" s="107"/>
      <c r="CD520" s="107"/>
      <c r="CE520" s="107"/>
      <c r="CF520" s="107"/>
      <c r="CG520" s="107"/>
      <c r="CH520" s="107"/>
      <c r="CI520" s="107"/>
      <c r="CJ520" s="107"/>
    </row>
    <row r="521">
      <c r="A521" s="60"/>
      <c r="B521" s="35"/>
      <c r="C521" s="17"/>
      <c r="D521" s="18"/>
      <c r="E521" s="20">
        <v>1000000.0</v>
      </c>
      <c r="F521" s="20"/>
      <c r="G521" s="21">
        <f t="shared" si="205"/>
        <v>990500</v>
      </c>
      <c r="H521" s="13"/>
      <c r="I521" s="13"/>
      <c r="J521" s="13"/>
      <c r="K521" s="13"/>
      <c r="L521" s="14"/>
      <c r="M521" s="105"/>
      <c r="N521" s="20"/>
      <c r="O521" s="25"/>
      <c r="P521" s="33"/>
      <c r="Q521" s="20"/>
      <c r="R521" s="20"/>
      <c r="S521" s="21">
        <f t="shared" si="206"/>
        <v>0</v>
      </c>
      <c r="T521" s="13"/>
      <c r="U521" s="13"/>
      <c r="V521" s="13"/>
      <c r="W521" s="13"/>
      <c r="X521" s="14"/>
      <c r="Y521" s="60"/>
      <c r="Z521" s="32"/>
      <c r="AA521" s="25"/>
      <c r="AB521" s="33"/>
      <c r="AC521" s="20"/>
      <c r="AD521" s="20"/>
      <c r="AE521" s="21">
        <f t="shared" si="207"/>
        <v>0</v>
      </c>
      <c r="AF521" s="13"/>
      <c r="AG521" s="13"/>
      <c r="AH521" s="13"/>
      <c r="AI521" s="13"/>
      <c r="AJ521" s="14"/>
      <c r="AK521" s="15"/>
      <c r="AL521" s="32"/>
      <c r="AM521" s="25"/>
      <c r="AN521" s="33"/>
      <c r="AO521" s="20"/>
      <c r="AP521" s="20"/>
      <c r="AQ521" s="21">
        <f t="shared" si="208"/>
        <v>0</v>
      </c>
      <c r="AR521" s="13"/>
      <c r="AS521" s="13"/>
      <c r="AT521" s="13"/>
      <c r="AU521" s="13"/>
      <c r="AV521" s="14"/>
      <c r="AW521" s="60"/>
      <c r="AX521" s="32"/>
      <c r="AY521" s="25"/>
      <c r="AZ521" s="33"/>
      <c r="BA521" s="20"/>
      <c r="BB521" s="20"/>
      <c r="BC521" s="21">
        <f t="shared" si="209"/>
        <v>0</v>
      </c>
      <c r="BD521" s="13"/>
      <c r="BE521" s="13"/>
      <c r="BF521" s="13"/>
      <c r="BG521" s="13"/>
      <c r="BH521" s="14"/>
      <c r="BI521" s="60"/>
      <c r="BJ521" s="32"/>
      <c r="BK521" s="25"/>
      <c r="BL521" s="33"/>
      <c r="BM521" s="20"/>
      <c r="BN521" s="20"/>
      <c r="BO521" s="21">
        <f t="shared" si="210"/>
        <v>0</v>
      </c>
      <c r="BP521" s="13"/>
      <c r="BQ521" s="13"/>
      <c r="BR521" s="13"/>
      <c r="BS521" s="13"/>
      <c r="BT521" s="14"/>
      <c r="BU521" s="110"/>
      <c r="BV521" s="107"/>
      <c r="BW521" s="107"/>
      <c r="BX521" s="107"/>
      <c r="BY521" s="107"/>
      <c r="BZ521" s="107"/>
      <c r="CA521" s="111"/>
      <c r="CB521" s="107"/>
      <c r="CC521" s="107"/>
      <c r="CD521" s="107"/>
      <c r="CE521" s="107"/>
      <c r="CF521" s="107"/>
      <c r="CG521" s="107"/>
      <c r="CH521" s="107"/>
      <c r="CI521" s="107"/>
      <c r="CJ521" s="107"/>
    </row>
    <row r="522">
      <c r="A522" s="60"/>
      <c r="B522" s="39"/>
      <c r="C522" s="43"/>
      <c r="D522" s="18"/>
      <c r="E522" s="20">
        <v>120000.0</v>
      </c>
      <c r="F522" s="20"/>
      <c r="G522" s="21">
        <f t="shared" si="205"/>
        <v>118860</v>
      </c>
      <c r="H522" s="13"/>
      <c r="I522" s="13"/>
      <c r="J522" s="13"/>
      <c r="K522" s="13">
        <f>H524-AD517-AC518</f>
        <v>4414967</v>
      </c>
      <c r="L522" s="14"/>
      <c r="M522" s="105"/>
      <c r="N522" s="32"/>
      <c r="O522" s="93"/>
      <c r="P522" s="33"/>
      <c r="Q522" s="20"/>
      <c r="R522" s="20"/>
      <c r="S522" s="21">
        <f t="shared" si="206"/>
        <v>0</v>
      </c>
      <c r="T522" s="13"/>
      <c r="U522" s="13"/>
      <c r="V522" s="13"/>
      <c r="W522" s="13"/>
      <c r="X522" s="14"/>
      <c r="Y522" s="60"/>
      <c r="Z522" s="32"/>
      <c r="AA522" s="25"/>
      <c r="AB522" s="33"/>
      <c r="AC522" s="20"/>
      <c r="AD522" s="20"/>
      <c r="AE522" s="21">
        <f t="shared" si="207"/>
        <v>0</v>
      </c>
      <c r="AF522" s="13"/>
      <c r="AG522" s="13"/>
      <c r="AH522" s="13"/>
      <c r="AI522" s="13"/>
      <c r="AJ522" s="14"/>
      <c r="AK522" s="15"/>
      <c r="AL522" s="32"/>
      <c r="AM522" s="25"/>
      <c r="AN522" s="33"/>
      <c r="AO522" s="20"/>
      <c r="AP522" s="20"/>
      <c r="AQ522" s="21">
        <f t="shared" si="208"/>
        <v>0</v>
      </c>
      <c r="AR522" s="13"/>
      <c r="AS522" s="13"/>
      <c r="AT522" s="13"/>
      <c r="AU522" s="13"/>
      <c r="AV522" s="14"/>
      <c r="AW522" s="60"/>
      <c r="AX522" s="32"/>
      <c r="AY522" s="25"/>
      <c r="AZ522" s="33"/>
      <c r="BA522" s="20"/>
      <c r="BB522" s="20"/>
      <c r="BC522" s="21">
        <f t="shared" si="209"/>
        <v>0</v>
      </c>
      <c r="BD522" s="13"/>
      <c r="BE522" s="13"/>
      <c r="BF522" s="13"/>
      <c r="BG522" s="13"/>
      <c r="BH522" s="14"/>
      <c r="BI522" s="60"/>
      <c r="BJ522" s="32"/>
      <c r="BK522" s="25"/>
      <c r="BL522" s="33"/>
      <c r="BM522" s="20"/>
      <c r="BN522" s="20"/>
      <c r="BO522" s="21">
        <f t="shared" si="210"/>
        <v>0</v>
      </c>
      <c r="BP522" s="13"/>
      <c r="BQ522" s="13"/>
      <c r="BR522" s="13"/>
      <c r="BS522" s="13"/>
      <c r="BT522" s="14"/>
      <c r="BU522" s="110"/>
      <c r="BV522" s="107"/>
      <c r="BW522" s="107"/>
      <c r="BX522" s="107"/>
      <c r="BY522" s="107"/>
      <c r="BZ522" s="107"/>
      <c r="CA522" s="111"/>
      <c r="CB522" s="107"/>
      <c r="CC522" s="107"/>
      <c r="CD522" s="107"/>
      <c r="CE522" s="107"/>
      <c r="CF522" s="107"/>
      <c r="CG522" s="107"/>
      <c r="CH522" s="107"/>
      <c r="CI522" s="107"/>
      <c r="CJ522" s="107"/>
    </row>
    <row r="523">
      <c r="A523" s="60"/>
      <c r="B523" s="35"/>
      <c r="C523" s="17"/>
      <c r="D523" s="18"/>
      <c r="E523" s="20">
        <v>850000.0</v>
      </c>
      <c r="F523" s="20"/>
      <c r="G523" s="21">
        <f t="shared" si="205"/>
        <v>841925</v>
      </c>
      <c r="H523" s="94" t="s">
        <v>13</v>
      </c>
      <c r="I523" s="86" t="s">
        <v>57</v>
      </c>
      <c r="J523" s="86" t="s">
        <v>57</v>
      </c>
      <c r="K523" s="86" t="s">
        <v>65</v>
      </c>
      <c r="L523" s="95"/>
      <c r="M523" s="105"/>
      <c r="N523" s="37"/>
      <c r="O523" s="25"/>
      <c r="P523" s="33"/>
      <c r="Q523" s="20"/>
      <c r="R523" s="20"/>
      <c r="S523" s="21">
        <f t="shared" si="206"/>
        <v>0</v>
      </c>
      <c r="T523" s="13"/>
      <c r="U523" s="13"/>
      <c r="V523" s="13"/>
      <c r="W523" s="13"/>
      <c r="X523" s="14"/>
      <c r="Y523" s="38"/>
      <c r="Z523" s="32"/>
      <c r="AA523" s="25"/>
      <c r="AB523" s="33"/>
      <c r="AC523" s="20"/>
      <c r="AD523" s="20"/>
      <c r="AE523" s="21">
        <f t="shared" si="207"/>
        <v>0</v>
      </c>
      <c r="AF523" s="13"/>
      <c r="AG523" s="13"/>
      <c r="AH523" s="13"/>
      <c r="AI523" s="13"/>
      <c r="AJ523" s="14"/>
      <c r="AK523" s="15"/>
      <c r="AL523" s="32"/>
      <c r="AM523" s="25"/>
      <c r="AN523" s="33"/>
      <c r="AO523" s="20"/>
      <c r="AP523" s="20"/>
      <c r="AQ523" s="21">
        <f t="shared" si="208"/>
        <v>0</v>
      </c>
      <c r="AR523" s="13"/>
      <c r="AS523" s="13"/>
      <c r="AT523" s="13"/>
      <c r="AU523" s="13"/>
      <c r="AV523" s="14"/>
      <c r="AW523" s="38"/>
      <c r="AX523" s="32"/>
      <c r="AY523" s="25"/>
      <c r="AZ523" s="33"/>
      <c r="BA523" s="20"/>
      <c r="BB523" s="20"/>
      <c r="BC523" s="21">
        <f t="shared" si="209"/>
        <v>0</v>
      </c>
      <c r="BD523" s="13"/>
      <c r="BE523" s="13"/>
      <c r="BF523" s="13"/>
      <c r="BG523" s="13"/>
      <c r="BH523" s="14"/>
      <c r="BI523" s="38"/>
      <c r="BJ523" s="32"/>
      <c r="BK523" s="25"/>
      <c r="BL523" s="33"/>
      <c r="BM523" s="20"/>
      <c r="BN523" s="20"/>
      <c r="BO523" s="21">
        <f t="shared" si="210"/>
        <v>0</v>
      </c>
      <c r="BP523" s="13"/>
      <c r="BQ523" s="13"/>
      <c r="BR523" s="13"/>
      <c r="BS523" s="13"/>
      <c r="BT523" s="14"/>
      <c r="BU523" s="110"/>
      <c r="BV523" s="107"/>
      <c r="BW523" s="107"/>
      <c r="BX523" s="107"/>
      <c r="BY523" s="107"/>
      <c r="BZ523" s="107"/>
      <c r="CA523" s="111"/>
      <c r="CB523" s="107"/>
      <c r="CC523" s="107"/>
      <c r="CD523" s="107"/>
      <c r="CE523" s="107"/>
      <c r="CF523" s="107"/>
      <c r="CG523" s="107"/>
      <c r="CH523" s="107"/>
      <c r="CI523" s="107"/>
      <c r="CJ523" s="107"/>
    </row>
    <row r="524">
      <c r="A524" s="15"/>
      <c r="B524" s="16"/>
      <c r="C524" s="17"/>
      <c r="D524" s="28"/>
      <c r="E524" s="30">
        <v>155500.0</v>
      </c>
      <c r="F524" s="30"/>
      <c r="G524" s="21">
        <f t="shared" si="205"/>
        <v>154022.75</v>
      </c>
      <c r="H524" s="95">
        <f>AG517+I517+U517+AS517+BE517+BQ517+CC517</f>
        <v>4414967</v>
      </c>
      <c r="I524" s="102" t="s">
        <v>52</v>
      </c>
      <c r="J524" s="102" t="s">
        <v>44</v>
      </c>
      <c r="K524" s="102" t="s">
        <v>52</v>
      </c>
      <c r="L524" s="102" t="s">
        <v>44</v>
      </c>
      <c r="M524" s="105"/>
      <c r="N524" s="37"/>
      <c r="O524" s="25"/>
      <c r="P524" s="41"/>
      <c r="Q524" s="20"/>
      <c r="R524" s="20"/>
      <c r="S524" s="21">
        <f t="shared" si="206"/>
        <v>0</v>
      </c>
      <c r="T524" s="67"/>
      <c r="U524" s="67"/>
      <c r="V524" s="67"/>
      <c r="W524" s="13"/>
      <c r="X524" s="14"/>
      <c r="Y524" s="38"/>
      <c r="Z524" s="37"/>
      <c r="AA524" s="25"/>
      <c r="AB524" s="41"/>
      <c r="AC524" s="20"/>
      <c r="AD524" s="20"/>
      <c r="AE524" s="21">
        <f t="shared" si="207"/>
        <v>0</v>
      </c>
      <c r="AF524" s="13"/>
      <c r="AG524" s="13"/>
      <c r="AH524" s="13"/>
      <c r="AI524" s="13"/>
      <c r="AJ524" s="14"/>
      <c r="AK524" s="15"/>
      <c r="AL524" s="37"/>
      <c r="AM524" s="25"/>
      <c r="AN524" s="41"/>
      <c r="AO524" s="20"/>
      <c r="AP524" s="20"/>
      <c r="AQ524" s="21">
        <f t="shared" si="208"/>
        <v>0</v>
      </c>
      <c r="AR524" s="13"/>
      <c r="AS524" s="13"/>
      <c r="AT524" s="13"/>
      <c r="AU524" s="13"/>
      <c r="AV524" s="14"/>
      <c r="AW524" s="38"/>
      <c r="AX524" s="37"/>
      <c r="AY524" s="25"/>
      <c r="AZ524" s="41"/>
      <c r="BA524" s="20"/>
      <c r="BB524" s="20"/>
      <c r="BC524" s="21">
        <f t="shared" si="209"/>
        <v>0</v>
      </c>
      <c r="BD524" s="13"/>
      <c r="BE524" s="13"/>
      <c r="BF524" s="13"/>
      <c r="BG524" s="13"/>
      <c r="BH524" s="14"/>
      <c r="BI524" s="38"/>
      <c r="BJ524" s="37"/>
      <c r="BK524" s="25"/>
      <c r="BL524" s="41"/>
      <c r="BM524" s="20"/>
      <c r="BN524" s="20"/>
      <c r="BO524" s="21">
        <f t="shared" si="210"/>
        <v>0</v>
      </c>
      <c r="BP524" s="13"/>
      <c r="BQ524" s="13"/>
      <c r="BR524" s="13"/>
      <c r="BS524" s="13"/>
      <c r="BT524" s="14"/>
      <c r="BU524" s="107"/>
      <c r="BV524" s="107"/>
      <c r="BW524" s="107"/>
      <c r="BX524" s="107"/>
      <c r="BY524" s="107"/>
      <c r="BZ524" s="107"/>
      <c r="CA524" s="111"/>
      <c r="CB524" s="107"/>
      <c r="CC524" s="107"/>
      <c r="CD524" s="107"/>
      <c r="CE524" s="107"/>
      <c r="CF524" s="107"/>
      <c r="CG524" s="107"/>
      <c r="CH524" s="107"/>
      <c r="CI524" s="107"/>
      <c r="CJ524" s="107"/>
    </row>
    <row r="525">
      <c r="A525" s="60"/>
      <c r="B525" s="35"/>
      <c r="C525" s="17"/>
      <c r="D525" s="18"/>
      <c r="E525" s="20">
        <v>10000.0</v>
      </c>
      <c r="F525" s="20"/>
      <c r="G525" s="21">
        <f t="shared" si="205"/>
        <v>9905</v>
      </c>
      <c r="H525" s="95"/>
      <c r="I525" s="115">
        <f>SUM(H524)-(H524*99%)</f>
        <v>44149.67</v>
      </c>
      <c r="J525" s="87">
        <f>SUM(H524)-(H524*98.5%)</f>
        <v>66224.505</v>
      </c>
      <c r="K525" s="87">
        <f>SUM(K522)-(K522*99%)</f>
        <v>44149.67</v>
      </c>
      <c r="L525" s="87">
        <f>SUM(K522)-(K522*98.5%)</f>
        <v>66224.505</v>
      </c>
      <c r="M525" s="15"/>
      <c r="N525" s="24"/>
      <c r="O525" s="25"/>
      <c r="P525" s="41"/>
      <c r="Q525" s="30"/>
      <c r="R525" s="20"/>
      <c r="S525" s="21">
        <f t="shared" si="206"/>
        <v>0</v>
      </c>
      <c r="T525" s="13"/>
      <c r="U525" s="13"/>
      <c r="V525" s="13"/>
      <c r="W525" s="13"/>
      <c r="X525" s="14"/>
      <c r="Y525" s="38"/>
      <c r="Z525" s="24"/>
      <c r="AA525" s="25"/>
      <c r="AB525" s="41"/>
      <c r="AC525" s="30"/>
      <c r="AD525" s="30"/>
      <c r="AE525" s="21">
        <f t="shared" si="207"/>
        <v>0</v>
      </c>
      <c r="AF525" s="13"/>
      <c r="AG525" s="13"/>
      <c r="AH525" s="13"/>
      <c r="AI525" s="13"/>
      <c r="AJ525" s="14"/>
      <c r="AK525" s="38"/>
      <c r="AL525" s="24"/>
      <c r="AM525" s="25"/>
      <c r="AN525" s="41"/>
      <c r="AO525" s="30"/>
      <c r="AP525" s="30"/>
      <c r="AQ525" s="21">
        <f t="shared" si="208"/>
        <v>0</v>
      </c>
      <c r="AR525" s="13"/>
      <c r="AS525" s="13"/>
      <c r="AT525" s="13"/>
      <c r="AU525" s="13"/>
      <c r="AV525" s="14"/>
      <c r="AW525" s="38"/>
      <c r="AX525" s="24"/>
      <c r="AY525" s="25"/>
      <c r="AZ525" s="41"/>
      <c r="BA525" s="30"/>
      <c r="BB525" s="30"/>
      <c r="BC525" s="21">
        <f t="shared" si="209"/>
        <v>0</v>
      </c>
      <c r="BD525" s="67"/>
      <c r="BE525" s="67"/>
      <c r="BF525" s="13"/>
      <c r="BG525" s="13"/>
      <c r="BH525" s="14"/>
      <c r="BI525" s="38"/>
      <c r="BJ525" s="24"/>
      <c r="BK525" s="25"/>
      <c r="BL525" s="41"/>
      <c r="BM525" s="30"/>
      <c r="BN525" s="30"/>
      <c r="BO525" s="21">
        <f t="shared" si="210"/>
        <v>0</v>
      </c>
      <c r="BP525" s="13"/>
      <c r="BQ525" s="13"/>
      <c r="BR525" s="13"/>
      <c r="BS525" s="13"/>
      <c r="BT525" s="14"/>
      <c r="BU525" s="107"/>
      <c r="BV525" s="107"/>
      <c r="BW525" s="107"/>
      <c r="BX525" s="107"/>
      <c r="BY525" s="107"/>
      <c r="BZ525" s="107"/>
      <c r="CA525" s="111"/>
      <c r="CB525" s="107"/>
      <c r="CC525" s="107"/>
      <c r="CD525" s="107"/>
      <c r="CE525" s="107"/>
      <c r="CF525" s="107"/>
      <c r="CG525" s="107"/>
      <c r="CH525" s="107"/>
      <c r="CI525" s="107"/>
      <c r="CJ525" s="107"/>
    </row>
    <row r="526">
      <c r="A526" s="60"/>
      <c r="B526" s="24"/>
      <c r="C526" s="25"/>
      <c r="D526" s="33">
        <v>200000.0</v>
      </c>
      <c r="E526" s="46"/>
      <c r="F526" s="46"/>
      <c r="G526" s="21">
        <f t="shared" si="205"/>
        <v>200000</v>
      </c>
      <c r="H526" s="95"/>
      <c r="I526" s="86" t="s">
        <v>53</v>
      </c>
      <c r="J526" s="86" t="s">
        <v>36</v>
      </c>
      <c r="K526" s="86" t="s">
        <v>53</v>
      </c>
      <c r="L526" s="86" t="s">
        <v>36</v>
      </c>
      <c r="M526" s="15"/>
      <c r="N526" s="37"/>
      <c r="O526" s="25"/>
      <c r="P526" s="33"/>
      <c r="Q526" s="20"/>
      <c r="R526" s="20"/>
      <c r="S526" s="21">
        <f t="shared" si="206"/>
        <v>0</v>
      </c>
      <c r="T526" s="13"/>
      <c r="U526" s="13"/>
      <c r="V526" s="13"/>
      <c r="W526" s="13"/>
      <c r="X526" s="14"/>
      <c r="Y526" s="38"/>
      <c r="Z526" s="37"/>
      <c r="AA526" s="25"/>
      <c r="AB526" s="41"/>
      <c r="AC526" s="20"/>
      <c r="AD526" s="20"/>
      <c r="AE526" s="21">
        <f t="shared" si="207"/>
        <v>0</v>
      </c>
      <c r="AF526" s="13"/>
      <c r="AG526" s="13"/>
      <c r="AH526" s="13"/>
      <c r="AI526" s="13"/>
      <c r="AJ526" s="14"/>
      <c r="AK526" s="38"/>
      <c r="AL526" s="37"/>
      <c r="AM526" s="25"/>
      <c r="AN526" s="41"/>
      <c r="AO526" s="20"/>
      <c r="AP526" s="20"/>
      <c r="AQ526" s="21">
        <f t="shared" si="208"/>
        <v>0</v>
      </c>
      <c r="AR526" s="13"/>
      <c r="AS526" s="13"/>
      <c r="AT526" s="13"/>
      <c r="AU526" s="13"/>
      <c r="AV526" s="14"/>
      <c r="AW526" s="38"/>
      <c r="AX526" s="37"/>
      <c r="AY526" s="25"/>
      <c r="AZ526" s="41"/>
      <c r="BA526" s="20"/>
      <c r="BB526" s="20"/>
      <c r="BC526" s="21">
        <f t="shared" si="209"/>
        <v>0</v>
      </c>
      <c r="BD526" s="13"/>
      <c r="BE526" s="13"/>
      <c r="BF526" s="13"/>
      <c r="BG526" s="13"/>
      <c r="BH526" s="14"/>
      <c r="BI526" s="38"/>
      <c r="BJ526" s="37"/>
      <c r="BK526" s="25"/>
      <c r="BL526" s="41"/>
      <c r="BM526" s="20"/>
      <c r="BN526" s="20"/>
      <c r="BO526" s="21">
        <f t="shared" si="210"/>
        <v>0</v>
      </c>
      <c r="BP526" s="13"/>
      <c r="BQ526" s="13"/>
      <c r="BR526" s="13"/>
      <c r="BS526" s="13"/>
      <c r="BT526" s="14"/>
      <c r="BU526" s="107"/>
      <c r="BV526" s="107"/>
      <c r="BW526" s="107"/>
      <c r="BX526" s="107"/>
      <c r="BY526" s="107"/>
      <c r="BZ526" s="107"/>
      <c r="CA526" s="111"/>
      <c r="CB526" s="107"/>
      <c r="CC526" s="107"/>
      <c r="CD526" s="107"/>
      <c r="CE526" s="107"/>
      <c r="CF526" s="107"/>
      <c r="CG526" s="107"/>
      <c r="CH526" s="107"/>
      <c r="CI526" s="107"/>
      <c r="CJ526" s="107"/>
    </row>
    <row r="527">
      <c r="A527" s="60"/>
      <c r="B527" s="47"/>
      <c r="C527" s="25"/>
      <c r="D527" s="33"/>
      <c r="E527" s="46">
        <v>90000.0</v>
      </c>
      <c r="F527" s="46"/>
      <c r="G527" s="21">
        <f t="shared" si="205"/>
        <v>89145</v>
      </c>
      <c r="H527" s="94" t="s">
        <v>12</v>
      </c>
      <c r="I527" s="87">
        <f t="shared" ref="I527:L527" si="217">SUM(I525)-(I525*10%)</f>
        <v>39734.703</v>
      </c>
      <c r="J527" s="87">
        <f t="shared" si="217"/>
        <v>59602.0545</v>
      </c>
      <c r="K527" s="87">
        <f t="shared" si="217"/>
        <v>39734.703</v>
      </c>
      <c r="L527" s="87">
        <f t="shared" si="217"/>
        <v>59602.0545</v>
      </c>
      <c r="M527" s="15"/>
      <c r="N527" s="24"/>
      <c r="O527" s="25"/>
      <c r="P527" s="41"/>
      <c r="Q527" s="46"/>
      <c r="R527" s="46"/>
      <c r="S527" s="21">
        <f t="shared" si="206"/>
        <v>0</v>
      </c>
      <c r="T527" s="13"/>
      <c r="U527" s="13"/>
      <c r="V527" s="13"/>
      <c r="W527" s="13"/>
      <c r="X527" s="14"/>
      <c r="Y527" s="38"/>
      <c r="Z527" s="24"/>
      <c r="AA527" s="25"/>
      <c r="AB527" s="41"/>
      <c r="AC527" s="46"/>
      <c r="AD527" s="46"/>
      <c r="AE527" s="21">
        <f t="shared" si="207"/>
        <v>0</v>
      </c>
      <c r="AF527" s="13"/>
      <c r="AG527" s="13"/>
      <c r="AH527" s="13"/>
      <c r="AI527" s="13"/>
      <c r="AJ527" s="14"/>
      <c r="AK527" s="38"/>
      <c r="AL527" s="24"/>
      <c r="AM527" s="25"/>
      <c r="AN527" s="41"/>
      <c r="AO527" s="46"/>
      <c r="AP527" s="46"/>
      <c r="AQ527" s="21">
        <f t="shared" si="208"/>
        <v>0</v>
      </c>
      <c r="AR527" s="13"/>
      <c r="AS527" s="13"/>
      <c r="AT527" s="13"/>
      <c r="AU527" s="13"/>
      <c r="AV527" s="14"/>
      <c r="AW527" s="38"/>
      <c r="AX527" s="24"/>
      <c r="AY527" s="25"/>
      <c r="AZ527" s="41"/>
      <c r="BA527" s="46"/>
      <c r="BB527" s="46"/>
      <c r="BC527" s="21">
        <f t="shared" si="209"/>
        <v>0</v>
      </c>
      <c r="BD527" s="13"/>
      <c r="BE527" s="13"/>
      <c r="BF527" s="13"/>
      <c r="BG527" s="13"/>
      <c r="BH527" s="14"/>
      <c r="BI527" s="38"/>
      <c r="BJ527" s="24"/>
      <c r="BK527" s="25"/>
      <c r="BL527" s="41"/>
      <c r="BM527" s="46"/>
      <c r="BN527" s="46"/>
      <c r="BO527" s="21">
        <f t="shared" si="210"/>
        <v>0</v>
      </c>
      <c r="BP527" s="13"/>
      <c r="BQ527" s="13"/>
      <c r="BR527" s="13"/>
      <c r="BS527" s="13"/>
      <c r="BT527" s="14"/>
      <c r="BU527" s="107"/>
      <c r="BV527" s="107"/>
      <c r="BW527" s="107"/>
      <c r="BX527" s="107"/>
      <c r="BY527" s="107"/>
      <c r="BZ527" s="107"/>
      <c r="CA527" s="111"/>
      <c r="CB527" s="107"/>
      <c r="CC527" s="107"/>
      <c r="CD527" s="107"/>
      <c r="CE527" s="107"/>
      <c r="CF527" s="107"/>
      <c r="CG527" s="107"/>
      <c r="CH527" s="107"/>
      <c r="CI527" s="107"/>
      <c r="CJ527" s="107"/>
    </row>
    <row r="528">
      <c r="A528" s="105"/>
      <c r="B528" s="47"/>
      <c r="C528" s="25"/>
      <c r="D528" s="33"/>
      <c r="E528" s="46">
        <v>90000.0</v>
      </c>
      <c r="F528" s="46"/>
      <c r="G528" s="21">
        <f t="shared" si="205"/>
        <v>89145</v>
      </c>
      <c r="H528" s="95">
        <f>H517+T517+AF517+AR517+BD517+BP517+CB517</f>
        <v>4653500</v>
      </c>
      <c r="I528" s="95"/>
      <c r="J528" s="95"/>
      <c r="K528" s="86" t="s">
        <v>66</v>
      </c>
      <c r="L528" s="95"/>
      <c r="M528" s="38"/>
      <c r="N528" s="47"/>
      <c r="O528" s="25"/>
      <c r="P528" s="41"/>
      <c r="Q528" s="46"/>
      <c r="R528" s="46"/>
      <c r="S528" s="21">
        <f t="shared" si="206"/>
        <v>0</v>
      </c>
      <c r="T528" s="13"/>
      <c r="U528" s="13"/>
      <c r="V528" s="13"/>
      <c r="W528" s="13"/>
      <c r="X528" s="14"/>
      <c r="Y528" s="38"/>
      <c r="Z528" s="47"/>
      <c r="AA528" s="25"/>
      <c r="AB528" s="41"/>
      <c r="AC528" s="46"/>
      <c r="AD528" s="46"/>
      <c r="AE528" s="21">
        <f t="shared" si="207"/>
        <v>0</v>
      </c>
      <c r="AF528" s="13"/>
      <c r="AG528" s="13"/>
      <c r="AH528" s="13"/>
      <c r="AI528" s="13"/>
      <c r="AJ528" s="14"/>
      <c r="AK528" s="38"/>
      <c r="AL528" s="47"/>
      <c r="AM528" s="25"/>
      <c r="AN528" s="41"/>
      <c r="AO528" s="46"/>
      <c r="AP528" s="46"/>
      <c r="AQ528" s="21">
        <f t="shared" si="208"/>
        <v>0</v>
      </c>
      <c r="AR528" s="13"/>
      <c r="AS528" s="13"/>
      <c r="AT528" s="13"/>
      <c r="AU528" s="13"/>
      <c r="AV528" s="14"/>
      <c r="AW528" s="38"/>
      <c r="AX528" s="47"/>
      <c r="AY528" s="25"/>
      <c r="AZ528" s="41"/>
      <c r="BA528" s="46"/>
      <c r="BB528" s="46"/>
      <c r="BC528" s="21">
        <f t="shared" si="209"/>
        <v>0</v>
      </c>
      <c r="BD528" s="13"/>
      <c r="BE528" s="13"/>
      <c r="BF528" s="13"/>
      <c r="BG528" s="13"/>
      <c r="BH528" s="14"/>
      <c r="BI528" s="38"/>
      <c r="BJ528" s="47"/>
      <c r="BK528" s="25"/>
      <c r="BL528" s="41"/>
      <c r="BM528" s="46"/>
      <c r="BN528" s="46"/>
      <c r="BO528" s="21">
        <f t="shared" si="210"/>
        <v>0</v>
      </c>
      <c r="BP528" s="13"/>
      <c r="BQ528" s="13"/>
      <c r="BR528" s="13"/>
      <c r="BS528" s="13"/>
      <c r="BT528" s="14"/>
      <c r="BU528" s="107"/>
      <c r="BV528" s="107"/>
      <c r="BW528" s="107"/>
      <c r="BX528" s="107"/>
      <c r="BY528" s="107"/>
      <c r="BZ528" s="107"/>
      <c r="CA528" s="111"/>
      <c r="CB528" s="107"/>
      <c r="CC528" s="107"/>
      <c r="CD528" s="107"/>
      <c r="CE528" s="107"/>
      <c r="CF528" s="107"/>
      <c r="CG528" s="107"/>
      <c r="CH528" s="107"/>
      <c r="CI528" s="107"/>
      <c r="CJ528" s="107"/>
    </row>
    <row r="529">
      <c r="A529" s="105"/>
      <c r="B529" s="32"/>
      <c r="C529" s="25"/>
      <c r="D529" s="41"/>
      <c r="E529" s="46">
        <v>96000.0</v>
      </c>
      <c r="F529" s="46"/>
      <c r="G529" s="21">
        <f t="shared" si="205"/>
        <v>95088</v>
      </c>
      <c r="H529" s="95"/>
      <c r="I529" s="95"/>
      <c r="J529" s="95"/>
      <c r="K529" s="86">
        <f>J519+K527</f>
        <v>158938.812</v>
      </c>
      <c r="L529" s="95"/>
      <c r="M529" s="38"/>
      <c r="N529" s="32"/>
      <c r="O529" s="25"/>
      <c r="P529" s="41"/>
      <c r="Q529" s="46"/>
      <c r="R529" s="46"/>
      <c r="S529" s="21">
        <f t="shared" si="206"/>
        <v>0</v>
      </c>
      <c r="T529" s="13"/>
      <c r="U529" s="13"/>
      <c r="V529" s="13"/>
      <c r="W529" s="13"/>
      <c r="X529" s="14"/>
      <c r="Y529" s="38"/>
      <c r="Z529" s="32"/>
      <c r="AA529" s="25"/>
      <c r="AB529" s="41"/>
      <c r="AC529" s="46"/>
      <c r="AD529" s="46"/>
      <c r="AE529" s="21">
        <f t="shared" si="207"/>
        <v>0</v>
      </c>
      <c r="AF529" s="13"/>
      <c r="AG529" s="13"/>
      <c r="AH529" s="13"/>
      <c r="AI529" s="13"/>
      <c r="AJ529" s="14"/>
      <c r="AK529" s="38"/>
      <c r="AL529" s="32"/>
      <c r="AM529" s="25"/>
      <c r="AN529" s="41"/>
      <c r="AO529" s="46"/>
      <c r="AP529" s="46"/>
      <c r="AQ529" s="21">
        <f t="shared" si="208"/>
        <v>0</v>
      </c>
      <c r="AR529" s="13"/>
      <c r="AS529" s="13"/>
      <c r="AT529" s="13"/>
      <c r="AU529" s="13"/>
      <c r="AV529" s="14"/>
      <c r="AW529" s="38"/>
      <c r="AX529" s="32"/>
      <c r="AY529" s="25"/>
      <c r="AZ529" s="41"/>
      <c r="BA529" s="46"/>
      <c r="BB529" s="46"/>
      <c r="BC529" s="21">
        <f t="shared" si="209"/>
        <v>0</v>
      </c>
      <c r="BD529" s="13"/>
      <c r="BE529" s="13"/>
      <c r="BF529" s="13"/>
      <c r="BG529" s="13"/>
      <c r="BH529" s="14"/>
      <c r="BI529" s="38"/>
      <c r="BJ529" s="32"/>
      <c r="BK529" s="25"/>
      <c r="BL529" s="41"/>
      <c r="BM529" s="46"/>
      <c r="BN529" s="46"/>
      <c r="BO529" s="21">
        <f t="shared" si="210"/>
        <v>0</v>
      </c>
      <c r="BP529" s="13"/>
      <c r="BQ529" s="13"/>
      <c r="BR529" s="13"/>
      <c r="BS529" s="13"/>
      <c r="BT529" s="14"/>
      <c r="BU529" s="107"/>
      <c r="BV529" s="107"/>
      <c r="BW529" s="107"/>
      <c r="BX529" s="107"/>
      <c r="BY529" s="107"/>
      <c r="BZ529" s="107"/>
      <c r="CA529" s="111"/>
      <c r="CB529" s="107"/>
      <c r="CC529" s="107"/>
      <c r="CD529" s="107"/>
      <c r="CE529" s="107"/>
      <c r="CF529" s="107"/>
      <c r="CG529" s="107"/>
      <c r="CH529" s="107"/>
      <c r="CI529" s="107"/>
      <c r="CJ529" s="107"/>
    </row>
    <row r="530">
      <c r="A530" s="105"/>
      <c r="B530" s="47"/>
      <c r="C530" s="25"/>
      <c r="D530" s="41"/>
      <c r="E530" s="46"/>
      <c r="F530" s="46">
        <v>900000.0</v>
      </c>
      <c r="G530" s="21">
        <f t="shared" si="205"/>
        <v>760500</v>
      </c>
      <c r="H530" s="13"/>
      <c r="I530" s="13"/>
      <c r="J530" s="13"/>
      <c r="K530" s="13"/>
      <c r="L530" s="14"/>
      <c r="M530" s="38"/>
      <c r="N530" s="47"/>
      <c r="O530" s="25"/>
      <c r="P530" s="41"/>
      <c r="Q530" s="46"/>
      <c r="R530" s="46"/>
      <c r="S530" s="21">
        <f t="shared" si="206"/>
        <v>0</v>
      </c>
      <c r="T530" s="13"/>
      <c r="U530" s="116"/>
      <c r="V530" s="117" t="s">
        <v>78</v>
      </c>
      <c r="W530" s="116"/>
      <c r="X530" s="14"/>
      <c r="Y530" s="38"/>
      <c r="Z530" s="47"/>
      <c r="AA530" s="25"/>
      <c r="AB530" s="41"/>
      <c r="AC530" s="46"/>
      <c r="AD530" s="46"/>
      <c r="AE530" s="21">
        <f t="shared" si="207"/>
        <v>0</v>
      </c>
      <c r="AF530" s="13"/>
      <c r="AG530" s="116"/>
      <c r="AH530" s="117" t="s">
        <v>59</v>
      </c>
      <c r="AI530" s="116"/>
      <c r="AJ530" s="14"/>
      <c r="AK530" s="38"/>
      <c r="AL530" s="47"/>
      <c r="AM530" s="25"/>
      <c r="AN530" s="41"/>
      <c r="AO530" s="46"/>
      <c r="AP530" s="46"/>
      <c r="AQ530" s="21">
        <f t="shared" si="208"/>
        <v>0</v>
      </c>
      <c r="AR530" s="13"/>
      <c r="AS530" s="116"/>
      <c r="AT530" s="117" t="s">
        <v>60</v>
      </c>
      <c r="AU530" s="116"/>
      <c r="AV530" s="14"/>
      <c r="AW530" s="38"/>
      <c r="AX530" s="47"/>
      <c r="AY530" s="25"/>
      <c r="AZ530" s="41"/>
      <c r="BA530" s="46"/>
      <c r="BB530" s="46"/>
      <c r="BC530" s="21">
        <f t="shared" si="209"/>
        <v>0</v>
      </c>
      <c r="BD530" s="13"/>
      <c r="BE530" s="116"/>
      <c r="BF530" s="117"/>
      <c r="BG530" s="116"/>
      <c r="BH530" s="14"/>
      <c r="BI530" s="38"/>
      <c r="BJ530" s="47"/>
      <c r="BK530" s="25"/>
      <c r="BL530" s="41"/>
      <c r="BM530" s="46"/>
      <c r="BN530" s="46"/>
      <c r="BO530" s="21">
        <f t="shared" si="210"/>
        <v>0</v>
      </c>
      <c r="BP530" s="13"/>
      <c r="BQ530" s="116"/>
      <c r="BR530" s="117" t="s">
        <v>59</v>
      </c>
      <c r="BS530" s="116"/>
      <c r="BT530" s="14"/>
      <c r="BU530" s="107"/>
      <c r="BV530" s="107"/>
      <c r="BW530" s="107"/>
      <c r="BX530" s="107"/>
      <c r="BY530" s="107"/>
      <c r="BZ530" s="107"/>
      <c r="CA530" s="111"/>
      <c r="CB530" s="107"/>
      <c r="CC530" s="107"/>
      <c r="CD530" s="107"/>
      <c r="CE530" s="107"/>
      <c r="CF530" s="107"/>
      <c r="CG530" s="107"/>
      <c r="CH530" s="107"/>
      <c r="CI530" s="107"/>
      <c r="CJ530" s="107"/>
    </row>
    <row r="531">
      <c r="A531" s="38"/>
      <c r="B531" s="47"/>
      <c r="C531" s="25"/>
      <c r="D531" s="41"/>
      <c r="E531" s="46">
        <v>7500.0</v>
      </c>
      <c r="F531" s="46"/>
      <c r="G531" s="21">
        <f t="shared" si="205"/>
        <v>7428.75</v>
      </c>
      <c r="H531" s="116"/>
      <c r="I531" s="117" t="s">
        <v>61</v>
      </c>
      <c r="J531" s="116"/>
      <c r="K531" s="13"/>
      <c r="L531" s="14"/>
      <c r="M531" s="38"/>
      <c r="N531" s="47"/>
      <c r="O531" s="25"/>
      <c r="P531" s="41"/>
      <c r="Q531" s="46"/>
      <c r="R531" s="46"/>
      <c r="S531" s="21">
        <f t="shared" si="206"/>
        <v>0</v>
      </c>
      <c r="T531" s="13"/>
      <c r="U531" s="118">
        <v>0.01</v>
      </c>
      <c r="V531" s="118">
        <v>0.01</v>
      </c>
      <c r="W531" s="117" t="s">
        <v>80</v>
      </c>
      <c r="X531" s="14"/>
      <c r="Y531" s="38"/>
      <c r="Z531" s="47"/>
      <c r="AA531" s="25"/>
      <c r="AB531" s="41"/>
      <c r="AC531" s="46"/>
      <c r="AD531" s="46"/>
      <c r="AE531" s="21">
        <f t="shared" si="207"/>
        <v>0</v>
      </c>
      <c r="AF531" s="13"/>
      <c r="AG531" s="118">
        <v>0.02</v>
      </c>
      <c r="AH531" s="118">
        <v>0.04</v>
      </c>
      <c r="AI531" s="118">
        <v>0.06</v>
      </c>
      <c r="AJ531" s="14"/>
      <c r="AK531" s="38"/>
      <c r="AL531" s="47"/>
      <c r="AM531" s="25"/>
      <c r="AN531" s="41"/>
      <c r="AO531" s="46"/>
      <c r="AP531" s="46"/>
      <c r="AQ531" s="21">
        <f t="shared" si="208"/>
        <v>0</v>
      </c>
      <c r="AR531" s="13"/>
      <c r="AS531" s="118">
        <v>0.03</v>
      </c>
      <c r="AT531" s="118">
        <v>0.05</v>
      </c>
      <c r="AU531" s="118">
        <v>0.07</v>
      </c>
      <c r="AV531" s="14"/>
      <c r="AW531" s="38"/>
      <c r="AX531" s="47"/>
      <c r="AY531" s="25"/>
      <c r="AZ531" s="41"/>
      <c r="BA531" s="46"/>
      <c r="BB531" s="46"/>
      <c r="BC531" s="21">
        <f t="shared" si="209"/>
        <v>0</v>
      </c>
      <c r="BD531" s="13"/>
      <c r="BE531" s="118"/>
      <c r="BF531" s="118"/>
      <c r="BG531" s="117"/>
      <c r="BH531" s="14"/>
      <c r="BI531" s="38"/>
      <c r="BJ531" s="47"/>
      <c r="BK531" s="25"/>
      <c r="BL531" s="41"/>
      <c r="BM531" s="46"/>
      <c r="BN531" s="46"/>
      <c r="BO531" s="21">
        <f t="shared" si="210"/>
        <v>0</v>
      </c>
      <c r="BP531" s="13"/>
      <c r="BQ531" s="118">
        <v>0.03</v>
      </c>
      <c r="BR531" s="118">
        <v>0.05</v>
      </c>
      <c r="BS531" s="118">
        <v>0.07</v>
      </c>
      <c r="BT531" s="14"/>
      <c r="BU531" s="107"/>
      <c r="BV531" s="107"/>
      <c r="BW531" s="107"/>
      <c r="BX531" s="107"/>
      <c r="BY531" s="107"/>
      <c r="BZ531" s="107"/>
      <c r="CA531" s="111"/>
      <c r="CB531" s="107"/>
      <c r="CC531" s="107"/>
      <c r="CD531" s="107"/>
      <c r="CE531" s="107"/>
      <c r="CF531" s="107"/>
      <c r="CG531" s="107"/>
      <c r="CH531" s="107"/>
      <c r="CI531" s="107"/>
      <c r="CJ531" s="107"/>
    </row>
    <row r="532">
      <c r="A532" s="38"/>
      <c r="B532" s="47"/>
      <c r="C532" s="25"/>
      <c r="D532" s="41"/>
      <c r="E532" s="46"/>
      <c r="F532" s="46"/>
      <c r="G532" s="21">
        <f t="shared" si="205"/>
        <v>0</v>
      </c>
      <c r="H532" s="118">
        <v>0.03</v>
      </c>
      <c r="I532" s="118">
        <v>0.05</v>
      </c>
      <c r="J532" s="118">
        <v>0.07</v>
      </c>
      <c r="K532" s="13"/>
      <c r="L532" s="14"/>
      <c r="M532" s="38"/>
      <c r="N532" s="47"/>
      <c r="O532" s="25"/>
      <c r="P532" s="41"/>
      <c r="Q532" s="46"/>
      <c r="R532" s="46"/>
      <c r="S532" s="21">
        <f t="shared" si="206"/>
        <v>0</v>
      </c>
      <c r="T532" s="13"/>
      <c r="U532" s="117">
        <v>5.0</v>
      </c>
      <c r="V532" s="117">
        <v>7.0</v>
      </c>
      <c r="W532" s="117">
        <v>10.0</v>
      </c>
      <c r="X532" s="14"/>
      <c r="Y532" s="38"/>
      <c r="Z532" s="47"/>
      <c r="AA532" s="25"/>
      <c r="AB532" s="41"/>
      <c r="AC532" s="46"/>
      <c r="AD532" s="46"/>
      <c r="AE532" s="21">
        <f t="shared" si="207"/>
        <v>0</v>
      </c>
      <c r="AF532" s="13"/>
      <c r="AG532" s="117">
        <v>5.0</v>
      </c>
      <c r="AH532" s="117">
        <v>7.0</v>
      </c>
      <c r="AI532" s="117">
        <v>10.0</v>
      </c>
      <c r="AJ532" s="14"/>
      <c r="AK532" s="38"/>
      <c r="AL532" s="47"/>
      <c r="AM532" s="25"/>
      <c r="AN532" s="41"/>
      <c r="AO532" s="46"/>
      <c r="AP532" s="46"/>
      <c r="AQ532" s="21">
        <f t="shared" si="208"/>
        <v>0</v>
      </c>
      <c r="AR532" s="13"/>
      <c r="AS532" s="117">
        <v>5.0</v>
      </c>
      <c r="AT532" s="117">
        <v>7.0</v>
      </c>
      <c r="AU532" s="117">
        <v>10.0</v>
      </c>
      <c r="AV532" s="14"/>
      <c r="AW532" s="38"/>
      <c r="AX532" s="47"/>
      <c r="AY532" s="25"/>
      <c r="AZ532" s="41"/>
      <c r="BA532" s="46"/>
      <c r="BB532" s="46"/>
      <c r="BC532" s="21">
        <f t="shared" si="209"/>
        <v>0</v>
      </c>
      <c r="BD532" s="13"/>
      <c r="BE532" s="117"/>
      <c r="BF532" s="117"/>
      <c r="BG532" s="117"/>
      <c r="BH532" s="14"/>
      <c r="BI532" s="38"/>
      <c r="BJ532" s="47"/>
      <c r="BK532" s="25"/>
      <c r="BL532" s="41"/>
      <c r="BM532" s="46"/>
      <c r="BN532" s="46"/>
      <c r="BO532" s="21">
        <f t="shared" si="210"/>
        <v>0</v>
      </c>
      <c r="BP532" s="13"/>
      <c r="BQ532" s="117">
        <v>5.0</v>
      </c>
      <c r="BR532" s="117">
        <v>7.0</v>
      </c>
      <c r="BS532" s="117">
        <v>10.0</v>
      </c>
      <c r="BT532" s="14"/>
      <c r="BU532" s="107"/>
      <c r="BV532" s="107"/>
      <c r="BW532" s="107"/>
      <c r="BX532" s="107"/>
      <c r="BY532" s="107"/>
      <c r="BZ532" s="107"/>
      <c r="CA532" s="111"/>
      <c r="CB532" s="107"/>
      <c r="CC532" s="107"/>
      <c r="CD532" s="107"/>
      <c r="CE532" s="107"/>
      <c r="CF532" s="107"/>
      <c r="CG532" s="107"/>
      <c r="CH532" s="107"/>
      <c r="CI532" s="107"/>
      <c r="CJ532" s="107"/>
    </row>
    <row r="533">
      <c r="A533" s="38"/>
      <c r="B533" s="32"/>
      <c r="C533" s="25"/>
      <c r="D533" s="41"/>
      <c r="E533" s="49"/>
      <c r="F533" s="49"/>
      <c r="G533" s="21">
        <f t="shared" si="205"/>
        <v>0</v>
      </c>
      <c r="H533" s="117">
        <v>5.0</v>
      </c>
      <c r="I533" s="117">
        <v>7.0</v>
      </c>
      <c r="J533" s="117">
        <v>10.0</v>
      </c>
      <c r="K533" s="13"/>
      <c r="L533" s="14"/>
      <c r="M533" s="38"/>
      <c r="N533" s="32"/>
      <c r="O533" s="25"/>
      <c r="P533" s="41"/>
      <c r="Q533" s="49"/>
      <c r="R533" s="49"/>
      <c r="S533" s="21">
        <f t="shared" si="206"/>
        <v>0</v>
      </c>
      <c r="T533" s="13"/>
      <c r="U533" s="13"/>
      <c r="V533" s="13"/>
      <c r="W533" s="13"/>
      <c r="X533" s="14"/>
      <c r="Y533" s="38"/>
      <c r="Z533" s="32"/>
      <c r="AA533" s="25"/>
      <c r="AB533" s="41"/>
      <c r="AC533" s="49"/>
      <c r="AD533" s="49"/>
      <c r="AE533" s="21">
        <f t="shared" si="207"/>
        <v>0</v>
      </c>
      <c r="AF533" s="13"/>
      <c r="AG533" s="13"/>
      <c r="AH533" s="13"/>
      <c r="AI533" s="13"/>
      <c r="AJ533" s="14"/>
      <c r="AK533" s="38"/>
      <c r="AL533" s="32"/>
      <c r="AM533" s="25"/>
      <c r="AN533" s="41"/>
      <c r="AO533" s="49"/>
      <c r="AP533" s="49"/>
      <c r="AQ533" s="21">
        <f t="shared" si="208"/>
        <v>0</v>
      </c>
      <c r="AR533" s="13"/>
      <c r="AS533" s="13"/>
      <c r="AT533" s="13"/>
      <c r="AU533" s="13"/>
      <c r="AV533" s="14"/>
      <c r="AW533" s="38"/>
      <c r="AX533" s="32"/>
      <c r="AY533" s="25"/>
      <c r="AZ533" s="41"/>
      <c r="BA533" s="49"/>
      <c r="BB533" s="49"/>
      <c r="BC533" s="21">
        <f t="shared" si="209"/>
        <v>0</v>
      </c>
      <c r="BD533" s="13"/>
      <c r="BE533" s="13"/>
      <c r="BF533" s="13"/>
      <c r="BG533" s="13"/>
      <c r="BH533" s="14"/>
      <c r="BI533" s="38"/>
      <c r="BJ533" s="32"/>
      <c r="BK533" s="25"/>
      <c r="BL533" s="41"/>
      <c r="BM533" s="49"/>
      <c r="BN533" s="49"/>
      <c r="BO533" s="21">
        <f t="shared" si="210"/>
        <v>0</v>
      </c>
      <c r="BP533" s="13"/>
      <c r="BQ533" s="13"/>
      <c r="BR533" s="13"/>
      <c r="BS533" s="13"/>
      <c r="BT533" s="14"/>
      <c r="BU533" s="107"/>
      <c r="BV533" s="107"/>
      <c r="BW533" s="107"/>
      <c r="BX533" s="107"/>
      <c r="BY533" s="107"/>
      <c r="BZ533" s="107"/>
      <c r="CA533" s="111"/>
      <c r="CB533" s="107"/>
      <c r="CC533" s="107"/>
      <c r="CD533" s="107"/>
      <c r="CE533" s="107"/>
      <c r="CF533" s="107"/>
      <c r="CG533" s="107"/>
      <c r="CH533" s="107"/>
      <c r="CI533" s="107"/>
      <c r="CJ533" s="107"/>
    </row>
    <row r="534">
      <c r="A534" s="38"/>
      <c r="B534" s="32"/>
      <c r="C534" s="25"/>
      <c r="D534" s="41"/>
      <c r="E534" s="49"/>
      <c r="F534" s="49"/>
      <c r="G534" s="21">
        <f t="shared" si="205"/>
        <v>0</v>
      </c>
      <c r="H534" s="13"/>
      <c r="I534" s="13"/>
      <c r="J534" s="13"/>
      <c r="K534" s="13"/>
      <c r="L534" s="14"/>
      <c r="M534" s="38"/>
      <c r="N534" s="32"/>
      <c r="O534" s="25"/>
      <c r="P534" s="41"/>
      <c r="Q534" s="49"/>
      <c r="R534" s="49"/>
      <c r="S534" s="21">
        <f t="shared" si="206"/>
        <v>0</v>
      </c>
      <c r="T534" s="13"/>
      <c r="U534" s="13"/>
      <c r="V534" s="13"/>
      <c r="W534" s="13"/>
      <c r="X534" s="14"/>
      <c r="Y534" s="38"/>
      <c r="Z534" s="32"/>
      <c r="AA534" s="25"/>
      <c r="AB534" s="41"/>
      <c r="AC534" s="49"/>
      <c r="AD534" s="49"/>
      <c r="AE534" s="21">
        <f t="shared" si="207"/>
        <v>0</v>
      </c>
      <c r="AF534" s="13"/>
      <c r="AG534" s="13"/>
      <c r="AH534" s="13"/>
      <c r="AI534" s="13"/>
      <c r="AJ534" s="14"/>
      <c r="AK534" s="38"/>
      <c r="AL534" s="32"/>
      <c r="AM534" s="25"/>
      <c r="AN534" s="41"/>
      <c r="AO534" s="49"/>
      <c r="AP534" s="49"/>
      <c r="AQ534" s="21">
        <f t="shared" si="208"/>
        <v>0</v>
      </c>
      <c r="AR534" s="13"/>
      <c r="AS534" s="13"/>
      <c r="AT534" s="13"/>
      <c r="AU534" s="13"/>
      <c r="AV534" s="14"/>
      <c r="AW534" s="38"/>
      <c r="AX534" s="32"/>
      <c r="AY534" s="25"/>
      <c r="AZ534" s="41"/>
      <c r="BA534" s="49"/>
      <c r="BB534" s="49"/>
      <c r="BC534" s="21">
        <f t="shared" si="209"/>
        <v>0</v>
      </c>
      <c r="BD534" s="13"/>
      <c r="BE534" s="13"/>
      <c r="BF534" s="13"/>
      <c r="BG534" s="13"/>
      <c r="BH534" s="14"/>
      <c r="BI534" s="38"/>
      <c r="BJ534" s="32"/>
      <c r="BK534" s="25"/>
      <c r="BL534" s="41"/>
      <c r="BM534" s="49"/>
      <c r="BN534" s="49"/>
      <c r="BO534" s="21">
        <f t="shared" si="210"/>
        <v>0</v>
      </c>
      <c r="BP534" s="13"/>
      <c r="BQ534" s="13"/>
      <c r="BR534" s="13"/>
      <c r="BS534" s="13"/>
      <c r="BT534" s="14"/>
      <c r="BU534" s="107"/>
      <c r="BV534" s="107"/>
      <c r="BW534" s="107"/>
      <c r="BX534" s="107"/>
      <c r="BY534" s="107"/>
      <c r="BZ534" s="107"/>
      <c r="CA534" s="111"/>
      <c r="CB534" s="107"/>
      <c r="CC534" s="107"/>
      <c r="CD534" s="107"/>
      <c r="CE534" s="107"/>
      <c r="CF534" s="107"/>
      <c r="CG534" s="107"/>
      <c r="CH534" s="107"/>
      <c r="CI534" s="107"/>
      <c r="CJ534" s="107"/>
    </row>
    <row r="535">
      <c r="A535" s="38"/>
      <c r="B535" s="32"/>
      <c r="C535" s="25"/>
      <c r="D535" s="41"/>
      <c r="E535" s="49"/>
      <c r="F535" s="49"/>
      <c r="G535" s="21">
        <f t="shared" si="205"/>
        <v>0</v>
      </c>
      <c r="H535" s="13"/>
      <c r="I535" s="13"/>
      <c r="J535" s="67"/>
      <c r="K535" s="13"/>
      <c r="L535" s="14"/>
      <c r="M535" s="38"/>
      <c r="N535" s="32"/>
      <c r="O535" s="25"/>
      <c r="P535" s="41"/>
      <c r="Q535" s="49"/>
      <c r="R535" s="49"/>
      <c r="S535" s="21">
        <f t="shared" si="206"/>
        <v>0</v>
      </c>
      <c r="T535" s="13"/>
      <c r="U535" s="13"/>
      <c r="V535" s="13"/>
      <c r="W535" s="13"/>
      <c r="X535" s="14"/>
      <c r="Y535" s="38"/>
      <c r="Z535" s="32"/>
      <c r="AA535" s="25"/>
      <c r="AB535" s="41"/>
      <c r="AC535" s="49"/>
      <c r="AD535" s="49"/>
      <c r="AE535" s="21">
        <f t="shared" si="207"/>
        <v>0</v>
      </c>
      <c r="AF535" s="13"/>
      <c r="AG535" s="13"/>
      <c r="AH535" s="13"/>
      <c r="AI535" s="13"/>
      <c r="AJ535" s="14"/>
      <c r="AK535" s="38"/>
      <c r="AL535" s="32"/>
      <c r="AM535" s="25"/>
      <c r="AN535" s="41"/>
      <c r="AO535" s="49"/>
      <c r="AP535" s="49"/>
      <c r="AQ535" s="21">
        <f t="shared" si="208"/>
        <v>0</v>
      </c>
      <c r="AR535" s="13"/>
      <c r="AS535" s="13"/>
      <c r="AT535" s="13"/>
      <c r="AU535" s="13"/>
      <c r="AV535" s="14"/>
      <c r="AW535" s="38"/>
      <c r="AX535" s="32"/>
      <c r="AY535" s="25"/>
      <c r="AZ535" s="41"/>
      <c r="BA535" s="49"/>
      <c r="BB535" s="49"/>
      <c r="BC535" s="21">
        <f t="shared" si="209"/>
        <v>0</v>
      </c>
      <c r="BD535" s="13"/>
      <c r="BE535" s="13"/>
      <c r="BF535" s="13"/>
      <c r="BG535" s="13"/>
      <c r="BH535" s="14"/>
      <c r="BI535" s="38"/>
      <c r="BJ535" s="32"/>
      <c r="BK535" s="25"/>
      <c r="BL535" s="41"/>
      <c r="BM535" s="49"/>
      <c r="BN535" s="49"/>
      <c r="BO535" s="21">
        <f t="shared" si="210"/>
        <v>0</v>
      </c>
      <c r="BP535" s="13"/>
      <c r="BQ535" s="13"/>
      <c r="BR535" s="13"/>
      <c r="BS535" s="13"/>
      <c r="BT535" s="14"/>
      <c r="BU535" s="107"/>
      <c r="BV535" s="107"/>
      <c r="BW535" s="107"/>
      <c r="BX535" s="107"/>
      <c r="BY535" s="107"/>
      <c r="BZ535" s="107"/>
      <c r="CA535" s="111"/>
      <c r="CB535" s="107"/>
      <c r="CC535" s="107"/>
      <c r="CD535" s="107"/>
      <c r="CE535" s="107"/>
      <c r="CF535" s="107"/>
      <c r="CG535" s="107"/>
      <c r="CH535" s="107"/>
      <c r="CI535" s="107"/>
      <c r="CJ535" s="107"/>
    </row>
    <row r="536">
      <c r="A536" s="38"/>
      <c r="B536" s="32"/>
      <c r="C536" s="25"/>
      <c r="D536" s="41"/>
      <c r="E536" s="46"/>
      <c r="F536" s="46"/>
      <c r="G536" s="21">
        <f t="shared" si="205"/>
        <v>0</v>
      </c>
      <c r="H536" s="13"/>
      <c r="I536" s="67" t="s">
        <v>85</v>
      </c>
      <c r="J536" s="13"/>
      <c r="K536" s="13"/>
      <c r="L536" s="14"/>
      <c r="M536" s="38"/>
      <c r="N536" s="32"/>
      <c r="O536" s="25"/>
      <c r="P536" s="41"/>
      <c r="Q536" s="46"/>
      <c r="R536" s="46"/>
      <c r="S536" s="21">
        <f t="shared" si="206"/>
        <v>0</v>
      </c>
      <c r="T536" s="13"/>
      <c r="U536" s="13"/>
      <c r="V536" s="13"/>
      <c r="W536" s="13"/>
      <c r="X536" s="14"/>
      <c r="Y536" s="38"/>
      <c r="Z536" s="32"/>
      <c r="AA536" s="25"/>
      <c r="AB536" s="41"/>
      <c r="AC536" s="46"/>
      <c r="AD536" s="46"/>
      <c r="AE536" s="21">
        <f t="shared" si="207"/>
        <v>0</v>
      </c>
      <c r="AF536" s="13"/>
      <c r="AG536" s="13"/>
      <c r="AH536" s="13"/>
      <c r="AI536" s="13"/>
      <c r="AJ536" s="14"/>
      <c r="AK536" s="38"/>
      <c r="AL536" s="32"/>
      <c r="AM536" s="25"/>
      <c r="AN536" s="41"/>
      <c r="AO536" s="46"/>
      <c r="AP536" s="46"/>
      <c r="AQ536" s="21">
        <f t="shared" si="208"/>
        <v>0</v>
      </c>
      <c r="AR536" s="13"/>
      <c r="AS536" s="13"/>
      <c r="AT536" s="13"/>
      <c r="AU536" s="13"/>
      <c r="AV536" s="14"/>
      <c r="AW536" s="38"/>
      <c r="AX536" s="32"/>
      <c r="AY536" s="25"/>
      <c r="AZ536" s="41"/>
      <c r="BA536" s="46"/>
      <c r="BB536" s="46"/>
      <c r="BC536" s="21">
        <f t="shared" si="209"/>
        <v>0</v>
      </c>
      <c r="BD536" s="13"/>
      <c r="BE536" s="13"/>
      <c r="BF536" s="13"/>
      <c r="BG536" s="13"/>
      <c r="BH536" s="14"/>
      <c r="BI536" s="38"/>
      <c r="BJ536" s="32"/>
      <c r="BK536" s="25"/>
      <c r="BL536" s="41"/>
      <c r="BM536" s="46"/>
      <c r="BN536" s="46"/>
      <c r="BO536" s="21">
        <f t="shared" si="210"/>
        <v>0</v>
      </c>
      <c r="BP536" s="13"/>
      <c r="BQ536" s="13"/>
      <c r="BR536" s="13"/>
      <c r="BS536" s="13"/>
      <c r="BT536" s="14"/>
      <c r="BU536" s="107"/>
      <c r="BV536" s="107"/>
      <c r="BW536" s="107"/>
      <c r="BX536" s="107"/>
      <c r="BY536" s="107"/>
      <c r="BZ536" s="107"/>
      <c r="CA536" s="111"/>
      <c r="CB536" s="107"/>
      <c r="CC536" s="107"/>
      <c r="CD536" s="107"/>
      <c r="CE536" s="107"/>
      <c r="CF536" s="107"/>
      <c r="CG536" s="107"/>
      <c r="CH536" s="107"/>
      <c r="CI536" s="107"/>
      <c r="CJ536" s="107"/>
    </row>
    <row r="537">
      <c r="A537" s="38"/>
      <c r="B537" s="47"/>
      <c r="C537" s="25"/>
      <c r="D537" s="41"/>
      <c r="E537" s="49"/>
      <c r="F537" s="49"/>
      <c r="G537" s="21">
        <f t="shared" si="205"/>
        <v>0</v>
      </c>
      <c r="H537" s="13"/>
      <c r="I537" s="142">
        <v>40363.0</v>
      </c>
      <c r="J537" s="13"/>
      <c r="K537" s="13"/>
      <c r="L537" s="14"/>
      <c r="M537" s="38"/>
      <c r="N537" s="47"/>
      <c r="O537" s="25"/>
      <c r="P537" s="41"/>
      <c r="Q537" s="49"/>
      <c r="R537" s="49"/>
      <c r="S537" s="21">
        <f t="shared" si="206"/>
        <v>0</v>
      </c>
      <c r="T537" s="13"/>
      <c r="U537" s="67"/>
      <c r="V537" s="67"/>
      <c r="W537" s="13"/>
      <c r="X537" s="14"/>
      <c r="Y537" s="38"/>
      <c r="Z537" s="47"/>
      <c r="AA537" s="25"/>
      <c r="AB537" s="41"/>
      <c r="AC537" s="49"/>
      <c r="AD537" s="49"/>
      <c r="AE537" s="21">
        <f t="shared" si="207"/>
        <v>0</v>
      </c>
      <c r="AF537" s="13"/>
      <c r="AG537" s="13"/>
      <c r="AH537" s="13"/>
      <c r="AI537" s="13"/>
      <c r="AJ537" s="14"/>
      <c r="AK537" s="38"/>
      <c r="AL537" s="47"/>
      <c r="AM537" s="25"/>
      <c r="AN537" s="41"/>
      <c r="AO537" s="49"/>
      <c r="AP537" s="49"/>
      <c r="AQ537" s="21">
        <f t="shared" si="208"/>
        <v>0</v>
      </c>
      <c r="AR537" s="13"/>
      <c r="AS537" s="13"/>
      <c r="AT537" s="13"/>
      <c r="AU537" s="13"/>
      <c r="AV537" s="14"/>
      <c r="AW537" s="38"/>
      <c r="AX537" s="47"/>
      <c r="AY537" s="25"/>
      <c r="AZ537" s="41"/>
      <c r="BA537" s="49"/>
      <c r="BB537" s="49"/>
      <c r="BC537" s="21">
        <f t="shared" si="209"/>
        <v>0</v>
      </c>
      <c r="BD537" s="13"/>
      <c r="BE537" s="13"/>
      <c r="BF537" s="13"/>
      <c r="BG537" s="13"/>
      <c r="BH537" s="14"/>
      <c r="BI537" s="38"/>
      <c r="BJ537" s="47"/>
      <c r="BK537" s="25"/>
      <c r="BL537" s="41"/>
      <c r="BM537" s="49"/>
      <c r="BN537" s="49"/>
      <c r="BO537" s="21">
        <f t="shared" si="210"/>
        <v>0</v>
      </c>
      <c r="BP537" s="13"/>
      <c r="BQ537" s="13"/>
      <c r="BR537" s="13"/>
      <c r="BS537" s="13"/>
      <c r="BT537" s="14"/>
      <c r="BU537" s="107"/>
      <c r="BV537" s="107"/>
      <c r="BW537" s="107"/>
      <c r="BX537" s="107"/>
      <c r="BY537" s="107"/>
      <c r="BZ537" s="107"/>
      <c r="CA537" s="111"/>
      <c r="CB537" s="107"/>
      <c r="CC537" s="107"/>
      <c r="CD537" s="107"/>
      <c r="CE537" s="107"/>
      <c r="CF537" s="107"/>
      <c r="CG537" s="107"/>
      <c r="CH537" s="107"/>
      <c r="CI537" s="107"/>
      <c r="CJ537" s="107"/>
    </row>
    <row r="538">
      <c r="A538" s="38"/>
      <c r="B538" s="32"/>
      <c r="C538" s="25"/>
      <c r="D538" s="41"/>
      <c r="E538" s="49"/>
      <c r="F538" s="49"/>
      <c r="G538" s="21">
        <f t="shared" si="205"/>
        <v>0</v>
      </c>
      <c r="H538" s="13"/>
      <c r="I538" s="67"/>
      <c r="J538" s="13"/>
      <c r="K538" s="13"/>
      <c r="L538" s="14"/>
      <c r="M538" s="38"/>
      <c r="N538" s="32"/>
      <c r="O538" s="25"/>
      <c r="P538" s="41"/>
      <c r="Q538" s="49"/>
      <c r="R538" s="49"/>
      <c r="S538" s="21">
        <f t="shared" si="206"/>
        <v>0</v>
      </c>
      <c r="T538" s="13"/>
      <c r="U538" s="13"/>
      <c r="V538" s="13"/>
      <c r="W538" s="13"/>
      <c r="X538" s="14"/>
      <c r="Y538" s="38"/>
      <c r="Z538" s="32"/>
      <c r="AA538" s="25"/>
      <c r="AB538" s="41"/>
      <c r="AC538" s="49"/>
      <c r="AD538" s="49"/>
      <c r="AE538" s="21">
        <f t="shared" si="207"/>
        <v>0</v>
      </c>
      <c r="AF538" s="13"/>
      <c r="AG538" s="13"/>
      <c r="AH538" s="13"/>
      <c r="AI538" s="13"/>
      <c r="AJ538" s="14"/>
      <c r="AK538" s="38"/>
      <c r="AL538" s="32"/>
      <c r="AM538" s="25"/>
      <c r="AN538" s="41"/>
      <c r="AO538" s="49"/>
      <c r="AP538" s="49"/>
      <c r="AQ538" s="21">
        <f t="shared" si="208"/>
        <v>0</v>
      </c>
      <c r="AR538" s="13"/>
      <c r="AS538" s="13"/>
      <c r="AT538" s="13"/>
      <c r="AU538" s="13"/>
      <c r="AV538" s="14"/>
      <c r="AW538" s="38"/>
      <c r="AX538" s="32"/>
      <c r="AY538" s="25"/>
      <c r="AZ538" s="41"/>
      <c r="BA538" s="49"/>
      <c r="BB538" s="49"/>
      <c r="BC538" s="21">
        <f t="shared" si="209"/>
        <v>0</v>
      </c>
      <c r="BD538" s="13"/>
      <c r="BE538" s="13"/>
      <c r="BF538" s="13"/>
      <c r="BG538" s="13"/>
      <c r="BH538" s="14"/>
      <c r="BI538" s="38"/>
      <c r="BJ538" s="32"/>
      <c r="BK538" s="25"/>
      <c r="BL538" s="41"/>
      <c r="BM538" s="49"/>
      <c r="BN538" s="49"/>
      <c r="BO538" s="21">
        <f t="shared" si="210"/>
        <v>0</v>
      </c>
      <c r="BP538" s="13"/>
      <c r="BQ538" s="13"/>
      <c r="BR538" s="13"/>
      <c r="BS538" s="13"/>
      <c r="BT538" s="14"/>
      <c r="BU538" s="107"/>
      <c r="BV538" s="107"/>
      <c r="BW538" s="107"/>
      <c r="BX538" s="107"/>
      <c r="BY538" s="107"/>
      <c r="BZ538" s="107"/>
      <c r="CA538" s="111"/>
      <c r="CB538" s="107"/>
      <c r="CC538" s="107"/>
      <c r="CD538" s="107"/>
      <c r="CE538" s="107"/>
      <c r="CF538" s="107"/>
      <c r="CG538" s="107"/>
      <c r="CH538" s="107"/>
      <c r="CI538" s="107"/>
      <c r="CJ538" s="107"/>
    </row>
    <row r="539">
      <c r="A539" s="38"/>
      <c r="B539" s="32"/>
      <c r="C539" s="25"/>
      <c r="D539" s="41"/>
      <c r="E539" s="49"/>
      <c r="F539" s="49"/>
      <c r="G539" s="21">
        <f t="shared" si="205"/>
        <v>0</v>
      </c>
      <c r="H539" s="13"/>
      <c r="I539" s="67"/>
      <c r="J539" s="13"/>
      <c r="K539" s="13"/>
      <c r="L539" s="14"/>
      <c r="M539" s="38"/>
      <c r="N539" s="32"/>
      <c r="O539" s="25"/>
      <c r="P539" s="41"/>
      <c r="Q539" s="49"/>
      <c r="R539" s="49"/>
      <c r="S539" s="21">
        <f t="shared" si="206"/>
        <v>0</v>
      </c>
      <c r="T539" s="13"/>
      <c r="U539" s="13"/>
      <c r="V539" s="13"/>
      <c r="W539" s="13"/>
      <c r="X539" s="14"/>
      <c r="Y539" s="38"/>
      <c r="Z539" s="32"/>
      <c r="AA539" s="25"/>
      <c r="AB539" s="41"/>
      <c r="AC539" s="49"/>
      <c r="AD539" s="49"/>
      <c r="AE539" s="21">
        <f t="shared" si="207"/>
        <v>0</v>
      </c>
      <c r="AF539" s="13"/>
      <c r="AG539" s="13"/>
      <c r="AH539" s="13"/>
      <c r="AI539" s="13"/>
      <c r="AJ539" s="14"/>
      <c r="AK539" s="38"/>
      <c r="AL539" s="32"/>
      <c r="AM539" s="25"/>
      <c r="AN539" s="41"/>
      <c r="AO539" s="49"/>
      <c r="AP539" s="49"/>
      <c r="AQ539" s="21">
        <f t="shared" si="208"/>
        <v>0</v>
      </c>
      <c r="AR539" s="13"/>
      <c r="AS539" s="13"/>
      <c r="AT539" s="13"/>
      <c r="AU539" s="13"/>
      <c r="AV539" s="14"/>
      <c r="AW539" s="38"/>
      <c r="AX539" s="32"/>
      <c r="AY539" s="25"/>
      <c r="AZ539" s="41"/>
      <c r="BA539" s="49"/>
      <c r="BB539" s="49"/>
      <c r="BC539" s="21">
        <f t="shared" si="209"/>
        <v>0</v>
      </c>
      <c r="BD539" s="13"/>
      <c r="BE539" s="13"/>
      <c r="BF539" s="13"/>
      <c r="BG539" s="13"/>
      <c r="BH539" s="14"/>
      <c r="BI539" s="38"/>
      <c r="BJ539" s="32"/>
      <c r="BK539" s="25"/>
      <c r="BL539" s="41"/>
      <c r="BM539" s="49"/>
      <c r="BN539" s="49"/>
      <c r="BO539" s="21">
        <f t="shared" si="210"/>
        <v>0</v>
      </c>
      <c r="BP539" s="13"/>
      <c r="BQ539" s="13"/>
      <c r="BR539" s="13"/>
      <c r="BS539" s="13"/>
      <c r="BT539" s="14"/>
      <c r="BU539" s="107"/>
      <c r="BV539" s="107"/>
      <c r="BW539" s="107"/>
      <c r="BX539" s="107"/>
      <c r="BY539" s="107"/>
      <c r="BZ539" s="107"/>
      <c r="CA539" s="111"/>
      <c r="CB539" s="107"/>
      <c r="CC539" s="107"/>
      <c r="CD539" s="107"/>
      <c r="CE539" s="107"/>
      <c r="CF539" s="107"/>
      <c r="CG539" s="107"/>
      <c r="CH539" s="107"/>
      <c r="CI539" s="107"/>
      <c r="CJ539" s="107"/>
    </row>
    <row r="540">
      <c r="A540" s="50"/>
      <c r="B540" s="32"/>
      <c r="C540" s="25"/>
      <c r="D540" s="41"/>
      <c r="E540" s="49"/>
      <c r="F540" s="49"/>
      <c r="G540" s="88">
        <f t="shared" si="205"/>
        <v>0</v>
      </c>
      <c r="H540" s="89"/>
      <c r="I540" s="104"/>
      <c r="J540" s="89"/>
      <c r="K540" s="89"/>
      <c r="L540" s="90"/>
      <c r="M540" s="50"/>
      <c r="N540" s="32"/>
      <c r="O540" s="25"/>
      <c r="P540" s="41"/>
      <c r="Q540" s="49"/>
      <c r="R540" s="49"/>
      <c r="S540" s="21">
        <f t="shared" si="206"/>
        <v>0</v>
      </c>
      <c r="T540" s="89"/>
      <c r="U540" s="89"/>
      <c r="V540" s="89"/>
      <c r="W540" s="89"/>
      <c r="X540" s="90"/>
      <c r="Y540" s="50"/>
      <c r="Z540" s="32"/>
      <c r="AA540" s="25"/>
      <c r="AB540" s="41"/>
      <c r="AC540" s="49"/>
      <c r="AD540" s="49"/>
      <c r="AE540" s="21">
        <f t="shared" si="207"/>
        <v>0</v>
      </c>
      <c r="AF540" s="89"/>
      <c r="AG540" s="89"/>
      <c r="AH540" s="89"/>
      <c r="AI540" s="89"/>
      <c r="AJ540" s="90"/>
      <c r="AK540" s="50"/>
      <c r="AL540" s="32"/>
      <c r="AM540" s="25"/>
      <c r="AN540" s="41"/>
      <c r="AO540" s="49"/>
      <c r="AP540" s="49"/>
      <c r="AQ540" s="21">
        <f t="shared" si="208"/>
        <v>0</v>
      </c>
      <c r="AR540" s="89"/>
      <c r="AS540" s="89"/>
      <c r="AT540" s="89"/>
      <c r="AU540" s="89"/>
      <c r="AV540" s="90"/>
      <c r="AW540" s="50"/>
      <c r="AX540" s="32"/>
      <c r="AY540" s="25"/>
      <c r="AZ540" s="41"/>
      <c r="BA540" s="49"/>
      <c r="BB540" s="49"/>
      <c r="BC540" s="21">
        <f t="shared" si="209"/>
        <v>0</v>
      </c>
      <c r="BD540" s="89"/>
      <c r="BE540" s="89"/>
      <c r="BF540" s="89"/>
      <c r="BG540" s="89"/>
      <c r="BH540" s="90"/>
      <c r="BI540" s="50"/>
      <c r="BJ540" s="32"/>
      <c r="BK540" s="25"/>
      <c r="BL540" s="41"/>
      <c r="BM540" s="49"/>
      <c r="BN540" s="49"/>
      <c r="BO540" s="21">
        <f t="shared" si="210"/>
        <v>0</v>
      </c>
      <c r="BP540" s="89"/>
      <c r="BQ540" s="89"/>
      <c r="BR540" s="89"/>
      <c r="BS540" s="89"/>
      <c r="BT540" s="90"/>
      <c r="BU540" s="107"/>
      <c r="BV540" s="107"/>
      <c r="BW540" s="107"/>
      <c r="BX540" s="107"/>
      <c r="BY540" s="107"/>
      <c r="BZ540" s="107"/>
      <c r="CA540" s="111"/>
      <c r="CB540" s="107"/>
      <c r="CC540" s="107"/>
      <c r="CD540" s="107"/>
      <c r="CE540" s="107"/>
      <c r="CF540" s="107"/>
      <c r="CG540" s="107"/>
      <c r="CH540" s="107"/>
      <c r="CI540" s="107"/>
      <c r="CJ540" s="107"/>
    </row>
    <row r="541">
      <c r="A541" s="1" t="s">
        <v>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1" t="s">
        <v>107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3"/>
      <c r="Y541" s="1" t="s">
        <v>88</v>
      </c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3"/>
      <c r="AK541" s="1" t="s">
        <v>97</v>
      </c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3"/>
      <c r="AW541" s="1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3"/>
      <c r="BI541" s="1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3"/>
      <c r="BU541" s="4"/>
      <c r="CG541" s="107"/>
      <c r="CH541" s="107"/>
      <c r="CI541" s="107"/>
      <c r="CJ541" s="107"/>
    </row>
    <row r="542">
      <c r="A542" s="5" t="s">
        <v>108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5" t="s">
        <v>108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5" t="s">
        <v>108</v>
      </c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5" t="s">
        <v>108</v>
      </c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5" t="s">
        <v>94</v>
      </c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5" t="s">
        <v>94</v>
      </c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5" t="s">
        <v>94</v>
      </c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107"/>
      <c r="CH542" s="107"/>
      <c r="CI542" s="107"/>
      <c r="CJ542" s="107"/>
    </row>
    <row r="543">
      <c r="A543" s="7" t="s">
        <v>5</v>
      </c>
      <c r="B543" s="8" t="s">
        <v>6</v>
      </c>
      <c r="C543" s="9" t="s">
        <v>106</v>
      </c>
      <c r="D543" s="10" t="s">
        <v>8</v>
      </c>
      <c r="E543" s="11" t="s">
        <v>9</v>
      </c>
      <c r="F543" s="11" t="s">
        <v>10</v>
      </c>
      <c r="G543" s="12" t="s">
        <v>11</v>
      </c>
      <c r="H543" s="12" t="s">
        <v>12</v>
      </c>
      <c r="I543" s="12" t="s">
        <v>13</v>
      </c>
      <c r="J543" s="67" t="s">
        <v>109</v>
      </c>
      <c r="K543" s="67" t="s">
        <v>15</v>
      </c>
      <c r="L543" s="14" t="s">
        <v>16</v>
      </c>
      <c r="M543" s="7" t="s">
        <v>5</v>
      </c>
      <c r="N543" s="8" t="s">
        <v>6</v>
      </c>
      <c r="O543" s="9" t="s">
        <v>7</v>
      </c>
      <c r="P543" s="10" t="s">
        <v>8</v>
      </c>
      <c r="Q543" s="11" t="s">
        <v>9</v>
      </c>
      <c r="R543" s="11" t="s">
        <v>10</v>
      </c>
      <c r="S543" s="12" t="s">
        <v>11</v>
      </c>
      <c r="T543" s="12" t="s">
        <v>12</v>
      </c>
      <c r="U543" s="12" t="s">
        <v>13</v>
      </c>
      <c r="V543" s="13" t="s">
        <v>14</v>
      </c>
      <c r="W543" s="13" t="s">
        <v>15</v>
      </c>
      <c r="X543" s="14" t="s">
        <v>16</v>
      </c>
      <c r="Y543" s="7" t="s">
        <v>5</v>
      </c>
      <c r="Z543" s="8" t="s">
        <v>6</v>
      </c>
      <c r="AA543" s="9" t="s">
        <v>7</v>
      </c>
      <c r="AB543" s="10" t="s">
        <v>8</v>
      </c>
      <c r="AC543" s="11" t="s">
        <v>9</v>
      </c>
      <c r="AD543" s="11" t="s">
        <v>10</v>
      </c>
      <c r="AE543" s="12" t="s">
        <v>11</v>
      </c>
      <c r="AF543" s="12" t="s">
        <v>12</v>
      </c>
      <c r="AG543" s="12" t="s">
        <v>13</v>
      </c>
      <c r="AH543" s="13" t="s">
        <v>14</v>
      </c>
      <c r="AI543" s="13" t="s">
        <v>15</v>
      </c>
      <c r="AJ543" s="14" t="s">
        <v>16</v>
      </c>
      <c r="AK543" s="7" t="s">
        <v>5</v>
      </c>
      <c r="AL543" s="8" t="s">
        <v>84</v>
      </c>
      <c r="AM543" s="9" t="s">
        <v>7</v>
      </c>
      <c r="AN543" s="10" t="s">
        <v>8</v>
      </c>
      <c r="AO543" s="11" t="s">
        <v>9</v>
      </c>
      <c r="AP543" s="11" t="s">
        <v>10</v>
      </c>
      <c r="AQ543" s="12" t="s">
        <v>11</v>
      </c>
      <c r="AR543" s="12" t="s">
        <v>12</v>
      </c>
      <c r="AS543" s="12" t="s">
        <v>13</v>
      </c>
      <c r="AT543" s="13" t="s">
        <v>14</v>
      </c>
      <c r="AU543" s="13" t="s">
        <v>15</v>
      </c>
      <c r="AV543" s="14" t="s">
        <v>16</v>
      </c>
      <c r="AW543" s="7" t="s">
        <v>5</v>
      </c>
      <c r="AX543" s="8" t="s">
        <v>6</v>
      </c>
      <c r="AY543" s="9" t="s">
        <v>7</v>
      </c>
      <c r="AZ543" s="10" t="s">
        <v>8</v>
      </c>
      <c r="BA543" s="11" t="s">
        <v>9</v>
      </c>
      <c r="BB543" s="11" t="s">
        <v>10</v>
      </c>
      <c r="BC543" s="12" t="s">
        <v>11</v>
      </c>
      <c r="BD543" s="12" t="s">
        <v>12</v>
      </c>
      <c r="BE543" s="12" t="s">
        <v>13</v>
      </c>
      <c r="BF543" s="13" t="s">
        <v>14</v>
      </c>
      <c r="BG543" s="13" t="s">
        <v>15</v>
      </c>
      <c r="BH543" s="14" t="s">
        <v>16</v>
      </c>
      <c r="BI543" s="7" t="s">
        <v>5</v>
      </c>
      <c r="BJ543" s="8" t="s">
        <v>6</v>
      </c>
      <c r="BK543" s="9" t="s">
        <v>7</v>
      </c>
      <c r="BL543" s="10" t="s">
        <v>8</v>
      </c>
      <c r="BM543" s="11" t="s">
        <v>9</v>
      </c>
      <c r="BN543" s="11" t="s">
        <v>10</v>
      </c>
      <c r="BO543" s="12" t="s">
        <v>11</v>
      </c>
      <c r="BP543" s="12" t="s">
        <v>12</v>
      </c>
      <c r="BQ543" s="12" t="s">
        <v>13</v>
      </c>
      <c r="BR543" s="13" t="s">
        <v>14</v>
      </c>
      <c r="BS543" s="13" t="s">
        <v>15</v>
      </c>
      <c r="BT543" s="14" t="s">
        <v>16</v>
      </c>
      <c r="BU543" s="109"/>
      <c r="BV543" s="108"/>
      <c r="BW543" s="108"/>
      <c r="BX543" s="108"/>
      <c r="BY543" s="108"/>
      <c r="BZ543" s="108"/>
      <c r="CA543" s="109"/>
      <c r="CB543" s="109"/>
      <c r="CC543" s="109"/>
      <c r="CD543" s="107"/>
      <c r="CE543" s="107"/>
      <c r="CF543" s="107"/>
      <c r="CG543" s="107"/>
      <c r="CH543" s="107"/>
      <c r="CI543" s="107"/>
      <c r="CJ543" s="107"/>
    </row>
    <row r="544">
      <c r="A544" s="60"/>
      <c r="B544" s="16"/>
      <c r="C544" s="17"/>
      <c r="D544" s="18"/>
      <c r="E544" s="20">
        <v>500000.0</v>
      </c>
      <c r="F544" s="20"/>
      <c r="G544" s="21">
        <f t="shared" ref="G544:G553" si="218">SUM(B544)-(B544*15%)+(C544)-(C544*20.8%)+(D544)+(E544)-(E544*0.95%)+(F544)-(F544*15.5%)</f>
        <v>495250</v>
      </c>
      <c r="H544" s="22">
        <f>SUM(B544:F567)</f>
        <v>6755500</v>
      </c>
      <c r="I544" s="21">
        <f>SUM(G544:G567)</f>
        <v>5889227.75</v>
      </c>
      <c r="J544" s="21">
        <f>SUM(I544)-(I544*98%)</f>
        <v>117784.555</v>
      </c>
      <c r="K544" s="21">
        <f>SUM(I544)-(I544*95%)</f>
        <v>294461.3875</v>
      </c>
      <c r="L544" s="23">
        <f>SUM(I544)-(I544*93%)</f>
        <v>412245.9425</v>
      </c>
      <c r="M544" s="15"/>
      <c r="N544" s="24"/>
      <c r="O544" s="25"/>
      <c r="P544" s="41"/>
      <c r="Q544" s="46"/>
      <c r="R544" s="145"/>
      <c r="S544" s="21">
        <f t="shared" ref="S544:S567" si="219">SUM(N544)-(N544*15%)+(O544)-(O544*20.8%)+(P544)+(Q544)-(Q544*0.95%)+(R544)-(R544*15.5%)</f>
        <v>0</v>
      </c>
      <c r="T544" s="22">
        <f>SUM(N544:R567)</f>
        <v>0</v>
      </c>
      <c r="U544" s="21">
        <f>SUM(S544:S567)</f>
        <v>0</v>
      </c>
      <c r="V544" s="21">
        <f>SUM(U544)-(U544*97%)</f>
        <v>0</v>
      </c>
      <c r="W544" s="21">
        <f>SUM(U544)-(U544*95%)</f>
        <v>0</v>
      </c>
      <c r="X544" s="23">
        <f>SUM(U544)-(U544*93%)</f>
        <v>0</v>
      </c>
      <c r="Y544" s="60"/>
      <c r="Z544" s="24"/>
      <c r="AA544" s="25"/>
      <c r="AB544" s="18"/>
      <c r="AC544" s="20"/>
      <c r="AD544" s="20"/>
      <c r="AE544" s="21">
        <f t="shared" ref="AE544:AE567" si="220">SUM(Z544)-(Z544*15%)+(AA544)-(AA544*20.8%)+(AB544)+(AC544)-(AC544*0.95%)+(AD544)-(AD544*15.5%)</f>
        <v>0</v>
      </c>
      <c r="AF544" s="22">
        <f>SUM(Z544:AD567)</f>
        <v>0</v>
      </c>
      <c r="AG544" s="21">
        <f>SUM(AE544:AE567)</f>
        <v>0</v>
      </c>
      <c r="AH544" s="21">
        <f>SUM(AG544)-(AG544*97%)</f>
        <v>0</v>
      </c>
      <c r="AI544" s="21">
        <f>SUM(AG544)-(AG544*95%)</f>
        <v>0</v>
      </c>
      <c r="AJ544" s="23">
        <f>SUM(AG544)-(AG544*93%)</f>
        <v>0</v>
      </c>
      <c r="AK544" s="15"/>
      <c r="AL544" s="24"/>
      <c r="AM544" s="25"/>
      <c r="AN544" s="18"/>
      <c r="AO544" s="20"/>
      <c r="AP544" s="20"/>
      <c r="AQ544" s="21">
        <f t="shared" ref="AQ544:AQ567" si="221">SUM(AL544)-(AL544*15%)+(AM544)-(AM544*20.8%)+(AN544)+(AO544)-(AO544*0.95%)+(AP544)-(AP544*15.5%)</f>
        <v>0</v>
      </c>
      <c r="AR544" s="22">
        <f>SUM(AL544:AP567)</f>
        <v>0</v>
      </c>
      <c r="AS544" s="21">
        <f>SUM(AQ544:AQ567)</f>
        <v>0</v>
      </c>
      <c r="AT544" s="21">
        <f>SUM(AS544)-(AS544*97%)</f>
        <v>0</v>
      </c>
      <c r="AU544" s="21">
        <f>SUM(AS544)-(AS544*95%)</f>
        <v>0</v>
      </c>
      <c r="AV544" s="23">
        <f>SUM(AS544)-(AS544*93%)</f>
        <v>0</v>
      </c>
      <c r="AW544" s="15">
        <v>31.0</v>
      </c>
      <c r="AX544" s="24"/>
      <c r="AY544" s="25"/>
      <c r="AZ544" s="18"/>
      <c r="BA544" s="20"/>
      <c r="BB544" s="20"/>
      <c r="BC544" s="21">
        <f t="shared" ref="BC544:BC567" si="222">SUM(AX544)-(AX544*15%)+(AY544)-(AY544*20.8%)+(AZ544)+(BA544)-(BA544*0.95%)+(BB544)-(BB544*15.5%)</f>
        <v>0</v>
      </c>
      <c r="BD544" s="22">
        <f>SUM(AX544:BB567)</f>
        <v>0</v>
      </c>
      <c r="BE544" s="21">
        <f>SUM(BC544:BC567)</f>
        <v>0</v>
      </c>
      <c r="BF544" s="21">
        <f>SUM(BE544)-(BE544*97%)</f>
        <v>0</v>
      </c>
      <c r="BG544" s="21">
        <f>SUM(BE544)-(BE544*95%)</f>
        <v>0</v>
      </c>
      <c r="BH544" s="23">
        <f>SUM(BE544)-(BE544*93%)</f>
        <v>0</v>
      </c>
      <c r="BI544" s="15"/>
      <c r="BJ544" s="24"/>
      <c r="BK544" s="25"/>
      <c r="BL544" s="18"/>
      <c r="BM544" s="20"/>
      <c r="BN544" s="20"/>
      <c r="BO544" s="21">
        <f t="shared" ref="BO544:BO567" si="223">SUM(BJ544)-(BJ544*15%)+(BK544)-(BK544*20.8%)+(BL544)+(BM544)-(BM544*0.95%)+(BN544)-(BN544*15.5%)</f>
        <v>0</v>
      </c>
      <c r="BP544" s="22">
        <f>SUM(BJ544:BN567)</f>
        <v>0</v>
      </c>
      <c r="BQ544" s="21">
        <f>SUM(BO544:BO567)</f>
        <v>0</v>
      </c>
      <c r="BR544" s="21">
        <f>SUM(BQ544)-(BQ544*97%)</f>
        <v>0</v>
      </c>
      <c r="BS544" s="21">
        <f>SUM(BQ544)-(BQ544*95%)</f>
        <v>0</v>
      </c>
      <c r="BT544" s="23">
        <f>SUM(BQ544)-(BQ544*93%)</f>
        <v>0</v>
      </c>
      <c r="BU544" s="110"/>
      <c r="BV544" s="107"/>
      <c r="BW544" s="107"/>
      <c r="BX544" s="107"/>
      <c r="BY544" s="107"/>
      <c r="BZ544" s="107"/>
      <c r="CA544" s="111"/>
      <c r="CB544" s="112"/>
      <c r="CC544" s="111"/>
      <c r="CD544" s="111"/>
      <c r="CE544" s="111"/>
      <c r="CF544" s="111"/>
      <c r="CG544" s="107"/>
      <c r="CH544" s="107"/>
      <c r="CI544" s="107"/>
      <c r="CJ544" s="107"/>
    </row>
    <row r="545">
      <c r="A545" s="60"/>
      <c r="B545" s="27"/>
      <c r="C545" s="17"/>
      <c r="D545" s="28"/>
      <c r="E545" s="20">
        <v>500000.0</v>
      </c>
      <c r="F545" s="30"/>
      <c r="G545" s="21">
        <f t="shared" si="218"/>
        <v>495250</v>
      </c>
      <c r="H545" s="31" t="s">
        <v>20</v>
      </c>
      <c r="I545" s="13"/>
      <c r="J545" s="67" t="s">
        <v>110</v>
      </c>
      <c r="K545" s="13" t="s">
        <v>22</v>
      </c>
      <c r="L545" s="14" t="s">
        <v>23</v>
      </c>
      <c r="M545" s="60"/>
      <c r="N545" s="37"/>
      <c r="O545" s="25"/>
      <c r="P545" s="33"/>
      <c r="Q545" s="30"/>
      <c r="R545" s="30"/>
      <c r="S545" s="21">
        <f t="shared" si="219"/>
        <v>0</v>
      </c>
      <c r="T545" s="31" t="s">
        <v>20</v>
      </c>
      <c r="U545" s="13"/>
      <c r="V545" s="13" t="s">
        <v>21</v>
      </c>
      <c r="W545" s="13" t="s">
        <v>22</v>
      </c>
      <c r="X545" s="14" t="s">
        <v>23</v>
      </c>
      <c r="Y545" s="60"/>
      <c r="Z545" s="32"/>
      <c r="AA545" s="25"/>
      <c r="AB545" s="33"/>
      <c r="AC545" s="30"/>
      <c r="AD545" s="30"/>
      <c r="AE545" s="21">
        <f t="shared" si="220"/>
        <v>0</v>
      </c>
      <c r="AF545" s="31" t="s">
        <v>20</v>
      </c>
      <c r="AG545" s="13"/>
      <c r="AH545" s="13" t="s">
        <v>21</v>
      </c>
      <c r="AI545" s="13" t="s">
        <v>22</v>
      </c>
      <c r="AJ545" s="14" t="s">
        <v>23</v>
      </c>
      <c r="AK545" s="15"/>
      <c r="AL545" s="32"/>
      <c r="AM545" s="25"/>
      <c r="AN545" s="33"/>
      <c r="AO545" s="30"/>
      <c r="AP545" s="30"/>
      <c r="AQ545" s="21">
        <f t="shared" si="221"/>
        <v>0</v>
      </c>
      <c r="AR545" s="31" t="s">
        <v>20</v>
      </c>
      <c r="AS545" s="13"/>
      <c r="AT545" s="13" t="s">
        <v>21</v>
      </c>
      <c r="AU545" s="13" t="s">
        <v>22</v>
      </c>
      <c r="AV545" s="14" t="s">
        <v>23</v>
      </c>
      <c r="AW545" s="60"/>
      <c r="AX545" s="32"/>
      <c r="AY545" s="25"/>
      <c r="AZ545" s="33"/>
      <c r="BA545" s="30"/>
      <c r="BB545" s="30"/>
      <c r="BC545" s="21">
        <f t="shared" si="222"/>
        <v>0</v>
      </c>
      <c r="BD545" s="31" t="s">
        <v>20</v>
      </c>
      <c r="BE545" s="13"/>
      <c r="BF545" s="13" t="s">
        <v>21</v>
      </c>
      <c r="BG545" s="13" t="s">
        <v>22</v>
      </c>
      <c r="BH545" s="14" t="s">
        <v>23</v>
      </c>
      <c r="BI545" s="60"/>
      <c r="BJ545" s="32"/>
      <c r="BK545" s="25"/>
      <c r="BL545" s="33"/>
      <c r="BM545" s="30"/>
      <c r="BN545" s="30"/>
      <c r="BO545" s="21">
        <f t="shared" si="223"/>
        <v>0</v>
      </c>
      <c r="BP545" s="31" t="s">
        <v>20</v>
      </c>
      <c r="BQ545" s="13"/>
      <c r="BR545" s="13" t="s">
        <v>21</v>
      </c>
      <c r="BS545" s="13" t="s">
        <v>22</v>
      </c>
      <c r="BT545" s="14" t="s">
        <v>23</v>
      </c>
      <c r="BU545" s="110"/>
      <c r="BV545" s="107"/>
      <c r="BW545" s="107"/>
      <c r="BX545" s="107"/>
      <c r="BY545" s="107"/>
      <c r="BZ545" s="107"/>
      <c r="CA545" s="111"/>
      <c r="CB545" s="113"/>
      <c r="CC545" s="107"/>
      <c r="CD545" s="107"/>
      <c r="CE545" s="107"/>
      <c r="CF545" s="107"/>
      <c r="CG545" s="107"/>
      <c r="CH545" s="107"/>
      <c r="CI545" s="107"/>
      <c r="CJ545" s="107"/>
    </row>
    <row r="546">
      <c r="A546" s="60"/>
      <c r="B546" s="35"/>
      <c r="C546" s="17"/>
      <c r="D546" s="18"/>
      <c r="E546" s="20">
        <v>400000.0</v>
      </c>
      <c r="F546" s="20"/>
      <c r="G546" s="21">
        <f t="shared" si="218"/>
        <v>396200</v>
      </c>
      <c r="H546" s="36"/>
      <c r="I546" s="13"/>
      <c r="J546" s="21">
        <f t="shared" ref="J546:L546" si="224">SUM(J544)-(J544*10%)</f>
        <v>106006.0995</v>
      </c>
      <c r="K546" s="21">
        <f t="shared" si="224"/>
        <v>265015.2488</v>
      </c>
      <c r="L546" s="23">
        <f t="shared" si="224"/>
        <v>371021.3483</v>
      </c>
      <c r="M546" s="60"/>
      <c r="N546" s="37"/>
      <c r="O546" s="25"/>
      <c r="P546" s="33"/>
      <c r="Q546" s="20"/>
      <c r="R546" s="20"/>
      <c r="S546" s="21">
        <f t="shared" si="219"/>
        <v>0</v>
      </c>
      <c r="T546" s="36"/>
      <c r="U546" s="13"/>
      <c r="V546" s="21">
        <f t="shared" ref="V546:X546" si="225">SUM(V544)-(V544*10%)</f>
        <v>0</v>
      </c>
      <c r="W546" s="21">
        <f t="shared" si="225"/>
        <v>0</v>
      </c>
      <c r="X546" s="23">
        <f t="shared" si="225"/>
        <v>0</v>
      </c>
      <c r="Y546" s="15"/>
      <c r="Z546" s="32"/>
      <c r="AA546" s="25"/>
      <c r="AB546" s="33"/>
      <c r="AC546" s="20"/>
      <c r="AD546" s="20"/>
      <c r="AE546" s="21">
        <f t="shared" si="220"/>
        <v>0</v>
      </c>
      <c r="AF546" s="36"/>
      <c r="AG546" s="13"/>
      <c r="AH546" s="21">
        <f t="shared" ref="AH546:AJ546" si="226">SUM(AH544)-(AH544*10%)</f>
        <v>0</v>
      </c>
      <c r="AI546" s="21">
        <f t="shared" si="226"/>
        <v>0</v>
      </c>
      <c r="AJ546" s="23">
        <f t="shared" si="226"/>
        <v>0</v>
      </c>
      <c r="AK546" s="15"/>
      <c r="AL546" s="37"/>
      <c r="AM546" s="25"/>
      <c r="AN546" s="33"/>
      <c r="AO546" s="20"/>
      <c r="AP546" s="20"/>
      <c r="AQ546" s="21">
        <f t="shared" si="221"/>
        <v>0</v>
      </c>
      <c r="AR546" s="36"/>
      <c r="AS546" s="13"/>
      <c r="AT546" s="21">
        <f t="shared" ref="AT546:AV546" si="227">SUM(AT544)-(AT544*10%)</f>
        <v>0</v>
      </c>
      <c r="AU546" s="21">
        <f t="shared" si="227"/>
        <v>0</v>
      </c>
      <c r="AV546" s="23">
        <f t="shared" si="227"/>
        <v>0</v>
      </c>
      <c r="AW546" s="60"/>
      <c r="AX546" s="32"/>
      <c r="AY546" s="25"/>
      <c r="AZ546" s="33"/>
      <c r="BA546" s="20"/>
      <c r="BB546" s="20"/>
      <c r="BC546" s="21">
        <f t="shared" si="222"/>
        <v>0</v>
      </c>
      <c r="BD546" s="36"/>
      <c r="BE546" s="13"/>
      <c r="BF546" s="21">
        <f t="shared" ref="BF546:BH546" si="228">SUM(BF544)-(BF544*10%)</f>
        <v>0</v>
      </c>
      <c r="BG546" s="21">
        <f t="shared" si="228"/>
        <v>0</v>
      </c>
      <c r="BH546" s="23">
        <f t="shared" si="228"/>
        <v>0</v>
      </c>
      <c r="BI546" s="60"/>
      <c r="BJ546" s="32"/>
      <c r="BK546" s="25"/>
      <c r="BL546" s="33"/>
      <c r="BM546" s="20"/>
      <c r="BN546" s="20"/>
      <c r="BO546" s="21">
        <f t="shared" si="223"/>
        <v>0</v>
      </c>
      <c r="BP546" s="36"/>
      <c r="BQ546" s="13"/>
      <c r="BR546" s="21">
        <f t="shared" ref="BR546:BT546" si="229">SUM(BR544)-(BR544*10%)</f>
        <v>0</v>
      </c>
      <c r="BS546" s="21">
        <f t="shared" si="229"/>
        <v>0</v>
      </c>
      <c r="BT546" s="23">
        <f t="shared" si="229"/>
        <v>0</v>
      </c>
      <c r="BU546" s="110"/>
      <c r="BV546" s="107"/>
      <c r="BW546" s="107"/>
      <c r="BX546" s="107"/>
      <c r="BY546" s="107"/>
      <c r="BZ546" s="107"/>
      <c r="CA546" s="111"/>
      <c r="CB546" s="107"/>
      <c r="CC546" s="107"/>
      <c r="CD546" s="111"/>
      <c r="CE546" s="111"/>
      <c r="CF546" s="111"/>
      <c r="CG546" s="107"/>
      <c r="CH546" s="107"/>
      <c r="CI546" s="107"/>
      <c r="CJ546" s="107"/>
    </row>
    <row r="547">
      <c r="A547" s="60"/>
      <c r="B547" s="27"/>
      <c r="C547" s="17"/>
      <c r="D547" s="18">
        <v>90000.0</v>
      </c>
      <c r="E547" s="20"/>
      <c r="F547" s="20"/>
      <c r="G547" s="21">
        <f t="shared" si="218"/>
        <v>90000</v>
      </c>
      <c r="H547" s="13"/>
      <c r="I547" s="13"/>
      <c r="J547" s="13"/>
      <c r="K547" s="13"/>
      <c r="L547" s="14"/>
      <c r="M547" s="105"/>
      <c r="N547" s="37"/>
      <c r="O547" s="93"/>
      <c r="P547" s="33"/>
      <c r="Q547" s="20"/>
      <c r="R547" s="20"/>
      <c r="S547" s="21">
        <f t="shared" si="219"/>
        <v>0</v>
      </c>
      <c r="T547" s="13"/>
      <c r="U547" s="13"/>
      <c r="V547" s="13"/>
      <c r="W547" s="13"/>
      <c r="X547" s="14"/>
      <c r="Y547" s="15"/>
      <c r="Z547" s="32"/>
      <c r="AA547" s="93"/>
      <c r="AB547" s="33"/>
      <c r="AC547" s="20"/>
      <c r="AD547" s="20"/>
      <c r="AE547" s="21">
        <f t="shared" si="220"/>
        <v>0</v>
      </c>
      <c r="AF547" s="13"/>
      <c r="AG547" s="13"/>
      <c r="AH547" s="13"/>
      <c r="AI547" s="13"/>
      <c r="AJ547" s="14"/>
      <c r="AK547" s="15"/>
      <c r="AL547" s="32"/>
      <c r="AM547" s="93"/>
      <c r="AN547" s="33"/>
      <c r="AO547" s="20"/>
      <c r="AP547" s="20"/>
      <c r="AQ547" s="21">
        <f t="shared" si="221"/>
        <v>0</v>
      </c>
      <c r="AR547" s="13"/>
      <c r="AS547" s="13"/>
      <c r="AT547" s="13"/>
      <c r="AU547" s="13"/>
      <c r="AV547" s="14"/>
      <c r="AW547" s="60"/>
      <c r="AX547" s="32"/>
      <c r="AY547" s="93"/>
      <c r="AZ547" s="33"/>
      <c r="BA547" s="20"/>
      <c r="BB547" s="20"/>
      <c r="BC547" s="21">
        <f t="shared" si="222"/>
        <v>0</v>
      </c>
      <c r="BD547" s="13"/>
      <c r="BE547" s="13"/>
      <c r="BF547" s="13"/>
      <c r="BG547" s="13"/>
      <c r="BH547" s="14"/>
      <c r="BI547" s="60"/>
      <c r="BJ547" s="32"/>
      <c r="BK547" s="93"/>
      <c r="BL547" s="33"/>
      <c r="BM547" s="20"/>
      <c r="BN547" s="20"/>
      <c r="BO547" s="21">
        <f t="shared" si="223"/>
        <v>0</v>
      </c>
      <c r="BP547" s="13"/>
      <c r="BQ547" s="13"/>
      <c r="BR547" s="13"/>
      <c r="BS547" s="13"/>
      <c r="BT547" s="14"/>
      <c r="BU547" s="110"/>
      <c r="BV547" s="107"/>
      <c r="BW547" s="107"/>
      <c r="BX547" s="107"/>
      <c r="BY547" s="107"/>
      <c r="BZ547" s="107"/>
      <c r="CA547" s="111"/>
      <c r="CB547" s="107"/>
      <c r="CC547" s="107"/>
      <c r="CD547" s="107"/>
      <c r="CE547" s="107"/>
      <c r="CF547" s="107"/>
      <c r="CG547" s="107"/>
      <c r="CH547" s="107"/>
      <c r="CI547" s="107"/>
      <c r="CJ547" s="107"/>
    </row>
    <row r="548">
      <c r="A548" s="60"/>
      <c r="B548" s="35"/>
      <c r="C548" s="17"/>
      <c r="D548" s="18"/>
      <c r="E548" s="20"/>
      <c r="F548" s="20">
        <v>1200000.0</v>
      </c>
      <c r="G548" s="21">
        <f t="shared" si="218"/>
        <v>1014000</v>
      </c>
      <c r="H548" s="13"/>
      <c r="I548" s="13"/>
      <c r="J548" s="13"/>
      <c r="K548" s="13"/>
      <c r="L548" s="14"/>
      <c r="M548" s="105"/>
      <c r="N548" s="20"/>
      <c r="O548" s="25"/>
      <c r="P548" s="33"/>
      <c r="Q548" s="20"/>
      <c r="R548" s="20"/>
      <c r="S548" s="21">
        <f t="shared" si="219"/>
        <v>0</v>
      </c>
      <c r="T548" s="13"/>
      <c r="U548" s="13"/>
      <c r="V548" s="13"/>
      <c r="W548" s="13"/>
      <c r="X548" s="14"/>
      <c r="Y548" s="60"/>
      <c r="Z548" s="32"/>
      <c r="AA548" s="25"/>
      <c r="AB548" s="33"/>
      <c r="AC548" s="20"/>
      <c r="AD548" s="20"/>
      <c r="AE548" s="21">
        <f t="shared" si="220"/>
        <v>0</v>
      </c>
      <c r="AF548" s="13"/>
      <c r="AG548" s="13"/>
      <c r="AH548" s="13"/>
      <c r="AI548" s="13"/>
      <c r="AJ548" s="14"/>
      <c r="AK548" s="15"/>
      <c r="AL548" s="32"/>
      <c r="AM548" s="25"/>
      <c r="AN548" s="33"/>
      <c r="AO548" s="20"/>
      <c r="AP548" s="20"/>
      <c r="AQ548" s="21">
        <f t="shared" si="221"/>
        <v>0</v>
      </c>
      <c r="AR548" s="13"/>
      <c r="AS548" s="13"/>
      <c r="AT548" s="13"/>
      <c r="AU548" s="13"/>
      <c r="AV548" s="14"/>
      <c r="AW548" s="60"/>
      <c r="AX548" s="32"/>
      <c r="AY548" s="25"/>
      <c r="AZ548" s="33"/>
      <c r="BA548" s="20"/>
      <c r="BB548" s="20"/>
      <c r="BC548" s="21">
        <f t="shared" si="222"/>
        <v>0</v>
      </c>
      <c r="BD548" s="13"/>
      <c r="BE548" s="13"/>
      <c r="BF548" s="13"/>
      <c r="BG548" s="13"/>
      <c r="BH548" s="14"/>
      <c r="BI548" s="60"/>
      <c r="BJ548" s="32"/>
      <c r="BK548" s="25"/>
      <c r="BL548" s="33"/>
      <c r="BM548" s="20"/>
      <c r="BN548" s="20"/>
      <c r="BO548" s="21">
        <f t="shared" si="223"/>
        <v>0</v>
      </c>
      <c r="BP548" s="13"/>
      <c r="BQ548" s="13"/>
      <c r="BR548" s="13"/>
      <c r="BS548" s="13"/>
      <c r="BT548" s="14"/>
      <c r="BU548" s="110"/>
      <c r="BV548" s="107"/>
      <c r="BW548" s="107"/>
      <c r="BX548" s="107"/>
      <c r="BY548" s="107"/>
      <c r="BZ548" s="107"/>
      <c r="CA548" s="111"/>
      <c r="CB548" s="107"/>
      <c r="CC548" s="107"/>
      <c r="CD548" s="107"/>
      <c r="CE548" s="107"/>
      <c r="CF548" s="107"/>
      <c r="CG548" s="107"/>
      <c r="CH548" s="107"/>
      <c r="CI548" s="107"/>
      <c r="CJ548" s="107"/>
    </row>
    <row r="549">
      <c r="A549" s="60"/>
      <c r="B549" s="39"/>
      <c r="C549" s="43"/>
      <c r="D549" s="18"/>
      <c r="E549" s="20"/>
      <c r="F549" s="20">
        <v>500000.0</v>
      </c>
      <c r="G549" s="21">
        <f t="shared" si="218"/>
        <v>422500</v>
      </c>
      <c r="H549" s="13"/>
      <c r="I549" s="13"/>
      <c r="J549" s="13"/>
      <c r="K549" s="13">
        <f>H551-AD544-AC545</f>
        <v>5889227.75</v>
      </c>
      <c r="L549" s="14"/>
      <c r="M549" s="105"/>
      <c r="N549" s="32"/>
      <c r="O549" s="93"/>
      <c r="P549" s="33"/>
      <c r="Q549" s="20"/>
      <c r="R549" s="20"/>
      <c r="S549" s="21">
        <f t="shared" si="219"/>
        <v>0</v>
      </c>
      <c r="T549" s="13"/>
      <c r="U549" s="13"/>
      <c r="V549" s="13"/>
      <c r="W549" s="13"/>
      <c r="X549" s="14"/>
      <c r="Y549" s="60"/>
      <c r="Z549" s="32"/>
      <c r="AA549" s="25"/>
      <c r="AB549" s="33"/>
      <c r="AC549" s="20"/>
      <c r="AD549" s="20"/>
      <c r="AE549" s="21">
        <f t="shared" si="220"/>
        <v>0</v>
      </c>
      <c r="AF549" s="13"/>
      <c r="AG549" s="13"/>
      <c r="AH549" s="13"/>
      <c r="AI549" s="13"/>
      <c r="AJ549" s="14"/>
      <c r="AK549" s="15"/>
      <c r="AL549" s="32"/>
      <c r="AM549" s="25"/>
      <c r="AN549" s="33"/>
      <c r="AO549" s="20"/>
      <c r="AP549" s="20"/>
      <c r="AQ549" s="21">
        <f t="shared" si="221"/>
        <v>0</v>
      </c>
      <c r="AR549" s="13"/>
      <c r="AS549" s="13"/>
      <c r="AT549" s="13"/>
      <c r="AU549" s="13"/>
      <c r="AV549" s="14"/>
      <c r="AW549" s="60"/>
      <c r="AX549" s="32"/>
      <c r="AY549" s="25"/>
      <c r="AZ549" s="33"/>
      <c r="BA549" s="20"/>
      <c r="BB549" s="20"/>
      <c r="BC549" s="21">
        <f t="shared" si="222"/>
        <v>0</v>
      </c>
      <c r="BD549" s="13"/>
      <c r="BE549" s="13"/>
      <c r="BF549" s="13"/>
      <c r="BG549" s="13"/>
      <c r="BH549" s="14"/>
      <c r="BI549" s="60"/>
      <c r="BJ549" s="32"/>
      <c r="BK549" s="25"/>
      <c r="BL549" s="33"/>
      <c r="BM549" s="20"/>
      <c r="BN549" s="20"/>
      <c r="BO549" s="21">
        <f t="shared" si="223"/>
        <v>0</v>
      </c>
      <c r="BP549" s="13"/>
      <c r="BQ549" s="13"/>
      <c r="BR549" s="13"/>
      <c r="BS549" s="13"/>
      <c r="BT549" s="14"/>
      <c r="BU549" s="110"/>
      <c r="BV549" s="107"/>
      <c r="BW549" s="107"/>
      <c r="BX549" s="107"/>
      <c r="BY549" s="107"/>
      <c r="BZ549" s="107"/>
      <c r="CA549" s="111"/>
      <c r="CB549" s="107"/>
      <c r="CC549" s="107"/>
      <c r="CD549" s="107"/>
      <c r="CE549" s="107"/>
      <c r="CF549" s="107"/>
      <c r="CG549" s="107"/>
      <c r="CH549" s="107"/>
      <c r="CI549" s="107"/>
      <c r="CJ549" s="107"/>
    </row>
    <row r="550">
      <c r="A550" s="60"/>
      <c r="B550" s="35"/>
      <c r="C550" s="17"/>
      <c r="D550" s="18"/>
      <c r="E550" s="20">
        <v>155500.0</v>
      </c>
      <c r="F550" s="20"/>
      <c r="G550" s="21">
        <f t="shared" si="218"/>
        <v>154022.75</v>
      </c>
      <c r="H550" s="94" t="s">
        <v>13</v>
      </c>
      <c r="I550" s="86" t="s">
        <v>57</v>
      </c>
      <c r="J550" s="86" t="s">
        <v>57</v>
      </c>
      <c r="K550" s="86" t="s">
        <v>65</v>
      </c>
      <c r="L550" s="95"/>
      <c r="M550" s="105"/>
      <c r="N550" s="37"/>
      <c r="O550" s="25"/>
      <c r="P550" s="33"/>
      <c r="Q550" s="20"/>
      <c r="R550" s="20"/>
      <c r="S550" s="21">
        <f t="shared" si="219"/>
        <v>0</v>
      </c>
      <c r="T550" s="13"/>
      <c r="U550" s="13"/>
      <c r="V550" s="13"/>
      <c r="W550" s="13"/>
      <c r="X550" s="14"/>
      <c r="Y550" s="38"/>
      <c r="Z550" s="32"/>
      <c r="AA550" s="25"/>
      <c r="AB550" s="33"/>
      <c r="AC550" s="20"/>
      <c r="AD550" s="20"/>
      <c r="AE550" s="21">
        <f t="shared" si="220"/>
        <v>0</v>
      </c>
      <c r="AF550" s="13"/>
      <c r="AG550" s="13"/>
      <c r="AH550" s="13"/>
      <c r="AI550" s="13"/>
      <c r="AJ550" s="14"/>
      <c r="AK550" s="15"/>
      <c r="AL550" s="32"/>
      <c r="AM550" s="25"/>
      <c r="AN550" s="33"/>
      <c r="AO550" s="20"/>
      <c r="AP550" s="20"/>
      <c r="AQ550" s="21">
        <f t="shared" si="221"/>
        <v>0</v>
      </c>
      <c r="AR550" s="13"/>
      <c r="AS550" s="13"/>
      <c r="AT550" s="13"/>
      <c r="AU550" s="13"/>
      <c r="AV550" s="14"/>
      <c r="AW550" s="38"/>
      <c r="AX550" s="32"/>
      <c r="AY550" s="25"/>
      <c r="AZ550" s="33"/>
      <c r="BA550" s="20"/>
      <c r="BB550" s="20"/>
      <c r="BC550" s="21">
        <f t="shared" si="222"/>
        <v>0</v>
      </c>
      <c r="BD550" s="13"/>
      <c r="BE550" s="13"/>
      <c r="BF550" s="13"/>
      <c r="BG550" s="13"/>
      <c r="BH550" s="14"/>
      <c r="BI550" s="38"/>
      <c r="BJ550" s="32"/>
      <c r="BK550" s="25"/>
      <c r="BL550" s="33"/>
      <c r="BM550" s="20"/>
      <c r="BN550" s="20"/>
      <c r="BO550" s="21">
        <f t="shared" si="223"/>
        <v>0</v>
      </c>
      <c r="BP550" s="13"/>
      <c r="BQ550" s="13"/>
      <c r="BR550" s="13"/>
      <c r="BS550" s="13"/>
      <c r="BT550" s="14"/>
      <c r="BU550" s="110"/>
      <c r="BV550" s="107"/>
      <c r="BW550" s="107"/>
      <c r="BX550" s="107"/>
      <c r="BY550" s="107"/>
      <c r="BZ550" s="107"/>
      <c r="CA550" s="111"/>
      <c r="CB550" s="107"/>
      <c r="CC550" s="107"/>
      <c r="CD550" s="107"/>
      <c r="CE550" s="107"/>
      <c r="CF550" s="107"/>
      <c r="CG550" s="107"/>
      <c r="CH550" s="107"/>
      <c r="CI550" s="107"/>
      <c r="CJ550" s="107"/>
    </row>
    <row r="551">
      <c r="A551" s="15"/>
      <c r="B551" s="16"/>
      <c r="C551" s="17"/>
      <c r="D551" s="28"/>
      <c r="E551" s="30"/>
      <c r="F551" s="30">
        <v>1200000.0</v>
      </c>
      <c r="G551" s="21">
        <f t="shared" si="218"/>
        <v>1014000</v>
      </c>
      <c r="H551" s="95">
        <f>AG544+I544+U544+AS544+BE544+BQ544+CC544</f>
        <v>5889227.75</v>
      </c>
      <c r="I551" s="102" t="s">
        <v>52</v>
      </c>
      <c r="J551" s="102" t="s">
        <v>44</v>
      </c>
      <c r="K551" s="102" t="s">
        <v>52</v>
      </c>
      <c r="L551" s="102" t="s">
        <v>44</v>
      </c>
      <c r="M551" s="105"/>
      <c r="N551" s="37"/>
      <c r="O551" s="25"/>
      <c r="P551" s="41"/>
      <c r="Q551" s="20"/>
      <c r="R551" s="20"/>
      <c r="S551" s="21">
        <f t="shared" si="219"/>
        <v>0</v>
      </c>
      <c r="T551" s="67"/>
      <c r="U551" s="67"/>
      <c r="V551" s="67"/>
      <c r="W551" s="13"/>
      <c r="X551" s="14"/>
      <c r="Y551" s="38"/>
      <c r="Z551" s="37"/>
      <c r="AA551" s="25"/>
      <c r="AB551" s="41"/>
      <c r="AC551" s="20"/>
      <c r="AD551" s="20"/>
      <c r="AE551" s="21">
        <f t="shared" si="220"/>
        <v>0</v>
      </c>
      <c r="AF551" s="13"/>
      <c r="AG551" s="13"/>
      <c r="AH551" s="13"/>
      <c r="AI551" s="13"/>
      <c r="AJ551" s="14"/>
      <c r="AK551" s="15"/>
      <c r="AL551" s="37"/>
      <c r="AM551" s="25"/>
      <c r="AN551" s="41"/>
      <c r="AO551" s="20"/>
      <c r="AP551" s="20"/>
      <c r="AQ551" s="21">
        <f t="shared" si="221"/>
        <v>0</v>
      </c>
      <c r="AR551" s="13"/>
      <c r="AS551" s="13"/>
      <c r="AT551" s="13"/>
      <c r="AU551" s="13"/>
      <c r="AV551" s="14"/>
      <c r="AW551" s="38"/>
      <c r="AX551" s="37"/>
      <c r="AY551" s="25"/>
      <c r="AZ551" s="41"/>
      <c r="BA551" s="20"/>
      <c r="BB551" s="20"/>
      <c r="BC551" s="21">
        <f t="shared" si="222"/>
        <v>0</v>
      </c>
      <c r="BD551" s="13"/>
      <c r="BE551" s="13"/>
      <c r="BF551" s="13"/>
      <c r="BG551" s="13"/>
      <c r="BH551" s="14"/>
      <c r="BI551" s="38"/>
      <c r="BJ551" s="37"/>
      <c r="BK551" s="25"/>
      <c r="BL551" s="41"/>
      <c r="BM551" s="20"/>
      <c r="BN551" s="20"/>
      <c r="BO551" s="21">
        <f t="shared" si="223"/>
        <v>0</v>
      </c>
      <c r="BP551" s="13"/>
      <c r="BQ551" s="13"/>
      <c r="BR551" s="13"/>
      <c r="BS551" s="13"/>
      <c r="BT551" s="14"/>
      <c r="BU551" s="107"/>
      <c r="BV551" s="107"/>
      <c r="BW551" s="107"/>
      <c r="BX551" s="107"/>
      <c r="BY551" s="107"/>
      <c r="BZ551" s="107"/>
      <c r="CA551" s="111"/>
      <c r="CB551" s="107"/>
      <c r="CC551" s="107"/>
      <c r="CD551" s="107"/>
      <c r="CE551" s="107"/>
      <c r="CF551" s="107"/>
      <c r="CG551" s="107"/>
      <c r="CH551" s="107"/>
      <c r="CI551" s="107"/>
      <c r="CJ551" s="107"/>
    </row>
    <row r="552">
      <c r="A552" s="60"/>
      <c r="B552" s="35"/>
      <c r="C552" s="17"/>
      <c r="D552" s="18"/>
      <c r="E552" s="20">
        <v>120000.0</v>
      </c>
      <c r="F552" s="20"/>
      <c r="G552" s="21">
        <f t="shared" si="218"/>
        <v>118860</v>
      </c>
      <c r="H552" s="95"/>
      <c r="I552" s="115">
        <f>SUM(H551)-(H551*99%)</f>
        <v>58892.2775</v>
      </c>
      <c r="J552" s="87">
        <f>SUM(H551)-(H551*98.5%)</f>
        <v>88338.41625</v>
      </c>
      <c r="K552" s="87">
        <f>SUM(K549)-(K549*99%)</f>
        <v>58892.2775</v>
      </c>
      <c r="L552" s="87">
        <f>SUM(K549)-(K549*98.5%)</f>
        <v>88338.41625</v>
      </c>
      <c r="M552" s="15"/>
      <c r="N552" s="24"/>
      <c r="O552" s="25"/>
      <c r="P552" s="41"/>
      <c r="Q552" s="30"/>
      <c r="R552" s="20"/>
      <c r="S552" s="21">
        <f t="shared" si="219"/>
        <v>0</v>
      </c>
      <c r="T552" s="13"/>
      <c r="U552" s="13"/>
      <c r="V552" s="13"/>
      <c r="W552" s="13"/>
      <c r="X552" s="14"/>
      <c r="Y552" s="38"/>
      <c r="Z552" s="24"/>
      <c r="AA552" s="25"/>
      <c r="AB552" s="41"/>
      <c r="AC552" s="30"/>
      <c r="AD552" s="30"/>
      <c r="AE552" s="21">
        <f t="shared" si="220"/>
        <v>0</v>
      </c>
      <c r="AF552" s="13"/>
      <c r="AG552" s="13"/>
      <c r="AH552" s="13"/>
      <c r="AI552" s="13"/>
      <c r="AJ552" s="14"/>
      <c r="AK552" s="38"/>
      <c r="AL552" s="24"/>
      <c r="AM552" s="25"/>
      <c r="AN552" s="41"/>
      <c r="AO552" s="30"/>
      <c r="AP552" s="30"/>
      <c r="AQ552" s="21">
        <f t="shared" si="221"/>
        <v>0</v>
      </c>
      <c r="AR552" s="13"/>
      <c r="AS552" s="13"/>
      <c r="AT552" s="13"/>
      <c r="AU552" s="13"/>
      <c r="AV552" s="14"/>
      <c r="AW552" s="38"/>
      <c r="AX552" s="24"/>
      <c r="AY552" s="25"/>
      <c r="AZ552" s="41"/>
      <c r="BA552" s="30"/>
      <c r="BB552" s="30"/>
      <c r="BC552" s="21">
        <f t="shared" si="222"/>
        <v>0</v>
      </c>
      <c r="BD552" s="67"/>
      <c r="BE552" s="67"/>
      <c r="BF552" s="13"/>
      <c r="BG552" s="13"/>
      <c r="BH552" s="14"/>
      <c r="BI552" s="38"/>
      <c r="BJ552" s="24"/>
      <c r="BK552" s="25"/>
      <c r="BL552" s="41"/>
      <c r="BM552" s="30"/>
      <c r="BN552" s="30"/>
      <c r="BO552" s="21">
        <f t="shared" si="223"/>
        <v>0</v>
      </c>
      <c r="BP552" s="13"/>
      <c r="BQ552" s="13"/>
      <c r="BR552" s="13"/>
      <c r="BS552" s="13"/>
      <c r="BT552" s="14"/>
      <c r="BU552" s="107"/>
      <c r="BV552" s="107"/>
      <c r="BW552" s="107"/>
      <c r="BX552" s="107"/>
      <c r="BY552" s="107"/>
      <c r="BZ552" s="107"/>
      <c r="CA552" s="111"/>
      <c r="CB552" s="107"/>
      <c r="CC552" s="107"/>
      <c r="CD552" s="107"/>
      <c r="CE552" s="107"/>
      <c r="CF552" s="107"/>
      <c r="CG552" s="107"/>
      <c r="CH552" s="107"/>
      <c r="CI552" s="107"/>
      <c r="CJ552" s="107"/>
    </row>
    <row r="553">
      <c r="A553" s="60"/>
      <c r="B553" s="24"/>
      <c r="C553" s="25"/>
      <c r="D553" s="41"/>
      <c r="E553" s="46">
        <v>90000.0</v>
      </c>
      <c r="F553" s="46"/>
      <c r="G553" s="21">
        <f t="shared" si="218"/>
        <v>89145</v>
      </c>
      <c r="H553" s="95"/>
      <c r="I553" s="86" t="s">
        <v>53</v>
      </c>
      <c r="J553" s="86" t="s">
        <v>36</v>
      </c>
      <c r="K553" s="86" t="s">
        <v>53</v>
      </c>
      <c r="L553" s="86" t="s">
        <v>36</v>
      </c>
      <c r="M553" s="15"/>
      <c r="N553" s="37"/>
      <c r="O553" s="25"/>
      <c r="P553" s="33"/>
      <c r="Q553" s="20"/>
      <c r="R553" s="20"/>
      <c r="S553" s="21">
        <f t="shared" si="219"/>
        <v>0</v>
      </c>
      <c r="T553" s="13"/>
      <c r="U553" s="13"/>
      <c r="V553" s="13"/>
      <c r="W553" s="13"/>
      <c r="X553" s="14"/>
      <c r="Y553" s="38"/>
      <c r="Z553" s="37"/>
      <c r="AA553" s="25"/>
      <c r="AB553" s="41"/>
      <c r="AC553" s="20"/>
      <c r="AD553" s="20"/>
      <c r="AE553" s="21">
        <f t="shared" si="220"/>
        <v>0</v>
      </c>
      <c r="AF553" s="13"/>
      <c r="AG553" s="13"/>
      <c r="AH553" s="13"/>
      <c r="AI553" s="13"/>
      <c r="AJ553" s="14"/>
      <c r="AK553" s="38"/>
      <c r="AL553" s="37"/>
      <c r="AM553" s="25"/>
      <c r="AN553" s="41"/>
      <c r="AO553" s="20"/>
      <c r="AP553" s="20"/>
      <c r="AQ553" s="21">
        <f t="shared" si="221"/>
        <v>0</v>
      </c>
      <c r="AR553" s="13"/>
      <c r="AS553" s="13"/>
      <c r="AT553" s="13"/>
      <c r="AU553" s="13"/>
      <c r="AV553" s="14"/>
      <c r="AW553" s="38"/>
      <c r="AX553" s="37"/>
      <c r="AY553" s="25"/>
      <c r="AZ553" s="41"/>
      <c r="BA553" s="20"/>
      <c r="BB553" s="20"/>
      <c r="BC553" s="21">
        <f t="shared" si="222"/>
        <v>0</v>
      </c>
      <c r="BD553" s="13"/>
      <c r="BE553" s="13"/>
      <c r="BF553" s="13"/>
      <c r="BG553" s="13"/>
      <c r="BH553" s="14"/>
      <c r="BI553" s="38"/>
      <c r="BJ553" s="37"/>
      <c r="BK553" s="25"/>
      <c r="BL553" s="41"/>
      <c r="BM553" s="20"/>
      <c r="BN553" s="20"/>
      <c r="BO553" s="21">
        <f t="shared" si="223"/>
        <v>0</v>
      </c>
      <c r="BP553" s="13"/>
      <c r="BQ553" s="13"/>
      <c r="BR553" s="13"/>
      <c r="BS553" s="13"/>
      <c r="BT553" s="14"/>
      <c r="BU553" s="107"/>
      <c r="BV553" s="107"/>
      <c r="BW553" s="107"/>
      <c r="BX553" s="107"/>
      <c r="BY553" s="107"/>
      <c r="BZ553" s="107"/>
      <c r="CA553" s="111"/>
      <c r="CB553" s="107"/>
      <c r="CC553" s="107"/>
      <c r="CD553" s="107"/>
      <c r="CE553" s="107"/>
      <c r="CF553" s="107"/>
      <c r="CG553" s="107"/>
      <c r="CH553" s="107"/>
      <c r="CI553" s="107"/>
      <c r="CJ553" s="107"/>
    </row>
    <row r="554">
      <c r="A554" s="60"/>
      <c r="B554" s="47"/>
      <c r="C554" s="93">
        <v>2000000.0</v>
      </c>
      <c r="D554" s="33"/>
      <c r="E554" s="46"/>
      <c r="F554" s="46"/>
      <c r="G554" s="21">
        <f>SUM(B554)-(B554*15%)+(C554)-(C554*20%)+(D554)+(E554)-(E554*0.95%)+(F554)-(F554*15.5%)</f>
        <v>1600000</v>
      </c>
      <c r="H554" s="94" t="s">
        <v>12</v>
      </c>
      <c r="I554" s="87">
        <f t="shared" ref="I554:L554" si="230">SUM(I552)-(I552*10%)</f>
        <v>53003.04975</v>
      </c>
      <c r="J554" s="87">
        <f t="shared" si="230"/>
        <v>79504.57462</v>
      </c>
      <c r="K554" s="87">
        <f t="shared" si="230"/>
        <v>53003.04975</v>
      </c>
      <c r="L554" s="87">
        <f t="shared" si="230"/>
        <v>79504.57462</v>
      </c>
      <c r="M554" s="15"/>
      <c r="N554" s="24"/>
      <c r="O554" s="25"/>
      <c r="P554" s="41"/>
      <c r="Q554" s="46"/>
      <c r="R554" s="46"/>
      <c r="S554" s="21">
        <f t="shared" si="219"/>
        <v>0</v>
      </c>
      <c r="T554" s="13"/>
      <c r="U554" s="13"/>
      <c r="V554" s="13"/>
      <c r="W554" s="13"/>
      <c r="X554" s="14"/>
      <c r="Y554" s="38"/>
      <c r="Z554" s="24"/>
      <c r="AA554" s="25"/>
      <c r="AB554" s="41"/>
      <c r="AC554" s="46"/>
      <c r="AD554" s="46"/>
      <c r="AE554" s="21">
        <f t="shared" si="220"/>
        <v>0</v>
      </c>
      <c r="AF554" s="13"/>
      <c r="AG554" s="13"/>
      <c r="AH554" s="13"/>
      <c r="AI554" s="13"/>
      <c r="AJ554" s="14"/>
      <c r="AK554" s="38"/>
      <c r="AL554" s="24"/>
      <c r="AM554" s="25"/>
      <c r="AN554" s="41"/>
      <c r="AO554" s="46"/>
      <c r="AP554" s="46"/>
      <c r="AQ554" s="21">
        <f t="shared" si="221"/>
        <v>0</v>
      </c>
      <c r="AR554" s="13"/>
      <c r="AS554" s="13"/>
      <c r="AT554" s="13"/>
      <c r="AU554" s="13"/>
      <c r="AV554" s="14"/>
      <c r="AW554" s="38"/>
      <c r="AX554" s="24"/>
      <c r="AY554" s="25"/>
      <c r="AZ554" s="41"/>
      <c r="BA554" s="46"/>
      <c r="BB554" s="46"/>
      <c r="BC554" s="21">
        <f t="shared" si="222"/>
        <v>0</v>
      </c>
      <c r="BD554" s="13"/>
      <c r="BE554" s="13"/>
      <c r="BF554" s="13"/>
      <c r="BG554" s="13"/>
      <c r="BH554" s="14"/>
      <c r="BI554" s="38"/>
      <c r="BJ554" s="24"/>
      <c r="BK554" s="25"/>
      <c r="BL554" s="41"/>
      <c r="BM554" s="46"/>
      <c r="BN554" s="46"/>
      <c r="BO554" s="21">
        <f t="shared" si="223"/>
        <v>0</v>
      </c>
      <c r="BP554" s="13"/>
      <c r="BQ554" s="13"/>
      <c r="BR554" s="13"/>
      <c r="BS554" s="13"/>
      <c r="BT554" s="14"/>
      <c r="BU554" s="107"/>
      <c r="BV554" s="107"/>
      <c r="BW554" s="107"/>
      <c r="BX554" s="107"/>
      <c r="BY554" s="107"/>
      <c r="BZ554" s="107"/>
      <c r="CA554" s="111"/>
      <c r="CB554" s="107"/>
      <c r="CC554" s="107"/>
      <c r="CD554" s="107"/>
      <c r="CE554" s="107"/>
      <c r="CF554" s="107"/>
      <c r="CG554" s="107"/>
      <c r="CH554" s="107"/>
      <c r="CI554" s="107"/>
      <c r="CJ554" s="107"/>
    </row>
    <row r="555">
      <c r="A555" s="105"/>
      <c r="B555" s="47"/>
      <c r="C555" s="25"/>
      <c r="D555" s="33"/>
      <c r="E555" s="46"/>
      <c r="F555" s="46"/>
      <c r="G555" s="21">
        <f t="shared" ref="G555:G567" si="231">SUM(B555)-(B555*15%)+(C555)-(C555*20.8%)+(D555)+(E555)-(E555*0.95%)+(F555)-(F555*15.5%)</f>
        <v>0</v>
      </c>
      <c r="H555" s="95">
        <f>H544+T544+AF544+AR544+BD544+BP544+CB544</f>
        <v>6755500</v>
      </c>
      <c r="I555" s="95"/>
      <c r="J555" s="95"/>
      <c r="K555" s="86" t="s">
        <v>66</v>
      </c>
      <c r="L555" s="95"/>
      <c r="M555" s="38"/>
      <c r="N555" s="47"/>
      <c r="O555" s="25"/>
      <c r="P555" s="41"/>
      <c r="Q555" s="46"/>
      <c r="R555" s="46"/>
      <c r="S555" s="21">
        <f t="shared" si="219"/>
        <v>0</v>
      </c>
      <c r="T555" s="13"/>
      <c r="U555" s="13"/>
      <c r="V555" s="13"/>
      <c r="W555" s="13"/>
      <c r="X555" s="14"/>
      <c r="Y555" s="38"/>
      <c r="Z555" s="47"/>
      <c r="AA555" s="25"/>
      <c r="AB555" s="41"/>
      <c r="AC555" s="46"/>
      <c r="AD555" s="46"/>
      <c r="AE555" s="21">
        <f t="shared" si="220"/>
        <v>0</v>
      </c>
      <c r="AF555" s="13"/>
      <c r="AG555" s="13"/>
      <c r="AH555" s="13"/>
      <c r="AI555" s="13"/>
      <c r="AJ555" s="14"/>
      <c r="AK555" s="38"/>
      <c r="AL555" s="47"/>
      <c r="AM555" s="25"/>
      <c r="AN555" s="41"/>
      <c r="AO555" s="46"/>
      <c r="AP555" s="46"/>
      <c r="AQ555" s="21">
        <f t="shared" si="221"/>
        <v>0</v>
      </c>
      <c r="AR555" s="13"/>
      <c r="AS555" s="13"/>
      <c r="AT555" s="13"/>
      <c r="AU555" s="13"/>
      <c r="AV555" s="14"/>
      <c r="AW555" s="38"/>
      <c r="AX555" s="47"/>
      <c r="AY555" s="25"/>
      <c r="AZ555" s="41"/>
      <c r="BA555" s="46"/>
      <c r="BB555" s="46"/>
      <c r="BC555" s="21">
        <f t="shared" si="222"/>
        <v>0</v>
      </c>
      <c r="BD555" s="13"/>
      <c r="BE555" s="13"/>
      <c r="BF555" s="13"/>
      <c r="BG555" s="13"/>
      <c r="BH555" s="14"/>
      <c r="BI555" s="38"/>
      <c r="BJ555" s="47"/>
      <c r="BK555" s="25"/>
      <c r="BL555" s="41"/>
      <c r="BM555" s="46"/>
      <c r="BN555" s="46"/>
      <c r="BO555" s="21">
        <f t="shared" si="223"/>
        <v>0</v>
      </c>
      <c r="BP555" s="13"/>
      <c r="BQ555" s="13"/>
      <c r="BR555" s="13"/>
      <c r="BS555" s="13"/>
      <c r="BT555" s="14"/>
      <c r="BU555" s="107"/>
      <c r="BV555" s="107"/>
      <c r="BW555" s="107"/>
      <c r="BX555" s="107"/>
      <c r="BY555" s="107"/>
      <c r="BZ555" s="107"/>
      <c r="CA555" s="111"/>
      <c r="CB555" s="107"/>
      <c r="CC555" s="107"/>
      <c r="CD555" s="107"/>
      <c r="CE555" s="107"/>
      <c r="CF555" s="107"/>
      <c r="CG555" s="107"/>
      <c r="CH555" s="107"/>
      <c r="CI555" s="107"/>
      <c r="CJ555" s="107"/>
    </row>
    <row r="556">
      <c r="A556" s="105"/>
      <c r="B556" s="32"/>
      <c r="C556" s="25"/>
      <c r="D556" s="41"/>
      <c r="E556" s="46"/>
      <c r="F556" s="46"/>
      <c r="G556" s="21">
        <f t="shared" si="231"/>
        <v>0</v>
      </c>
      <c r="H556" s="95"/>
      <c r="I556" s="95"/>
      <c r="J556" s="95"/>
      <c r="K556" s="86">
        <f>J546+K554</f>
        <v>159009.1493</v>
      </c>
      <c r="L556" s="95"/>
      <c r="M556" s="38"/>
      <c r="N556" s="32"/>
      <c r="O556" s="25"/>
      <c r="P556" s="41"/>
      <c r="Q556" s="46"/>
      <c r="R556" s="46"/>
      <c r="S556" s="21">
        <f t="shared" si="219"/>
        <v>0</v>
      </c>
      <c r="T556" s="13"/>
      <c r="U556" s="13"/>
      <c r="V556" s="13"/>
      <c r="W556" s="13"/>
      <c r="X556" s="14"/>
      <c r="Y556" s="38"/>
      <c r="Z556" s="32"/>
      <c r="AA556" s="25"/>
      <c r="AB556" s="41"/>
      <c r="AC556" s="46"/>
      <c r="AD556" s="46"/>
      <c r="AE556" s="21">
        <f t="shared" si="220"/>
        <v>0</v>
      </c>
      <c r="AF556" s="13"/>
      <c r="AG556" s="13"/>
      <c r="AH556" s="13"/>
      <c r="AI556" s="13"/>
      <c r="AJ556" s="14"/>
      <c r="AK556" s="38"/>
      <c r="AL556" s="32"/>
      <c r="AM556" s="25"/>
      <c r="AN556" s="41"/>
      <c r="AO556" s="46"/>
      <c r="AP556" s="46"/>
      <c r="AQ556" s="21">
        <f t="shared" si="221"/>
        <v>0</v>
      </c>
      <c r="AR556" s="13"/>
      <c r="AS556" s="13"/>
      <c r="AT556" s="13"/>
      <c r="AU556" s="13"/>
      <c r="AV556" s="14"/>
      <c r="AW556" s="38"/>
      <c r="AX556" s="32"/>
      <c r="AY556" s="25"/>
      <c r="AZ556" s="41"/>
      <c r="BA556" s="46"/>
      <c r="BB556" s="46"/>
      <c r="BC556" s="21">
        <f t="shared" si="222"/>
        <v>0</v>
      </c>
      <c r="BD556" s="13"/>
      <c r="BE556" s="13"/>
      <c r="BF556" s="13"/>
      <c r="BG556" s="13"/>
      <c r="BH556" s="14"/>
      <c r="BI556" s="38"/>
      <c r="BJ556" s="32"/>
      <c r="BK556" s="25"/>
      <c r="BL556" s="41"/>
      <c r="BM556" s="46"/>
      <c r="BN556" s="46"/>
      <c r="BO556" s="21">
        <f t="shared" si="223"/>
        <v>0</v>
      </c>
      <c r="BP556" s="13"/>
      <c r="BQ556" s="13"/>
      <c r="BR556" s="13"/>
      <c r="BS556" s="13"/>
      <c r="BT556" s="14"/>
      <c r="BU556" s="107"/>
      <c r="BV556" s="107"/>
      <c r="BW556" s="107"/>
      <c r="BX556" s="107"/>
      <c r="BY556" s="107"/>
      <c r="BZ556" s="107"/>
      <c r="CA556" s="111"/>
      <c r="CB556" s="107"/>
      <c r="CC556" s="107"/>
      <c r="CD556" s="107"/>
      <c r="CE556" s="107"/>
      <c r="CF556" s="107"/>
      <c r="CG556" s="107"/>
      <c r="CH556" s="107"/>
      <c r="CI556" s="107"/>
      <c r="CJ556" s="107"/>
    </row>
    <row r="557">
      <c r="A557" s="105"/>
      <c r="B557" s="47"/>
      <c r="C557" s="25"/>
      <c r="D557" s="41"/>
      <c r="E557" s="46"/>
      <c r="F557" s="46"/>
      <c r="G557" s="21">
        <f t="shared" si="231"/>
        <v>0</v>
      </c>
      <c r="H557" s="13"/>
      <c r="I557" s="13"/>
      <c r="J557" s="13"/>
      <c r="K557" s="13"/>
      <c r="L557" s="14"/>
      <c r="M557" s="38"/>
      <c r="N557" s="47"/>
      <c r="O557" s="25"/>
      <c r="P557" s="41"/>
      <c r="Q557" s="46"/>
      <c r="R557" s="46"/>
      <c r="S557" s="21">
        <f t="shared" si="219"/>
        <v>0</v>
      </c>
      <c r="T557" s="13"/>
      <c r="U557" s="116"/>
      <c r="V557" s="117" t="s">
        <v>78</v>
      </c>
      <c r="W557" s="116"/>
      <c r="X557" s="14"/>
      <c r="Y557" s="38"/>
      <c r="Z557" s="47"/>
      <c r="AA557" s="25"/>
      <c r="AB557" s="41"/>
      <c r="AC557" s="46"/>
      <c r="AD557" s="46"/>
      <c r="AE557" s="21">
        <f t="shared" si="220"/>
        <v>0</v>
      </c>
      <c r="AF557" s="13"/>
      <c r="AG557" s="116"/>
      <c r="AH557" s="117" t="s">
        <v>59</v>
      </c>
      <c r="AI557" s="116"/>
      <c r="AJ557" s="14"/>
      <c r="AK557" s="38"/>
      <c r="AL557" s="47"/>
      <c r="AM557" s="25"/>
      <c r="AN557" s="41"/>
      <c r="AO557" s="46"/>
      <c r="AP557" s="46"/>
      <c r="AQ557" s="21">
        <f t="shared" si="221"/>
        <v>0</v>
      </c>
      <c r="AR557" s="13"/>
      <c r="AS557" s="116"/>
      <c r="AT557" s="117" t="s">
        <v>60</v>
      </c>
      <c r="AU557" s="116"/>
      <c r="AV557" s="14"/>
      <c r="AW557" s="38"/>
      <c r="AX557" s="47"/>
      <c r="AY557" s="25"/>
      <c r="AZ557" s="41"/>
      <c r="BA557" s="46"/>
      <c r="BB557" s="46"/>
      <c r="BC557" s="21">
        <f t="shared" si="222"/>
        <v>0</v>
      </c>
      <c r="BD557" s="13"/>
      <c r="BE557" s="116"/>
      <c r="BF557" s="117"/>
      <c r="BG557" s="116"/>
      <c r="BH557" s="14"/>
      <c r="BI557" s="38"/>
      <c r="BJ557" s="47"/>
      <c r="BK557" s="25"/>
      <c r="BL557" s="41"/>
      <c r="BM557" s="46"/>
      <c r="BN557" s="46"/>
      <c r="BO557" s="21">
        <f t="shared" si="223"/>
        <v>0</v>
      </c>
      <c r="BP557" s="13"/>
      <c r="BQ557" s="116"/>
      <c r="BR557" s="117" t="s">
        <v>59</v>
      </c>
      <c r="BS557" s="116"/>
      <c r="BT557" s="14"/>
      <c r="BU557" s="107"/>
      <c r="BV557" s="107"/>
      <c r="BW557" s="107"/>
      <c r="BX557" s="107"/>
      <c r="BY557" s="107"/>
      <c r="BZ557" s="107"/>
      <c r="CA557" s="111"/>
      <c r="CB557" s="107"/>
      <c r="CC557" s="107"/>
      <c r="CD557" s="107"/>
      <c r="CE557" s="107"/>
      <c r="CF557" s="107"/>
      <c r="CG557" s="107"/>
      <c r="CH557" s="107"/>
      <c r="CI557" s="107"/>
      <c r="CJ557" s="107"/>
    </row>
    <row r="558">
      <c r="A558" s="38"/>
      <c r="B558" s="47"/>
      <c r="C558" s="25"/>
      <c r="D558" s="41"/>
      <c r="E558" s="46"/>
      <c r="F558" s="46"/>
      <c r="G558" s="21">
        <f t="shared" si="231"/>
        <v>0</v>
      </c>
      <c r="H558" s="116"/>
      <c r="I558" s="117" t="s">
        <v>61</v>
      </c>
      <c r="J558" s="116"/>
      <c r="K558" s="13"/>
      <c r="L558" s="14"/>
      <c r="M558" s="38"/>
      <c r="N558" s="47"/>
      <c r="O558" s="25"/>
      <c r="P558" s="41"/>
      <c r="Q558" s="46"/>
      <c r="R558" s="46"/>
      <c r="S558" s="21">
        <f t="shared" si="219"/>
        <v>0</v>
      </c>
      <c r="T558" s="13"/>
      <c r="U558" s="118">
        <v>0.01</v>
      </c>
      <c r="V558" s="118">
        <v>0.01</v>
      </c>
      <c r="W558" s="117" t="s">
        <v>80</v>
      </c>
      <c r="X558" s="14"/>
      <c r="Y558" s="38"/>
      <c r="Z558" s="47"/>
      <c r="AA558" s="25"/>
      <c r="AB558" s="41"/>
      <c r="AC558" s="46"/>
      <c r="AD558" s="46"/>
      <c r="AE558" s="21">
        <f t="shared" si="220"/>
        <v>0</v>
      </c>
      <c r="AF558" s="13"/>
      <c r="AG558" s="118">
        <v>0.02</v>
      </c>
      <c r="AH558" s="118">
        <v>0.04</v>
      </c>
      <c r="AI558" s="118">
        <v>0.06</v>
      </c>
      <c r="AJ558" s="14"/>
      <c r="AK558" s="38"/>
      <c r="AL558" s="47"/>
      <c r="AM558" s="25"/>
      <c r="AN558" s="41"/>
      <c r="AO558" s="46"/>
      <c r="AP558" s="46"/>
      <c r="AQ558" s="21">
        <f t="shared" si="221"/>
        <v>0</v>
      </c>
      <c r="AR558" s="13"/>
      <c r="AS558" s="118">
        <v>0.03</v>
      </c>
      <c r="AT558" s="118">
        <v>0.05</v>
      </c>
      <c r="AU558" s="118">
        <v>0.07</v>
      </c>
      <c r="AV558" s="14"/>
      <c r="AW558" s="38"/>
      <c r="AX558" s="47"/>
      <c r="AY558" s="25"/>
      <c r="AZ558" s="41"/>
      <c r="BA558" s="46"/>
      <c r="BB558" s="46"/>
      <c r="BC558" s="21">
        <f t="shared" si="222"/>
        <v>0</v>
      </c>
      <c r="BD558" s="13"/>
      <c r="BE558" s="118"/>
      <c r="BF558" s="118"/>
      <c r="BG558" s="117"/>
      <c r="BH558" s="14"/>
      <c r="BI558" s="38"/>
      <c r="BJ558" s="47"/>
      <c r="BK558" s="25"/>
      <c r="BL558" s="41"/>
      <c r="BM558" s="46"/>
      <c r="BN558" s="46"/>
      <c r="BO558" s="21">
        <f t="shared" si="223"/>
        <v>0</v>
      </c>
      <c r="BP558" s="13"/>
      <c r="BQ558" s="118">
        <v>0.03</v>
      </c>
      <c r="BR558" s="118">
        <v>0.05</v>
      </c>
      <c r="BS558" s="118">
        <v>0.07</v>
      </c>
      <c r="BT558" s="14"/>
      <c r="BU558" s="107"/>
      <c r="BV558" s="107"/>
      <c r="BW558" s="107"/>
      <c r="BX558" s="107"/>
      <c r="BY558" s="107"/>
      <c r="BZ558" s="107"/>
      <c r="CA558" s="111"/>
      <c r="CB558" s="107"/>
      <c r="CC558" s="107"/>
      <c r="CD558" s="107"/>
      <c r="CE558" s="107"/>
      <c r="CF558" s="107"/>
      <c r="CG558" s="107"/>
      <c r="CH558" s="107"/>
      <c r="CI558" s="107"/>
      <c r="CJ558" s="107"/>
    </row>
    <row r="559">
      <c r="A559" s="38"/>
      <c r="B559" s="47"/>
      <c r="C559" s="25"/>
      <c r="D559" s="41"/>
      <c r="E559" s="46"/>
      <c r="F559" s="46"/>
      <c r="G559" s="21">
        <f t="shared" si="231"/>
        <v>0</v>
      </c>
      <c r="H559" s="118">
        <v>0.03</v>
      </c>
      <c r="I559" s="118">
        <v>0.05</v>
      </c>
      <c r="J559" s="118">
        <v>0.07</v>
      </c>
      <c r="K559" s="13"/>
      <c r="L559" s="14"/>
      <c r="M559" s="38"/>
      <c r="N559" s="47"/>
      <c r="O559" s="25"/>
      <c r="P559" s="41"/>
      <c r="Q559" s="46"/>
      <c r="R559" s="46"/>
      <c r="S559" s="21">
        <f t="shared" si="219"/>
        <v>0</v>
      </c>
      <c r="T559" s="13"/>
      <c r="U559" s="117">
        <v>5.0</v>
      </c>
      <c r="V559" s="117">
        <v>7.0</v>
      </c>
      <c r="W559" s="117">
        <v>10.0</v>
      </c>
      <c r="X559" s="14"/>
      <c r="Y559" s="38"/>
      <c r="Z559" s="47"/>
      <c r="AA559" s="25"/>
      <c r="AB559" s="41"/>
      <c r="AC559" s="46"/>
      <c r="AD559" s="46"/>
      <c r="AE559" s="21">
        <f t="shared" si="220"/>
        <v>0</v>
      </c>
      <c r="AF559" s="13"/>
      <c r="AG559" s="117">
        <v>5.0</v>
      </c>
      <c r="AH559" s="117">
        <v>7.0</v>
      </c>
      <c r="AI559" s="117">
        <v>10.0</v>
      </c>
      <c r="AJ559" s="14"/>
      <c r="AK559" s="38"/>
      <c r="AL559" s="47"/>
      <c r="AM559" s="25"/>
      <c r="AN559" s="41"/>
      <c r="AO559" s="46"/>
      <c r="AP559" s="46"/>
      <c r="AQ559" s="21">
        <f t="shared" si="221"/>
        <v>0</v>
      </c>
      <c r="AR559" s="13"/>
      <c r="AS559" s="117">
        <v>5.0</v>
      </c>
      <c r="AT559" s="117">
        <v>7.0</v>
      </c>
      <c r="AU559" s="117">
        <v>10.0</v>
      </c>
      <c r="AV559" s="14"/>
      <c r="AW559" s="38"/>
      <c r="AX559" s="47"/>
      <c r="AY559" s="25"/>
      <c r="AZ559" s="41"/>
      <c r="BA559" s="46"/>
      <c r="BB559" s="46"/>
      <c r="BC559" s="21">
        <f t="shared" si="222"/>
        <v>0</v>
      </c>
      <c r="BD559" s="13"/>
      <c r="BE559" s="117"/>
      <c r="BF559" s="117"/>
      <c r="BG559" s="117"/>
      <c r="BH559" s="14"/>
      <c r="BI559" s="38"/>
      <c r="BJ559" s="47"/>
      <c r="BK559" s="25"/>
      <c r="BL559" s="41"/>
      <c r="BM559" s="46"/>
      <c r="BN559" s="46"/>
      <c r="BO559" s="21">
        <f t="shared" si="223"/>
        <v>0</v>
      </c>
      <c r="BP559" s="13"/>
      <c r="BQ559" s="117">
        <v>5.0</v>
      </c>
      <c r="BR559" s="117">
        <v>7.0</v>
      </c>
      <c r="BS559" s="117">
        <v>10.0</v>
      </c>
      <c r="BT559" s="14"/>
      <c r="BU559" s="107"/>
      <c r="BV559" s="107"/>
      <c r="BW559" s="107"/>
      <c r="BX559" s="107"/>
      <c r="BY559" s="107"/>
      <c r="BZ559" s="107"/>
      <c r="CA559" s="111"/>
      <c r="CB559" s="107"/>
      <c r="CC559" s="107"/>
      <c r="CD559" s="107"/>
      <c r="CE559" s="107"/>
      <c r="CF559" s="107"/>
      <c r="CG559" s="107"/>
      <c r="CH559" s="107"/>
      <c r="CI559" s="107"/>
      <c r="CJ559" s="107"/>
    </row>
    <row r="560">
      <c r="A560" s="38"/>
      <c r="B560" s="32"/>
      <c r="C560" s="25"/>
      <c r="D560" s="41"/>
      <c r="E560" s="49"/>
      <c r="F560" s="49"/>
      <c r="G560" s="21">
        <f t="shared" si="231"/>
        <v>0</v>
      </c>
      <c r="H560" s="117">
        <v>5.0</v>
      </c>
      <c r="I560" s="117">
        <v>7.0</v>
      </c>
      <c r="J560" s="117">
        <v>10.0</v>
      </c>
      <c r="K560" s="13"/>
      <c r="L560" s="14"/>
      <c r="M560" s="38"/>
      <c r="N560" s="32"/>
      <c r="O560" s="25"/>
      <c r="P560" s="41"/>
      <c r="Q560" s="49"/>
      <c r="R560" s="49"/>
      <c r="S560" s="21">
        <f t="shared" si="219"/>
        <v>0</v>
      </c>
      <c r="T560" s="13"/>
      <c r="U560" s="13"/>
      <c r="V560" s="13"/>
      <c r="W560" s="13"/>
      <c r="X560" s="14"/>
      <c r="Y560" s="38"/>
      <c r="Z560" s="32"/>
      <c r="AA560" s="25"/>
      <c r="AB560" s="41"/>
      <c r="AC560" s="49"/>
      <c r="AD560" s="49"/>
      <c r="AE560" s="21">
        <f t="shared" si="220"/>
        <v>0</v>
      </c>
      <c r="AF560" s="13"/>
      <c r="AG560" s="13"/>
      <c r="AH560" s="13"/>
      <c r="AI560" s="13"/>
      <c r="AJ560" s="14"/>
      <c r="AK560" s="38"/>
      <c r="AL560" s="32"/>
      <c r="AM560" s="25"/>
      <c r="AN560" s="41"/>
      <c r="AO560" s="49"/>
      <c r="AP560" s="49"/>
      <c r="AQ560" s="21">
        <f t="shared" si="221"/>
        <v>0</v>
      </c>
      <c r="AR560" s="13"/>
      <c r="AS560" s="13"/>
      <c r="AT560" s="13"/>
      <c r="AU560" s="13"/>
      <c r="AV560" s="14"/>
      <c r="AW560" s="38"/>
      <c r="AX560" s="32"/>
      <c r="AY560" s="25"/>
      <c r="AZ560" s="41"/>
      <c r="BA560" s="49"/>
      <c r="BB560" s="49"/>
      <c r="BC560" s="21">
        <f t="shared" si="222"/>
        <v>0</v>
      </c>
      <c r="BD560" s="13"/>
      <c r="BE560" s="13"/>
      <c r="BF560" s="13"/>
      <c r="BG560" s="13"/>
      <c r="BH560" s="14"/>
      <c r="BI560" s="38"/>
      <c r="BJ560" s="32"/>
      <c r="BK560" s="25"/>
      <c r="BL560" s="41"/>
      <c r="BM560" s="49"/>
      <c r="BN560" s="49"/>
      <c r="BO560" s="21">
        <f t="shared" si="223"/>
        <v>0</v>
      </c>
      <c r="BP560" s="13"/>
      <c r="BQ560" s="13"/>
      <c r="BR560" s="13"/>
      <c r="BS560" s="13"/>
      <c r="BT560" s="14"/>
      <c r="BU560" s="107"/>
      <c r="BV560" s="107"/>
      <c r="BW560" s="107"/>
      <c r="BX560" s="107"/>
      <c r="BY560" s="107"/>
      <c r="BZ560" s="107"/>
      <c r="CA560" s="111"/>
      <c r="CB560" s="107"/>
      <c r="CC560" s="107"/>
      <c r="CD560" s="107"/>
      <c r="CE560" s="107"/>
      <c r="CF560" s="107"/>
      <c r="CG560" s="107"/>
      <c r="CH560" s="107"/>
      <c r="CI560" s="107"/>
      <c r="CJ560" s="107"/>
    </row>
    <row r="561">
      <c r="A561" s="38"/>
      <c r="B561" s="32"/>
      <c r="C561" s="25"/>
      <c r="D561" s="41"/>
      <c r="E561" s="49"/>
      <c r="F561" s="49"/>
      <c r="G561" s="21">
        <f t="shared" si="231"/>
        <v>0</v>
      </c>
      <c r="H561" s="13"/>
      <c r="I561" s="13"/>
      <c r="J561" s="13"/>
      <c r="K561" s="13"/>
      <c r="L561" s="14"/>
      <c r="M561" s="38"/>
      <c r="N561" s="32"/>
      <c r="O561" s="25"/>
      <c r="P561" s="41"/>
      <c r="Q561" s="49"/>
      <c r="R561" s="49"/>
      <c r="S561" s="21">
        <f t="shared" si="219"/>
        <v>0</v>
      </c>
      <c r="T561" s="13"/>
      <c r="U561" s="13"/>
      <c r="V561" s="13"/>
      <c r="W561" s="13"/>
      <c r="X561" s="14"/>
      <c r="Y561" s="38"/>
      <c r="Z561" s="32"/>
      <c r="AA561" s="25"/>
      <c r="AB561" s="41"/>
      <c r="AC561" s="49"/>
      <c r="AD561" s="49"/>
      <c r="AE561" s="21">
        <f t="shared" si="220"/>
        <v>0</v>
      </c>
      <c r="AF561" s="13"/>
      <c r="AG561" s="13"/>
      <c r="AH561" s="13"/>
      <c r="AI561" s="13"/>
      <c r="AJ561" s="14"/>
      <c r="AK561" s="38"/>
      <c r="AL561" s="32"/>
      <c r="AM561" s="25"/>
      <c r="AN561" s="41"/>
      <c r="AO561" s="49"/>
      <c r="AP561" s="49"/>
      <c r="AQ561" s="21">
        <f t="shared" si="221"/>
        <v>0</v>
      </c>
      <c r="AR561" s="13"/>
      <c r="AS561" s="13"/>
      <c r="AT561" s="13"/>
      <c r="AU561" s="13"/>
      <c r="AV561" s="14"/>
      <c r="AW561" s="38"/>
      <c r="AX561" s="32"/>
      <c r="AY561" s="25"/>
      <c r="AZ561" s="41"/>
      <c r="BA561" s="49"/>
      <c r="BB561" s="49"/>
      <c r="BC561" s="21">
        <f t="shared" si="222"/>
        <v>0</v>
      </c>
      <c r="BD561" s="13"/>
      <c r="BE561" s="13"/>
      <c r="BF561" s="13"/>
      <c r="BG561" s="13"/>
      <c r="BH561" s="14"/>
      <c r="BI561" s="38"/>
      <c r="BJ561" s="32"/>
      <c r="BK561" s="25"/>
      <c r="BL561" s="41"/>
      <c r="BM561" s="49"/>
      <c r="BN561" s="49"/>
      <c r="BO561" s="21">
        <f t="shared" si="223"/>
        <v>0</v>
      </c>
      <c r="BP561" s="13"/>
      <c r="BQ561" s="13"/>
      <c r="BR561" s="13"/>
      <c r="BS561" s="13"/>
      <c r="BT561" s="14"/>
      <c r="BU561" s="107"/>
      <c r="BV561" s="107"/>
      <c r="BW561" s="107"/>
      <c r="BX561" s="107"/>
      <c r="BY561" s="107"/>
      <c r="BZ561" s="107"/>
      <c r="CA561" s="111"/>
      <c r="CB561" s="107"/>
      <c r="CC561" s="107"/>
      <c r="CD561" s="107"/>
      <c r="CE561" s="107"/>
      <c r="CF561" s="107"/>
      <c r="CG561" s="107"/>
      <c r="CH561" s="107"/>
      <c r="CI561" s="107"/>
      <c r="CJ561" s="107"/>
    </row>
    <row r="562">
      <c r="A562" s="38"/>
      <c r="B562" s="32"/>
      <c r="C562" s="25"/>
      <c r="D562" s="41"/>
      <c r="E562" s="49"/>
      <c r="F562" s="49"/>
      <c r="G562" s="21">
        <f t="shared" si="231"/>
        <v>0</v>
      </c>
      <c r="H562" s="13"/>
      <c r="I562" s="13"/>
      <c r="J562" s="67"/>
      <c r="K562" s="13"/>
      <c r="L562" s="14"/>
      <c r="M562" s="38"/>
      <c r="N562" s="32"/>
      <c r="O562" s="25"/>
      <c r="P562" s="41"/>
      <c r="Q562" s="49"/>
      <c r="R562" s="49"/>
      <c r="S562" s="21">
        <f t="shared" si="219"/>
        <v>0</v>
      </c>
      <c r="T562" s="13"/>
      <c r="U562" s="13"/>
      <c r="V562" s="13"/>
      <c r="W562" s="13"/>
      <c r="X562" s="14"/>
      <c r="Y562" s="38"/>
      <c r="Z562" s="32"/>
      <c r="AA562" s="25"/>
      <c r="AB562" s="41"/>
      <c r="AC562" s="49"/>
      <c r="AD562" s="49"/>
      <c r="AE562" s="21">
        <f t="shared" si="220"/>
        <v>0</v>
      </c>
      <c r="AF562" s="13"/>
      <c r="AG562" s="13"/>
      <c r="AH562" s="13"/>
      <c r="AI562" s="13"/>
      <c r="AJ562" s="14"/>
      <c r="AK562" s="38"/>
      <c r="AL562" s="32"/>
      <c r="AM562" s="25"/>
      <c r="AN562" s="41"/>
      <c r="AO562" s="49"/>
      <c r="AP562" s="49"/>
      <c r="AQ562" s="21">
        <f t="shared" si="221"/>
        <v>0</v>
      </c>
      <c r="AR562" s="13"/>
      <c r="AS562" s="13"/>
      <c r="AT562" s="13"/>
      <c r="AU562" s="13"/>
      <c r="AV562" s="14"/>
      <c r="AW562" s="38"/>
      <c r="AX562" s="32"/>
      <c r="AY562" s="25"/>
      <c r="AZ562" s="41"/>
      <c r="BA562" s="49"/>
      <c r="BB562" s="49"/>
      <c r="BC562" s="21">
        <f t="shared" si="222"/>
        <v>0</v>
      </c>
      <c r="BD562" s="13"/>
      <c r="BE562" s="13"/>
      <c r="BF562" s="13"/>
      <c r="BG562" s="13"/>
      <c r="BH562" s="14"/>
      <c r="BI562" s="38"/>
      <c r="BJ562" s="32"/>
      <c r="BK562" s="25"/>
      <c r="BL562" s="41"/>
      <c r="BM562" s="49"/>
      <c r="BN562" s="49"/>
      <c r="BO562" s="21">
        <f t="shared" si="223"/>
        <v>0</v>
      </c>
      <c r="BP562" s="13"/>
      <c r="BQ562" s="13"/>
      <c r="BR562" s="13"/>
      <c r="BS562" s="13"/>
      <c r="BT562" s="14"/>
      <c r="BU562" s="107"/>
      <c r="BV562" s="107"/>
      <c r="BW562" s="107"/>
      <c r="BX562" s="107"/>
      <c r="BY562" s="107"/>
      <c r="BZ562" s="107"/>
      <c r="CA562" s="111"/>
      <c r="CB562" s="107"/>
      <c r="CC562" s="107"/>
      <c r="CD562" s="107"/>
      <c r="CE562" s="107"/>
      <c r="CF562" s="107"/>
      <c r="CG562" s="107"/>
      <c r="CH562" s="107"/>
      <c r="CI562" s="107"/>
      <c r="CJ562" s="107"/>
    </row>
    <row r="563">
      <c r="A563" s="38"/>
      <c r="B563" s="32"/>
      <c r="C563" s="25"/>
      <c r="D563" s="41"/>
      <c r="E563" s="46"/>
      <c r="F563" s="46"/>
      <c r="G563" s="21">
        <f t="shared" si="231"/>
        <v>0</v>
      </c>
      <c r="H563" s="13"/>
      <c r="I563" s="67" t="s">
        <v>85</v>
      </c>
      <c r="J563" s="13"/>
      <c r="K563" s="13"/>
      <c r="L563" s="14"/>
      <c r="M563" s="38"/>
      <c r="N563" s="32"/>
      <c r="O563" s="25"/>
      <c r="P563" s="41"/>
      <c r="Q563" s="46"/>
      <c r="R563" s="46"/>
      <c r="S563" s="21">
        <f t="shared" si="219"/>
        <v>0</v>
      </c>
      <c r="T563" s="13"/>
      <c r="U563" s="13"/>
      <c r="V563" s="13"/>
      <c r="W563" s="13"/>
      <c r="X563" s="14"/>
      <c r="Y563" s="38"/>
      <c r="Z563" s="32"/>
      <c r="AA563" s="25"/>
      <c r="AB563" s="41"/>
      <c r="AC563" s="46"/>
      <c r="AD563" s="46"/>
      <c r="AE563" s="21">
        <f t="shared" si="220"/>
        <v>0</v>
      </c>
      <c r="AF563" s="13"/>
      <c r="AG563" s="13"/>
      <c r="AH563" s="13"/>
      <c r="AI563" s="13"/>
      <c r="AJ563" s="14"/>
      <c r="AK563" s="38"/>
      <c r="AL563" s="32"/>
      <c r="AM563" s="25"/>
      <c r="AN563" s="41"/>
      <c r="AO563" s="46"/>
      <c r="AP563" s="46"/>
      <c r="AQ563" s="21">
        <f t="shared" si="221"/>
        <v>0</v>
      </c>
      <c r="AR563" s="13"/>
      <c r="AS563" s="13"/>
      <c r="AT563" s="13"/>
      <c r="AU563" s="13"/>
      <c r="AV563" s="14"/>
      <c r="AW563" s="38"/>
      <c r="AX563" s="32"/>
      <c r="AY563" s="25"/>
      <c r="AZ563" s="41"/>
      <c r="BA563" s="46"/>
      <c r="BB563" s="46"/>
      <c r="BC563" s="21">
        <f t="shared" si="222"/>
        <v>0</v>
      </c>
      <c r="BD563" s="13"/>
      <c r="BE563" s="13"/>
      <c r="BF563" s="13"/>
      <c r="BG563" s="13"/>
      <c r="BH563" s="14"/>
      <c r="BI563" s="38"/>
      <c r="BJ563" s="32"/>
      <c r="BK563" s="25"/>
      <c r="BL563" s="41"/>
      <c r="BM563" s="46"/>
      <c r="BN563" s="46"/>
      <c r="BO563" s="21">
        <f t="shared" si="223"/>
        <v>0</v>
      </c>
      <c r="BP563" s="13"/>
      <c r="BQ563" s="13"/>
      <c r="BR563" s="13"/>
      <c r="BS563" s="13"/>
      <c r="BT563" s="14"/>
      <c r="BU563" s="107"/>
      <c r="BV563" s="107"/>
      <c r="BW563" s="107"/>
      <c r="BX563" s="107"/>
      <c r="BY563" s="107"/>
      <c r="BZ563" s="107"/>
      <c r="CA563" s="111"/>
      <c r="CB563" s="107"/>
      <c r="CC563" s="107"/>
      <c r="CD563" s="107"/>
      <c r="CE563" s="107"/>
      <c r="CF563" s="107"/>
      <c r="CG563" s="107"/>
      <c r="CH563" s="107"/>
      <c r="CI563" s="107"/>
      <c r="CJ563" s="107"/>
    </row>
    <row r="564">
      <c r="A564" s="38"/>
      <c r="B564" s="47"/>
      <c r="C564" s="25"/>
      <c r="D564" s="41"/>
      <c r="E564" s="49"/>
      <c r="F564" s="49"/>
      <c r="G564" s="21">
        <f t="shared" si="231"/>
        <v>0</v>
      </c>
      <c r="H564" s="13"/>
      <c r="I564" s="142">
        <v>40363.0</v>
      </c>
      <c r="J564" s="13"/>
      <c r="K564" s="13"/>
      <c r="L564" s="14"/>
      <c r="M564" s="38"/>
      <c r="N564" s="47"/>
      <c r="O564" s="25"/>
      <c r="P564" s="41"/>
      <c r="Q564" s="49"/>
      <c r="R564" s="49"/>
      <c r="S564" s="21">
        <f t="shared" si="219"/>
        <v>0</v>
      </c>
      <c r="T564" s="13"/>
      <c r="U564" s="67"/>
      <c r="V564" s="67"/>
      <c r="W564" s="13"/>
      <c r="X564" s="14"/>
      <c r="Y564" s="38"/>
      <c r="Z564" s="47"/>
      <c r="AA564" s="25"/>
      <c r="AB564" s="41"/>
      <c r="AC564" s="49"/>
      <c r="AD564" s="49"/>
      <c r="AE564" s="21">
        <f t="shared" si="220"/>
        <v>0</v>
      </c>
      <c r="AF564" s="13"/>
      <c r="AG564" s="13"/>
      <c r="AH564" s="13"/>
      <c r="AI564" s="13"/>
      <c r="AJ564" s="14"/>
      <c r="AK564" s="38"/>
      <c r="AL564" s="47"/>
      <c r="AM564" s="25"/>
      <c r="AN564" s="41"/>
      <c r="AO564" s="49"/>
      <c r="AP564" s="49"/>
      <c r="AQ564" s="21">
        <f t="shared" si="221"/>
        <v>0</v>
      </c>
      <c r="AR564" s="13"/>
      <c r="AS564" s="13"/>
      <c r="AT564" s="13"/>
      <c r="AU564" s="13"/>
      <c r="AV564" s="14"/>
      <c r="AW564" s="38"/>
      <c r="AX564" s="47"/>
      <c r="AY564" s="25"/>
      <c r="AZ564" s="41"/>
      <c r="BA564" s="49"/>
      <c r="BB564" s="49"/>
      <c r="BC564" s="21">
        <f t="shared" si="222"/>
        <v>0</v>
      </c>
      <c r="BD564" s="13"/>
      <c r="BE564" s="13"/>
      <c r="BF564" s="13"/>
      <c r="BG564" s="13"/>
      <c r="BH564" s="14"/>
      <c r="BI564" s="38"/>
      <c r="BJ564" s="47"/>
      <c r="BK564" s="25"/>
      <c r="BL564" s="41"/>
      <c r="BM564" s="49"/>
      <c r="BN564" s="49"/>
      <c r="BO564" s="21">
        <f t="shared" si="223"/>
        <v>0</v>
      </c>
      <c r="BP564" s="13"/>
      <c r="BQ564" s="13"/>
      <c r="BR564" s="13"/>
      <c r="BS564" s="13"/>
      <c r="BT564" s="14"/>
      <c r="BU564" s="107"/>
      <c r="BV564" s="107"/>
      <c r="BW564" s="107"/>
      <c r="BX564" s="107"/>
      <c r="BY564" s="107"/>
      <c r="BZ564" s="107"/>
      <c r="CA564" s="111"/>
      <c r="CB564" s="107"/>
      <c r="CC564" s="107"/>
      <c r="CD564" s="107"/>
      <c r="CE564" s="107"/>
      <c r="CF564" s="107"/>
      <c r="CG564" s="107"/>
      <c r="CH564" s="107"/>
      <c r="CI564" s="107"/>
      <c r="CJ564" s="107"/>
    </row>
    <row r="565">
      <c r="A565" s="38"/>
      <c r="B565" s="32"/>
      <c r="C565" s="25"/>
      <c r="D565" s="41"/>
      <c r="E565" s="49"/>
      <c r="F565" s="49"/>
      <c r="G565" s="21">
        <f t="shared" si="231"/>
        <v>0</v>
      </c>
      <c r="H565" s="13"/>
      <c r="I565" s="67"/>
      <c r="J565" s="13"/>
      <c r="K565" s="13"/>
      <c r="L565" s="14"/>
      <c r="M565" s="38"/>
      <c r="N565" s="32"/>
      <c r="O565" s="25"/>
      <c r="P565" s="41"/>
      <c r="Q565" s="49"/>
      <c r="R565" s="49"/>
      <c r="S565" s="21">
        <f t="shared" si="219"/>
        <v>0</v>
      </c>
      <c r="T565" s="13"/>
      <c r="U565" s="13"/>
      <c r="V565" s="13"/>
      <c r="W565" s="13"/>
      <c r="X565" s="14"/>
      <c r="Y565" s="38"/>
      <c r="Z565" s="32"/>
      <c r="AA565" s="25"/>
      <c r="AB565" s="41"/>
      <c r="AC565" s="49"/>
      <c r="AD565" s="49"/>
      <c r="AE565" s="21">
        <f t="shared" si="220"/>
        <v>0</v>
      </c>
      <c r="AF565" s="13"/>
      <c r="AG565" s="13"/>
      <c r="AH565" s="13"/>
      <c r="AI565" s="13"/>
      <c r="AJ565" s="14"/>
      <c r="AK565" s="38"/>
      <c r="AL565" s="32"/>
      <c r="AM565" s="25"/>
      <c r="AN565" s="41"/>
      <c r="AO565" s="49"/>
      <c r="AP565" s="49"/>
      <c r="AQ565" s="21">
        <f t="shared" si="221"/>
        <v>0</v>
      </c>
      <c r="AR565" s="13"/>
      <c r="AS565" s="13"/>
      <c r="AT565" s="13"/>
      <c r="AU565" s="13"/>
      <c r="AV565" s="14"/>
      <c r="AW565" s="38"/>
      <c r="AX565" s="32"/>
      <c r="AY565" s="25"/>
      <c r="AZ565" s="41"/>
      <c r="BA565" s="49"/>
      <c r="BB565" s="49"/>
      <c r="BC565" s="21">
        <f t="shared" si="222"/>
        <v>0</v>
      </c>
      <c r="BD565" s="13"/>
      <c r="BE565" s="13"/>
      <c r="BF565" s="13"/>
      <c r="BG565" s="13"/>
      <c r="BH565" s="14"/>
      <c r="BI565" s="38"/>
      <c r="BJ565" s="32"/>
      <c r="BK565" s="25"/>
      <c r="BL565" s="41"/>
      <c r="BM565" s="49"/>
      <c r="BN565" s="49"/>
      <c r="BO565" s="21">
        <f t="shared" si="223"/>
        <v>0</v>
      </c>
      <c r="BP565" s="13"/>
      <c r="BQ565" s="13"/>
      <c r="BR565" s="13"/>
      <c r="BS565" s="13"/>
      <c r="BT565" s="14"/>
      <c r="BU565" s="107"/>
      <c r="BV565" s="107"/>
      <c r="BW565" s="107"/>
      <c r="BX565" s="107"/>
      <c r="BY565" s="107"/>
      <c r="BZ565" s="107"/>
      <c r="CA565" s="111"/>
      <c r="CB565" s="107"/>
      <c r="CC565" s="107"/>
      <c r="CD565" s="107"/>
      <c r="CE565" s="107"/>
      <c r="CF565" s="107"/>
      <c r="CG565" s="107"/>
      <c r="CH565" s="107"/>
      <c r="CI565" s="107"/>
      <c r="CJ565" s="107"/>
    </row>
    <row r="566">
      <c r="A566" s="38"/>
      <c r="B566" s="32"/>
      <c r="C566" s="25"/>
      <c r="D566" s="41"/>
      <c r="E566" s="49"/>
      <c r="F566" s="49"/>
      <c r="G566" s="21">
        <f t="shared" si="231"/>
        <v>0</v>
      </c>
      <c r="H566" s="13"/>
      <c r="I566" s="67"/>
      <c r="J566" s="13"/>
      <c r="K566" s="13"/>
      <c r="L566" s="14"/>
      <c r="M566" s="38"/>
      <c r="N566" s="32"/>
      <c r="O566" s="25"/>
      <c r="P566" s="41"/>
      <c r="Q566" s="49"/>
      <c r="R566" s="49"/>
      <c r="S566" s="21">
        <f t="shared" si="219"/>
        <v>0</v>
      </c>
      <c r="T566" s="13"/>
      <c r="U566" s="13"/>
      <c r="V566" s="13"/>
      <c r="W566" s="13"/>
      <c r="X566" s="14"/>
      <c r="Y566" s="38"/>
      <c r="Z566" s="32"/>
      <c r="AA566" s="25"/>
      <c r="AB566" s="41"/>
      <c r="AC566" s="49"/>
      <c r="AD566" s="49"/>
      <c r="AE566" s="21">
        <f t="shared" si="220"/>
        <v>0</v>
      </c>
      <c r="AF566" s="13"/>
      <c r="AG566" s="13"/>
      <c r="AH566" s="13"/>
      <c r="AI566" s="13"/>
      <c r="AJ566" s="14"/>
      <c r="AK566" s="38"/>
      <c r="AL566" s="32"/>
      <c r="AM566" s="25"/>
      <c r="AN566" s="41"/>
      <c r="AO566" s="49"/>
      <c r="AP566" s="49"/>
      <c r="AQ566" s="21">
        <f t="shared" si="221"/>
        <v>0</v>
      </c>
      <c r="AR566" s="13"/>
      <c r="AS566" s="13"/>
      <c r="AT566" s="13"/>
      <c r="AU566" s="13"/>
      <c r="AV566" s="14"/>
      <c r="AW566" s="38"/>
      <c r="AX566" s="32"/>
      <c r="AY566" s="25"/>
      <c r="AZ566" s="41"/>
      <c r="BA566" s="49"/>
      <c r="BB566" s="49"/>
      <c r="BC566" s="21">
        <f t="shared" si="222"/>
        <v>0</v>
      </c>
      <c r="BD566" s="13"/>
      <c r="BE566" s="13"/>
      <c r="BF566" s="13"/>
      <c r="BG566" s="13"/>
      <c r="BH566" s="14"/>
      <c r="BI566" s="38"/>
      <c r="BJ566" s="32"/>
      <c r="BK566" s="25"/>
      <c r="BL566" s="41"/>
      <c r="BM566" s="49"/>
      <c r="BN566" s="49"/>
      <c r="BO566" s="21">
        <f t="shared" si="223"/>
        <v>0</v>
      </c>
      <c r="BP566" s="13"/>
      <c r="BQ566" s="13"/>
      <c r="BR566" s="13"/>
      <c r="BS566" s="13"/>
      <c r="BT566" s="14"/>
      <c r="BU566" s="107"/>
      <c r="BV566" s="107"/>
      <c r="BW566" s="107"/>
      <c r="BX566" s="107"/>
      <c r="BY566" s="107"/>
      <c r="BZ566" s="107"/>
      <c r="CA566" s="111"/>
      <c r="CB566" s="107"/>
      <c r="CC566" s="107"/>
      <c r="CD566" s="107"/>
      <c r="CE566" s="107"/>
      <c r="CF566" s="107"/>
      <c r="CG566" s="107"/>
      <c r="CH566" s="107"/>
      <c r="CI566" s="107"/>
      <c r="CJ566" s="107"/>
    </row>
    <row r="567">
      <c r="A567" s="50"/>
      <c r="B567" s="32"/>
      <c r="C567" s="25"/>
      <c r="D567" s="41"/>
      <c r="E567" s="49"/>
      <c r="F567" s="49"/>
      <c r="G567" s="88">
        <f t="shared" si="231"/>
        <v>0</v>
      </c>
      <c r="H567" s="89"/>
      <c r="I567" s="104"/>
      <c r="J567" s="89"/>
      <c r="K567" s="89"/>
      <c r="L567" s="90"/>
      <c r="M567" s="50"/>
      <c r="N567" s="32"/>
      <c r="O567" s="25"/>
      <c r="P567" s="41"/>
      <c r="Q567" s="49"/>
      <c r="R567" s="49"/>
      <c r="S567" s="21">
        <f t="shared" si="219"/>
        <v>0</v>
      </c>
      <c r="T567" s="89"/>
      <c r="U567" s="89"/>
      <c r="V567" s="89"/>
      <c r="W567" s="89"/>
      <c r="X567" s="90"/>
      <c r="Y567" s="50"/>
      <c r="Z567" s="32"/>
      <c r="AA567" s="25"/>
      <c r="AB567" s="41"/>
      <c r="AC567" s="49"/>
      <c r="AD567" s="49"/>
      <c r="AE567" s="21">
        <f t="shared" si="220"/>
        <v>0</v>
      </c>
      <c r="AF567" s="89"/>
      <c r="AG567" s="89"/>
      <c r="AH567" s="89"/>
      <c r="AI567" s="89"/>
      <c r="AJ567" s="90"/>
      <c r="AK567" s="50"/>
      <c r="AL567" s="32"/>
      <c r="AM567" s="25"/>
      <c r="AN567" s="41"/>
      <c r="AO567" s="49"/>
      <c r="AP567" s="49"/>
      <c r="AQ567" s="21">
        <f t="shared" si="221"/>
        <v>0</v>
      </c>
      <c r="AR567" s="89"/>
      <c r="AS567" s="89"/>
      <c r="AT567" s="89"/>
      <c r="AU567" s="89"/>
      <c r="AV567" s="90"/>
      <c r="AW567" s="50"/>
      <c r="AX567" s="32"/>
      <c r="AY567" s="25"/>
      <c r="AZ567" s="41"/>
      <c r="BA567" s="49"/>
      <c r="BB567" s="49"/>
      <c r="BC567" s="21">
        <f t="shared" si="222"/>
        <v>0</v>
      </c>
      <c r="BD567" s="89"/>
      <c r="BE567" s="89"/>
      <c r="BF567" s="89"/>
      <c r="BG567" s="89"/>
      <c r="BH567" s="90"/>
      <c r="BI567" s="50"/>
      <c r="BJ567" s="32"/>
      <c r="BK567" s="25"/>
      <c r="BL567" s="41"/>
      <c r="BM567" s="49"/>
      <c r="BN567" s="49"/>
      <c r="BO567" s="21">
        <f t="shared" si="223"/>
        <v>0</v>
      </c>
      <c r="BP567" s="89"/>
      <c r="BQ567" s="89"/>
      <c r="BR567" s="89"/>
      <c r="BS567" s="89"/>
      <c r="BT567" s="90"/>
      <c r="BU567" s="107"/>
      <c r="BV567" s="107"/>
      <c r="BW567" s="107"/>
      <c r="BX567" s="107"/>
      <c r="BY567" s="107"/>
      <c r="BZ567" s="107"/>
      <c r="CA567" s="111"/>
      <c r="CB567" s="107"/>
      <c r="CC567" s="107"/>
      <c r="CD567" s="107"/>
      <c r="CE567" s="107"/>
      <c r="CF567" s="107"/>
      <c r="CG567" s="107"/>
      <c r="CH567" s="107"/>
      <c r="CI567" s="107"/>
      <c r="CJ567" s="107"/>
    </row>
    <row r="568">
      <c r="A568" s="1" t="s">
        <v>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1" t="s">
        <v>2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3"/>
      <c r="Y568" s="1" t="s">
        <v>88</v>
      </c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3"/>
      <c r="AK568" s="1" t="s">
        <v>97</v>
      </c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3"/>
      <c r="AW568" s="1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3"/>
      <c r="BI568" s="1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3"/>
      <c r="BU568" s="4"/>
      <c r="CG568" s="107"/>
      <c r="CH568" s="107"/>
      <c r="CI568" s="107"/>
      <c r="CJ568" s="107"/>
    </row>
    <row r="569">
      <c r="A569" s="5" t="s">
        <v>111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5" t="s">
        <v>111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5" t="s">
        <v>108</v>
      </c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5" t="s">
        <v>108</v>
      </c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5" t="s">
        <v>94</v>
      </c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5" t="s">
        <v>94</v>
      </c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5" t="s">
        <v>94</v>
      </c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107"/>
      <c r="CH569" s="107"/>
      <c r="CI569" s="107"/>
      <c r="CJ569" s="107"/>
    </row>
    <row r="570">
      <c r="A570" s="7" t="s">
        <v>5</v>
      </c>
      <c r="B570" s="8" t="s">
        <v>6</v>
      </c>
      <c r="C570" s="9" t="s">
        <v>7</v>
      </c>
      <c r="D570" s="10" t="s">
        <v>8</v>
      </c>
      <c r="E570" s="11" t="s">
        <v>9</v>
      </c>
      <c r="F570" s="11" t="s">
        <v>10</v>
      </c>
      <c r="G570" s="12" t="s">
        <v>11</v>
      </c>
      <c r="H570" s="12" t="s">
        <v>12</v>
      </c>
      <c r="I570" s="12" t="s">
        <v>13</v>
      </c>
      <c r="J570" s="13" t="s">
        <v>14</v>
      </c>
      <c r="K570" s="67" t="s">
        <v>15</v>
      </c>
      <c r="L570" s="14" t="s">
        <v>16</v>
      </c>
      <c r="M570" s="7" t="s">
        <v>5</v>
      </c>
      <c r="N570" s="8" t="s">
        <v>6</v>
      </c>
      <c r="O570" s="9" t="s">
        <v>7</v>
      </c>
      <c r="P570" s="10" t="s">
        <v>8</v>
      </c>
      <c r="Q570" s="11" t="s">
        <v>9</v>
      </c>
      <c r="R570" s="11" t="s">
        <v>10</v>
      </c>
      <c r="S570" s="12" t="s">
        <v>11</v>
      </c>
      <c r="T570" s="12" t="s">
        <v>12</v>
      </c>
      <c r="U570" s="12" t="s">
        <v>13</v>
      </c>
      <c r="V570" s="13" t="s">
        <v>14</v>
      </c>
      <c r="W570" s="13" t="s">
        <v>15</v>
      </c>
      <c r="X570" s="14" t="s">
        <v>16</v>
      </c>
      <c r="Y570" s="7" t="s">
        <v>5</v>
      </c>
      <c r="Z570" s="8" t="s">
        <v>6</v>
      </c>
      <c r="AA570" s="9" t="s">
        <v>7</v>
      </c>
      <c r="AB570" s="10" t="s">
        <v>8</v>
      </c>
      <c r="AC570" s="11" t="s">
        <v>9</v>
      </c>
      <c r="AD570" s="11" t="s">
        <v>10</v>
      </c>
      <c r="AE570" s="12" t="s">
        <v>11</v>
      </c>
      <c r="AF570" s="12" t="s">
        <v>12</v>
      </c>
      <c r="AG570" s="12" t="s">
        <v>13</v>
      </c>
      <c r="AH570" s="13" t="s">
        <v>14</v>
      </c>
      <c r="AI570" s="13" t="s">
        <v>15</v>
      </c>
      <c r="AJ570" s="14" t="s">
        <v>16</v>
      </c>
      <c r="AK570" s="7" t="s">
        <v>5</v>
      </c>
      <c r="AL570" s="8" t="s">
        <v>84</v>
      </c>
      <c r="AM570" s="9" t="s">
        <v>7</v>
      </c>
      <c r="AN570" s="10" t="s">
        <v>8</v>
      </c>
      <c r="AO570" s="11" t="s">
        <v>9</v>
      </c>
      <c r="AP570" s="11" t="s">
        <v>10</v>
      </c>
      <c r="AQ570" s="12" t="s">
        <v>11</v>
      </c>
      <c r="AR570" s="12" t="s">
        <v>12</v>
      </c>
      <c r="AS570" s="12" t="s">
        <v>13</v>
      </c>
      <c r="AT570" s="13" t="s">
        <v>14</v>
      </c>
      <c r="AU570" s="13" t="s">
        <v>15</v>
      </c>
      <c r="AV570" s="14" t="s">
        <v>16</v>
      </c>
      <c r="AW570" s="7" t="s">
        <v>5</v>
      </c>
      <c r="AX570" s="8" t="s">
        <v>6</v>
      </c>
      <c r="AY570" s="9" t="s">
        <v>7</v>
      </c>
      <c r="AZ570" s="10" t="s">
        <v>8</v>
      </c>
      <c r="BA570" s="11" t="s">
        <v>9</v>
      </c>
      <c r="BB570" s="11" t="s">
        <v>10</v>
      </c>
      <c r="BC570" s="12" t="s">
        <v>11</v>
      </c>
      <c r="BD570" s="12" t="s">
        <v>12</v>
      </c>
      <c r="BE570" s="12" t="s">
        <v>13</v>
      </c>
      <c r="BF570" s="13" t="s">
        <v>14</v>
      </c>
      <c r="BG570" s="13" t="s">
        <v>15</v>
      </c>
      <c r="BH570" s="14" t="s">
        <v>16</v>
      </c>
      <c r="BI570" s="7" t="s">
        <v>5</v>
      </c>
      <c r="BJ570" s="8" t="s">
        <v>6</v>
      </c>
      <c r="BK570" s="9" t="s">
        <v>7</v>
      </c>
      <c r="BL570" s="10" t="s">
        <v>8</v>
      </c>
      <c r="BM570" s="11" t="s">
        <v>9</v>
      </c>
      <c r="BN570" s="11" t="s">
        <v>10</v>
      </c>
      <c r="BO570" s="12" t="s">
        <v>11</v>
      </c>
      <c r="BP570" s="12" t="s">
        <v>12</v>
      </c>
      <c r="BQ570" s="12" t="s">
        <v>13</v>
      </c>
      <c r="BR570" s="13" t="s">
        <v>14</v>
      </c>
      <c r="BS570" s="13" t="s">
        <v>15</v>
      </c>
      <c r="BT570" s="14" t="s">
        <v>16</v>
      </c>
      <c r="BU570" s="109"/>
      <c r="BV570" s="108"/>
      <c r="BW570" s="108"/>
      <c r="BX570" s="108"/>
      <c r="BY570" s="108"/>
      <c r="BZ570" s="108"/>
      <c r="CA570" s="109"/>
      <c r="CB570" s="109"/>
      <c r="CC570" s="109"/>
      <c r="CD570" s="107"/>
      <c r="CE570" s="107"/>
      <c r="CF570" s="107"/>
      <c r="CG570" s="107"/>
      <c r="CH570" s="107"/>
      <c r="CI570" s="107"/>
      <c r="CJ570" s="107"/>
    </row>
    <row r="571">
      <c r="A571" s="60"/>
      <c r="B571" s="16"/>
      <c r="C571" s="17"/>
      <c r="D571" s="18"/>
      <c r="E571" s="20">
        <v>110000.0</v>
      </c>
      <c r="F571" s="20"/>
      <c r="G571" s="21">
        <f t="shared" ref="G571:G594" si="232">SUM(B571)-(B571*15%)+(C571)-(C571*20.8%)+(D571)+(E571)-(E571*0.95%)+(F571)-(F571*15.5%)</f>
        <v>108955</v>
      </c>
      <c r="H571" s="22">
        <f>SUM(B571:F594)</f>
        <v>1430000</v>
      </c>
      <c r="I571" s="21">
        <f>SUM(G571:G594)</f>
        <v>1224355</v>
      </c>
      <c r="J571" s="21">
        <f>SUM(I571)-(I571*97%)</f>
        <v>36730.65</v>
      </c>
      <c r="K571" s="21">
        <f>SUM(I571)-(I571*95%)</f>
        <v>61217.75</v>
      </c>
      <c r="L571" s="23">
        <f>SUM(I571)-(I571*93%)</f>
        <v>85704.85</v>
      </c>
      <c r="M571" s="15"/>
      <c r="N571" s="24"/>
      <c r="O571" s="25"/>
      <c r="P571" s="41"/>
      <c r="Q571" s="46"/>
      <c r="R571" s="145"/>
      <c r="S571" s="21">
        <f t="shared" ref="S571:S594" si="233">SUM(N571)-(N571*15%)+(O571)-(O571*20.8%)+(P571)+(Q571)-(Q571*0.95%)+(R571)-(R571*15.5%)</f>
        <v>0</v>
      </c>
      <c r="T571" s="22">
        <f>SUM(N571:R594)</f>
        <v>0</v>
      </c>
      <c r="U571" s="21">
        <f>SUM(S571:S594)</f>
        <v>0</v>
      </c>
      <c r="V571" s="21">
        <f>SUM(U571)-(U571*97%)</f>
        <v>0</v>
      </c>
      <c r="W571" s="21">
        <f>SUM(U571)-(U571*95%)</f>
        <v>0</v>
      </c>
      <c r="X571" s="23">
        <f>SUM(U571)-(U571*93%)</f>
        <v>0</v>
      </c>
      <c r="Y571" s="60"/>
      <c r="Z571" s="24"/>
      <c r="AA571" s="25"/>
      <c r="AB571" s="18"/>
      <c r="AC571" s="20"/>
      <c r="AD571" s="20"/>
      <c r="AE571" s="21">
        <f t="shared" ref="AE571:AE594" si="234">SUM(Z571)-(Z571*15%)+(AA571)-(AA571*20.8%)+(AB571)+(AC571)-(AC571*0.95%)+(AD571)-(AD571*15.5%)</f>
        <v>0</v>
      </c>
      <c r="AF571" s="22">
        <f>SUM(Z571:AD594)</f>
        <v>0</v>
      </c>
      <c r="AG571" s="21">
        <f>SUM(AE571:AE594)</f>
        <v>0</v>
      </c>
      <c r="AH571" s="21">
        <f>SUM(AG571)-(AG571*97%)</f>
        <v>0</v>
      </c>
      <c r="AI571" s="21">
        <f>SUM(AG571)-(AG571*95%)</f>
        <v>0</v>
      </c>
      <c r="AJ571" s="23">
        <f>SUM(AG571)-(AG571*93%)</f>
        <v>0</v>
      </c>
      <c r="AK571" s="15"/>
      <c r="AL571" s="24"/>
      <c r="AM571" s="25"/>
      <c r="AN571" s="18"/>
      <c r="AO571" s="20"/>
      <c r="AP571" s="20"/>
      <c r="AQ571" s="21">
        <f t="shared" ref="AQ571:AQ594" si="235">SUM(AL571)-(AL571*15%)+(AM571)-(AM571*20.8%)+(AN571)+(AO571)-(AO571*0.95%)+(AP571)-(AP571*15.5%)</f>
        <v>0</v>
      </c>
      <c r="AR571" s="22">
        <f>SUM(AL571:AP594)</f>
        <v>0</v>
      </c>
      <c r="AS571" s="21">
        <f>SUM(AQ571:AQ594)</f>
        <v>0</v>
      </c>
      <c r="AT571" s="21">
        <f>SUM(AS571)-(AS571*97%)</f>
        <v>0</v>
      </c>
      <c r="AU571" s="21">
        <f>SUM(AS571)-(AS571*95%)</f>
        <v>0</v>
      </c>
      <c r="AV571" s="23">
        <f>SUM(AS571)-(AS571*93%)</f>
        <v>0</v>
      </c>
      <c r="AW571" s="15">
        <v>31.0</v>
      </c>
      <c r="AX571" s="24"/>
      <c r="AY571" s="25"/>
      <c r="AZ571" s="18"/>
      <c r="BA571" s="20"/>
      <c r="BB571" s="20"/>
      <c r="BC571" s="21">
        <f t="shared" ref="BC571:BC594" si="236">SUM(AX571)-(AX571*15%)+(AY571)-(AY571*20.8%)+(AZ571)+(BA571)-(BA571*0.95%)+(BB571)-(BB571*15.5%)</f>
        <v>0</v>
      </c>
      <c r="BD571" s="22">
        <f>SUM(AX571:BB594)</f>
        <v>0</v>
      </c>
      <c r="BE571" s="21">
        <f>SUM(BC571:BC594)</f>
        <v>0</v>
      </c>
      <c r="BF571" s="21">
        <f>SUM(BE571)-(BE571*97%)</f>
        <v>0</v>
      </c>
      <c r="BG571" s="21">
        <f>SUM(BE571)-(BE571*95%)</f>
        <v>0</v>
      </c>
      <c r="BH571" s="23">
        <f>SUM(BE571)-(BE571*93%)</f>
        <v>0</v>
      </c>
      <c r="BI571" s="15"/>
      <c r="BJ571" s="24"/>
      <c r="BK571" s="25"/>
      <c r="BL571" s="18"/>
      <c r="BM571" s="20"/>
      <c r="BN571" s="20"/>
      <c r="BO571" s="21">
        <f t="shared" ref="BO571:BO594" si="237">SUM(BJ571)-(BJ571*15%)+(BK571)-(BK571*20.8%)+(BL571)+(BM571)-(BM571*0.95%)+(BN571)-(BN571*15.5%)</f>
        <v>0</v>
      </c>
      <c r="BP571" s="22">
        <f>SUM(BJ571:BN594)</f>
        <v>0</v>
      </c>
      <c r="BQ571" s="21">
        <f>SUM(BO571:BO594)</f>
        <v>0</v>
      </c>
      <c r="BR571" s="21">
        <f>SUM(BQ571)-(BQ571*97%)</f>
        <v>0</v>
      </c>
      <c r="BS571" s="21">
        <f>SUM(BQ571)-(BQ571*95%)</f>
        <v>0</v>
      </c>
      <c r="BT571" s="23">
        <f>SUM(BQ571)-(BQ571*93%)</f>
        <v>0</v>
      </c>
      <c r="BU571" s="110"/>
      <c r="BV571" s="107"/>
      <c r="BW571" s="107"/>
      <c r="BX571" s="107"/>
      <c r="BY571" s="107"/>
      <c r="BZ571" s="107"/>
      <c r="CA571" s="111"/>
      <c r="CB571" s="112"/>
      <c r="CC571" s="111"/>
      <c r="CD571" s="111"/>
      <c r="CE571" s="111"/>
      <c r="CF571" s="111"/>
      <c r="CG571" s="107"/>
      <c r="CH571" s="107"/>
      <c r="CI571" s="107"/>
      <c r="CJ571" s="107"/>
    </row>
    <row r="572">
      <c r="A572" s="60"/>
      <c r="B572" s="27"/>
      <c r="C572" s="17"/>
      <c r="D572" s="28"/>
      <c r="E572" s="20"/>
      <c r="F572" s="30">
        <v>500000.0</v>
      </c>
      <c r="G572" s="21">
        <f t="shared" si="232"/>
        <v>422500</v>
      </c>
      <c r="H572" s="31" t="s">
        <v>20</v>
      </c>
      <c r="I572" s="13"/>
      <c r="J572" s="13" t="s">
        <v>21</v>
      </c>
      <c r="K572" s="13" t="s">
        <v>22</v>
      </c>
      <c r="L572" s="14" t="s">
        <v>23</v>
      </c>
      <c r="M572" s="60"/>
      <c r="N572" s="37"/>
      <c r="O572" s="25"/>
      <c r="P572" s="33"/>
      <c r="Q572" s="30"/>
      <c r="R572" s="30"/>
      <c r="S572" s="21">
        <f t="shared" si="233"/>
        <v>0</v>
      </c>
      <c r="T572" s="31" t="s">
        <v>20</v>
      </c>
      <c r="U572" s="13"/>
      <c r="V572" s="13" t="s">
        <v>21</v>
      </c>
      <c r="W572" s="13" t="s">
        <v>22</v>
      </c>
      <c r="X572" s="14" t="s">
        <v>23</v>
      </c>
      <c r="Y572" s="60"/>
      <c r="Z572" s="32"/>
      <c r="AA572" s="25"/>
      <c r="AB572" s="33"/>
      <c r="AC572" s="30"/>
      <c r="AD572" s="30"/>
      <c r="AE572" s="21">
        <f t="shared" si="234"/>
        <v>0</v>
      </c>
      <c r="AF572" s="31" t="s">
        <v>20</v>
      </c>
      <c r="AG572" s="13"/>
      <c r="AH572" s="13" t="s">
        <v>21</v>
      </c>
      <c r="AI572" s="13" t="s">
        <v>22</v>
      </c>
      <c r="AJ572" s="14" t="s">
        <v>23</v>
      </c>
      <c r="AK572" s="15"/>
      <c r="AL572" s="32"/>
      <c r="AM572" s="25"/>
      <c r="AN572" s="33"/>
      <c r="AO572" s="30"/>
      <c r="AP572" s="30"/>
      <c r="AQ572" s="21">
        <f t="shared" si="235"/>
        <v>0</v>
      </c>
      <c r="AR572" s="31" t="s">
        <v>20</v>
      </c>
      <c r="AS572" s="13"/>
      <c r="AT572" s="13" t="s">
        <v>21</v>
      </c>
      <c r="AU572" s="13" t="s">
        <v>22</v>
      </c>
      <c r="AV572" s="14" t="s">
        <v>23</v>
      </c>
      <c r="AW572" s="60"/>
      <c r="AX572" s="32"/>
      <c r="AY572" s="25"/>
      <c r="AZ572" s="33"/>
      <c r="BA572" s="30"/>
      <c r="BB572" s="30"/>
      <c r="BC572" s="21">
        <f t="shared" si="236"/>
        <v>0</v>
      </c>
      <c r="BD572" s="31" t="s">
        <v>20</v>
      </c>
      <c r="BE572" s="13"/>
      <c r="BF572" s="13" t="s">
        <v>21</v>
      </c>
      <c r="BG572" s="13" t="s">
        <v>22</v>
      </c>
      <c r="BH572" s="14" t="s">
        <v>23</v>
      </c>
      <c r="BI572" s="60"/>
      <c r="BJ572" s="32"/>
      <c r="BK572" s="25"/>
      <c r="BL572" s="33"/>
      <c r="BM572" s="30"/>
      <c r="BN572" s="30"/>
      <c r="BO572" s="21">
        <f t="shared" si="237"/>
        <v>0</v>
      </c>
      <c r="BP572" s="31" t="s">
        <v>20</v>
      </c>
      <c r="BQ572" s="13"/>
      <c r="BR572" s="13" t="s">
        <v>21</v>
      </c>
      <c r="BS572" s="13" t="s">
        <v>22</v>
      </c>
      <c r="BT572" s="14" t="s">
        <v>23</v>
      </c>
      <c r="BU572" s="110"/>
      <c r="BV572" s="107"/>
      <c r="BW572" s="107"/>
      <c r="BX572" s="107"/>
      <c r="BY572" s="107"/>
      <c r="BZ572" s="107"/>
      <c r="CA572" s="111"/>
      <c r="CB572" s="113"/>
      <c r="CC572" s="107"/>
      <c r="CD572" s="107"/>
      <c r="CE572" s="107"/>
      <c r="CF572" s="107"/>
      <c r="CG572" s="107"/>
      <c r="CH572" s="107"/>
      <c r="CI572" s="107"/>
      <c r="CJ572" s="107"/>
    </row>
    <row r="573">
      <c r="A573" s="60"/>
      <c r="B573" s="35"/>
      <c r="C573" s="17"/>
      <c r="D573" s="18"/>
      <c r="E573" s="20"/>
      <c r="F573" s="20">
        <v>820000.0</v>
      </c>
      <c r="G573" s="21">
        <f t="shared" si="232"/>
        <v>692900</v>
      </c>
      <c r="H573" s="36"/>
      <c r="I573" s="13"/>
      <c r="J573" s="21">
        <f t="shared" ref="J573:L573" si="238">SUM(J571)-(J571*10%)</f>
        <v>33057.585</v>
      </c>
      <c r="K573" s="21">
        <f t="shared" si="238"/>
        <v>55095.975</v>
      </c>
      <c r="L573" s="23">
        <f t="shared" si="238"/>
        <v>77134.365</v>
      </c>
      <c r="M573" s="60"/>
      <c r="N573" s="37"/>
      <c r="O573" s="25"/>
      <c r="P573" s="33"/>
      <c r="Q573" s="20"/>
      <c r="R573" s="20"/>
      <c r="S573" s="21">
        <f t="shared" si="233"/>
        <v>0</v>
      </c>
      <c r="T573" s="36"/>
      <c r="U573" s="13"/>
      <c r="V573" s="21">
        <f t="shared" ref="V573:X573" si="239">SUM(V571)-(V571*10%)</f>
        <v>0</v>
      </c>
      <c r="W573" s="21">
        <f t="shared" si="239"/>
        <v>0</v>
      </c>
      <c r="X573" s="23">
        <f t="shared" si="239"/>
        <v>0</v>
      </c>
      <c r="Y573" s="15"/>
      <c r="Z573" s="32"/>
      <c r="AA573" s="25"/>
      <c r="AB573" s="33"/>
      <c r="AC573" s="20"/>
      <c r="AD573" s="20"/>
      <c r="AE573" s="21">
        <f t="shared" si="234"/>
        <v>0</v>
      </c>
      <c r="AF573" s="36"/>
      <c r="AG573" s="13"/>
      <c r="AH573" s="21">
        <f t="shared" ref="AH573:AJ573" si="240">SUM(AH571)-(AH571*10%)</f>
        <v>0</v>
      </c>
      <c r="AI573" s="21">
        <f t="shared" si="240"/>
        <v>0</v>
      </c>
      <c r="AJ573" s="23">
        <f t="shared" si="240"/>
        <v>0</v>
      </c>
      <c r="AK573" s="15"/>
      <c r="AL573" s="37"/>
      <c r="AM573" s="25"/>
      <c r="AN573" s="33"/>
      <c r="AO573" s="20"/>
      <c r="AP573" s="20"/>
      <c r="AQ573" s="21">
        <f t="shared" si="235"/>
        <v>0</v>
      </c>
      <c r="AR573" s="36"/>
      <c r="AS573" s="13"/>
      <c r="AT573" s="21">
        <f t="shared" ref="AT573:AV573" si="241">SUM(AT571)-(AT571*10%)</f>
        <v>0</v>
      </c>
      <c r="AU573" s="21">
        <f t="shared" si="241"/>
        <v>0</v>
      </c>
      <c r="AV573" s="23">
        <f t="shared" si="241"/>
        <v>0</v>
      </c>
      <c r="AW573" s="60"/>
      <c r="AX573" s="32"/>
      <c r="AY573" s="25"/>
      <c r="AZ573" s="33"/>
      <c r="BA573" s="20"/>
      <c r="BB573" s="20"/>
      <c r="BC573" s="21">
        <f t="shared" si="236"/>
        <v>0</v>
      </c>
      <c r="BD573" s="36"/>
      <c r="BE573" s="13"/>
      <c r="BF573" s="21">
        <f t="shared" ref="BF573:BH573" si="242">SUM(BF571)-(BF571*10%)</f>
        <v>0</v>
      </c>
      <c r="BG573" s="21">
        <f t="shared" si="242"/>
        <v>0</v>
      </c>
      <c r="BH573" s="23">
        <f t="shared" si="242"/>
        <v>0</v>
      </c>
      <c r="BI573" s="60"/>
      <c r="BJ573" s="32"/>
      <c r="BK573" s="25"/>
      <c r="BL573" s="33"/>
      <c r="BM573" s="20"/>
      <c r="BN573" s="20"/>
      <c r="BO573" s="21">
        <f t="shared" si="237"/>
        <v>0</v>
      </c>
      <c r="BP573" s="36"/>
      <c r="BQ573" s="13"/>
      <c r="BR573" s="21">
        <f t="shared" ref="BR573:BT573" si="243">SUM(BR571)-(BR571*10%)</f>
        <v>0</v>
      </c>
      <c r="BS573" s="21">
        <f t="shared" si="243"/>
        <v>0</v>
      </c>
      <c r="BT573" s="23">
        <f t="shared" si="243"/>
        <v>0</v>
      </c>
      <c r="BU573" s="110"/>
      <c r="BV573" s="107"/>
      <c r="BW573" s="107"/>
      <c r="BX573" s="107"/>
      <c r="BY573" s="107"/>
      <c r="BZ573" s="107"/>
      <c r="CA573" s="111"/>
      <c r="CB573" s="107"/>
      <c r="CC573" s="107"/>
      <c r="CD573" s="111"/>
      <c r="CE573" s="111"/>
      <c r="CF573" s="111"/>
      <c r="CG573" s="107"/>
      <c r="CH573" s="107"/>
      <c r="CI573" s="107"/>
      <c r="CJ573" s="107"/>
    </row>
    <row r="574">
      <c r="A574" s="60"/>
      <c r="B574" s="27"/>
      <c r="C574" s="17"/>
      <c r="D574" s="18"/>
      <c r="E574" s="20"/>
      <c r="F574" s="20"/>
      <c r="G574" s="21">
        <f t="shared" si="232"/>
        <v>0</v>
      </c>
      <c r="H574" s="13"/>
      <c r="I574" s="13"/>
      <c r="J574" s="13"/>
      <c r="K574" s="13"/>
      <c r="L574" s="14"/>
      <c r="M574" s="105"/>
      <c r="N574" s="37"/>
      <c r="O574" s="93"/>
      <c r="P574" s="33"/>
      <c r="Q574" s="20"/>
      <c r="R574" s="20"/>
      <c r="S574" s="21">
        <f t="shared" si="233"/>
        <v>0</v>
      </c>
      <c r="T574" s="13"/>
      <c r="U574" s="13"/>
      <c r="V574" s="13"/>
      <c r="W574" s="13"/>
      <c r="X574" s="14"/>
      <c r="Y574" s="15"/>
      <c r="Z574" s="32"/>
      <c r="AA574" s="93"/>
      <c r="AB574" s="33"/>
      <c r="AC574" s="20"/>
      <c r="AD574" s="20"/>
      <c r="AE574" s="21">
        <f t="shared" si="234"/>
        <v>0</v>
      </c>
      <c r="AF574" s="13"/>
      <c r="AG574" s="13"/>
      <c r="AH574" s="13"/>
      <c r="AI574" s="13"/>
      <c r="AJ574" s="14"/>
      <c r="AK574" s="15"/>
      <c r="AL574" s="32"/>
      <c r="AM574" s="93"/>
      <c r="AN574" s="33"/>
      <c r="AO574" s="20"/>
      <c r="AP574" s="20"/>
      <c r="AQ574" s="21">
        <f t="shared" si="235"/>
        <v>0</v>
      </c>
      <c r="AR574" s="13"/>
      <c r="AS574" s="13"/>
      <c r="AT574" s="13"/>
      <c r="AU574" s="13"/>
      <c r="AV574" s="14"/>
      <c r="AW574" s="60"/>
      <c r="AX574" s="32"/>
      <c r="AY574" s="93"/>
      <c r="AZ574" s="33"/>
      <c r="BA574" s="20"/>
      <c r="BB574" s="20"/>
      <c r="BC574" s="21">
        <f t="shared" si="236"/>
        <v>0</v>
      </c>
      <c r="BD574" s="13"/>
      <c r="BE574" s="13"/>
      <c r="BF574" s="13"/>
      <c r="BG574" s="13"/>
      <c r="BH574" s="14"/>
      <c r="BI574" s="60"/>
      <c r="BJ574" s="32"/>
      <c r="BK574" s="93"/>
      <c r="BL574" s="33"/>
      <c r="BM574" s="20"/>
      <c r="BN574" s="20"/>
      <c r="BO574" s="21">
        <f t="shared" si="237"/>
        <v>0</v>
      </c>
      <c r="BP574" s="13"/>
      <c r="BQ574" s="13"/>
      <c r="BR574" s="13"/>
      <c r="BS574" s="13"/>
      <c r="BT574" s="14"/>
      <c r="BU574" s="110"/>
      <c r="BV574" s="107"/>
      <c r="BW574" s="107"/>
      <c r="BX574" s="107"/>
      <c r="BY574" s="107"/>
      <c r="BZ574" s="107"/>
      <c r="CA574" s="111"/>
      <c r="CB574" s="107"/>
      <c r="CC574" s="107"/>
      <c r="CD574" s="107"/>
      <c r="CE574" s="107"/>
      <c r="CF574" s="107"/>
      <c r="CG574" s="107"/>
      <c r="CH574" s="107"/>
      <c r="CI574" s="107"/>
      <c r="CJ574" s="107"/>
    </row>
    <row r="575">
      <c r="A575" s="60"/>
      <c r="B575" s="35"/>
      <c r="C575" s="17"/>
      <c r="D575" s="18"/>
      <c r="E575" s="20"/>
      <c r="F575" s="20"/>
      <c r="G575" s="21">
        <f t="shared" si="232"/>
        <v>0</v>
      </c>
      <c r="H575" s="13"/>
      <c r="I575" s="13"/>
      <c r="J575" s="13"/>
      <c r="K575" s="13"/>
      <c r="L575" s="14"/>
      <c r="M575" s="105"/>
      <c r="N575" s="20"/>
      <c r="O575" s="25"/>
      <c r="P575" s="33"/>
      <c r="Q575" s="20"/>
      <c r="R575" s="20"/>
      <c r="S575" s="21">
        <f t="shared" si="233"/>
        <v>0</v>
      </c>
      <c r="T575" s="13"/>
      <c r="U575" s="13"/>
      <c r="V575" s="13"/>
      <c r="W575" s="13"/>
      <c r="X575" s="14"/>
      <c r="Y575" s="60"/>
      <c r="Z575" s="32"/>
      <c r="AA575" s="25"/>
      <c r="AB575" s="33"/>
      <c r="AC575" s="20"/>
      <c r="AD575" s="20"/>
      <c r="AE575" s="21">
        <f t="shared" si="234"/>
        <v>0</v>
      </c>
      <c r="AF575" s="13"/>
      <c r="AG575" s="13"/>
      <c r="AH575" s="13"/>
      <c r="AI575" s="13"/>
      <c r="AJ575" s="14"/>
      <c r="AK575" s="15"/>
      <c r="AL575" s="32"/>
      <c r="AM575" s="25"/>
      <c r="AN575" s="33"/>
      <c r="AO575" s="20"/>
      <c r="AP575" s="20"/>
      <c r="AQ575" s="21">
        <f t="shared" si="235"/>
        <v>0</v>
      </c>
      <c r="AR575" s="13"/>
      <c r="AS575" s="13"/>
      <c r="AT575" s="13"/>
      <c r="AU575" s="13"/>
      <c r="AV575" s="14"/>
      <c r="AW575" s="60"/>
      <c r="AX575" s="32"/>
      <c r="AY575" s="25"/>
      <c r="AZ575" s="33"/>
      <c r="BA575" s="20"/>
      <c r="BB575" s="20"/>
      <c r="BC575" s="21">
        <f t="shared" si="236"/>
        <v>0</v>
      </c>
      <c r="BD575" s="13"/>
      <c r="BE575" s="13"/>
      <c r="BF575" s="13"/>
      <c r="BG575" s="13"/>
      <c r="BH575" s="14"/>
      <c r="BI575" s="60"/>
      <c r="BJ575" s="32"/>
      <c r="BK575" s="25"/>
      <c r="BL575" s="33"/>
      <c r="BM575" s="20"/>
      <c r="BN575" s="20"/>
      <c r="BO575" s="21">
        <f t="shared" si="237"/>
        <v>0</v>
      </c>
      <c r="BP575" s="13"/>
      <c r="BQ575" s="13"/>
      <c r="BR575" s="13"/>
      <c r="BS575" s="13"/>
      <c r="BT575" s="14"/>
      <c r="BU575" s="110"/>
      <c r="BV575" s="107"/>
      <c r="BW575" s="107"/>
      <c r="BX575" s="107"/>
      <c r="BY575" s="107"/>
      <c r="BZ575" s="107"/>
      <c r="CA575" s="111"/>
      <c r="CB575" s="107"/>
      <c r="CC575" s="107"/>
      <c r="CD575" s="107"/>
      <c r="CE575" s="107"/>
      <c r="CF575" s="107"/>
      <c r="CG575" s="107"/>
      <c r="CH575" s="107"/>
      <c r="CI575" s="107"/>
      <c r="CJ575" s="107"/>
    </row>
    <row r="576">
      <c r="A576" s="60"/>
      <c r="B576" s="39"/>
      <c r="C576" s="43"/>
      <c r="D576" s="18"/>
      <c r="E576" s="20"/>
      <c r="F576" s="20"/>
      <c r="G576" s="21">
        <f t="shared" si="232"/>
        <v>0</v>
      </c>
      <c r="H576" s="13"/>
      <c r="I576" s="13"/>
      <c r="J576" s="13"/>
      <c r="K576" s="13">
        <f>H578-AD571-AC572</f>
        <v>1224355</v>
      </c>
      <c r="L576" s="14"/>
      <c r="M576" s="105"/>
      <c r="N576" s="32"/>
      <c r="O576" s="93"/>
      <c r="P576" s="33"/>
      <c r="Q576" s="20"/>
      <c r="R576" s="20"/>
      <c r="S576" s="21">
        <f t="shared" si="233"/>
        <v>0</v>
      </c>
      <c r="T576" s="13"/>
      <c r="U576" s="13"/>
      <c r="V576" s="13"/>
      <c r="W576" s="13"/>
      <c r="X576" s="14"/>
      <c r="Y576" s="60"/>
      <c r="Z576" s="32"/>
      <c r="AA576" s="25"/>
      <c r="AB576" s="33"/>
      <c r="AC576" s="20"/>
      <c r="AD576" s="20"/>
      <c r="AE576" s="21">
        <f t="shared" si="234"/>
        <v>0</v>
      </c>
      <c r="AF576" s="13"/>
      <c r="AG576" s="13"/>
      <c r="AH576" s="13"/>
      <c r="AI576" s="13"/>
      <c r="AJ576" s="14"/>
      <c r="AK576" s="15"/>
      <c r="AL576" s="32"/>
      <c r="AM576" s="25"/>
      <c r="AN576" s="33"/>
      <c r="AO576" s="20"/>
      <c r="AP576" s="20"/>
      <c r="AQ576" s="21">
        <f t="shared" si="235"/>
        <v>0</v>
      </c>
      <c r="AR576" s="13"/>
      <c r="AS576" s="13"/>
      <c r="AT576" s="13"/>
      <c r="AU576" s="13"/>
      <c r="AV576" s="14"/>
      <c r="AW576" s="60"/>
      <c r="AX576" s="32"/>
      <c r="AY576" s="25"/>
      <c r="AZ576" s="33"/>
      <c r="BA576" s="20"/>
      <c r="BB576" s="20"/>
      <c r="BC576" s="21">
        <f t="shared" si="236"/>
        <v>0</v>
      </c>
      <c r="BD576" s="13"/>
      <c r="BE576" s="13"/>
      <c r="BF576" s="13"/>
      <c r="BG576" s="13"/>
      <c r="BH576" s="14"/>
      <c r="BI576" s="60"/>
      <c r="BJ576" s="32"/>
      <c r="BK576" s="25"/>
      <c r="BL576" s="33"/>
      <c r="BM576" s="20"/>
      <c r="BN576" s="20"/>
      <c r="BO576" s="21">
        <f t="shared" si="237"/>
        <v>0</v>
      </c>
      <c r="BP576" s="13"/>
      <c r="BQ576" s="13"/>
      <c r="BR576" s="13"/>
      <c r="BS576" s="13"/>
      <c r="BT576" s="14"/>
      <c r="BU576" s="110"/>
      <c r="BV576" s="107"/>
      <c r="BW576" s="107"/>
      <c r="BX576" s="107"/>
      <c r="BY576" s="107"/>
      <c r="BZ576" s="107"/>
      <c r="CA576" s="111"/>
      <c r="CB576" s="107"/>
      <c r="CC576" s="107"/>
      <c r="CD576" s="107"/>
      <c r="CE576" s="107"/>
      <c r="CF576" s="107"/>
      <c r="CG576" s="107"/>
      <c r="CH576" s="107"/>
      <c r="CI576" s="107"/>
      <c r="CJ576" s="107"/>
    </row>
    <row r="577">
      <c r="A577" s="60"/>
      <c r="B577" s="35"/>
      <c r="C577" s="17"/>
      <c r="D577" s="18"/>
      <c r="E577" s="20"/>
      <c r="F577" s="20"/>
      <c r="G577" s="21">
        <f t="shared" si="232"/>
        <v>0</v>
      </c>
      <c r="H577" s="94" t="s">
        <v>13</v>
      </c>
      <c r="I577" s="86" t="s">
        <v>57</v>
      </c>
      <c r="J577" s="86" t="s">
        <v>57</v>
      </c>
      <c r="K577" s="86" t="s">
        <v>65</v>
      </c>
      <c r="L577" s="95"/>
      <c r="M577" s="105"/>
      <c r="N577" s="37"/>
      <c r="O577" s="25"/>
      <c r="P577" s="33"/>
      <c r="Q577" s="20"/>
      <c r="R577" s="20"/>
      <c r="S577" s="21">
        <f t="shared" si="233"/>
        <v>0</v>
      </c>
      <c r="T577" s="13"/>
      <c r="U577" s="13"/>
      <c r="V577" s="13"/>
      <c r="W577" s="13"/>
      <c r="X577" s="14"/>
      <c r="Y577" s="38"/>
      <c r="Z577" s="32"/>
      <c r="AA577" s="25"/>
      <c r="AB577" s="33"/>
      <c r="AC577" s="20"/>
      <c r="AD577" s="20"/>
      <c r="AE577" s="21">
        <f t="shared" si="234"/>
        <v>0</v>
      </c>
      <c r="AF577" s="13"/>
      <c r="AG577" s="13"/>
      <c r="AH577" s="13"/>
      <c r="AI577" s="13"/>
      <c r="AJ577" s="14"/>
      <c r="AK577" s="15"/>
      <c r="AL577" s="32"/>
      <c r="AM577" s="25"/>
      <c r="AN577" s="33"/>
      <c r="AO577" s="20"/>
      <c r="AP577" s="20"/>
      <c r="AQ577" s="21">
        <f t="shared" si="235"/>
        <v>0</v>
      </c>
      <c r="AR577" s="13"/>
      <c r="AS577" s="13"/>
      <c r="AT577" s="13"/>
      <c r="AU577" s="13"/>
      <c r="AV577" s="14"/>
      <c r="AW577" s="38"/>
      <c r="AX577" s="32"/>
      <c r="AY577" s="25"/>
      <c r="AZ577" s="33"/>
      <c r="BA577" s="20"/>
      <c r="BB577" s="20"/>
      <c r="BC577" s="21">
        <f t="shared" si="236"/>
        <v>0</v>
      </c>
      <c r="BD577" s="13"/>
      <c r="BE577" s="13"/>
      <c r="BF577" s="13"/>
      <c r="BG577" s="13"/>
      <c r="BH577" s="14"/>
      <c r="BI577" s="38"/>
      <c r="BJ577" s="32"/>
      <c r="BK577" s="25"/>
      <c r="BL577" s="33"/>
      <c r="BM577" s="20"/>
      <c r="BN577" s="20"/>
      <c r="BO577" s="21">
        <f t="shared" si="237"/>
        <v>0</v>
      </c>
      <c r="BP577" s="13"/>
      <c r="BQ577" s="13"/>
      <c r="BR577" s="13"/>
      <c r="BS577" s="13"/>
      <c r="BT577" s="14"/>
      <c r="BU577" s="110"/>
      <c r="BV577" s="107"/>
      <c r="BW577" s="107"/>
      <c r="BX577" s="107"/>
      <c r="BY577" s="107"/>
      <c r="BZ577" s="107"/>
      <c r="CA577" s="111"/>
      <c r="CB577" s="107"/>
      <c r="CC577" s="107"/>
      <c r="CD577" s="107"/>
      <c r="CE577" s="107"/>
      <c r="CF577" s="107"/>
      <c r="CG577" s="107"/>
      <c r="CH577" s="107"/>
      <c r="CI577" s="107"/>
      <c r="CJ577" s="107"/>
    </row>
    <row r="578">
      <c r="A578" s="15"/>
      <c r="B578" s="16"/>
      <c r="C578" s="17"/>
      <c r="D578" s="28"/>
      <c r="E578" s="30"/>
      <c r="F578" s="30"/>
      <c r="G578" s="21">
        <f t="shared" si="232"/>
        <v>0</v>
      </c>
      <c r="H578" s="95">
        <f>AG571+I571+U571+AS571+BE571+BQ571+CC571</f>
        <v>1224355</v>
      </c>
      <c r="I578" s="102" t="s">
        <v>52</v>
      </c>
      <c r="J578" s="102" t="s">
        <v>44</v>
      </c>
      <c r="K578" s="102" t="s">
        <v>52</v>
      </c>
      <c r="L578" s="102" t="s">
        <v>44</v>
      </c>
      <c r="M578" s="105"/>
      <c r="N578" s="37"/>
      <c r="O578" s="25"/>
      <c r="P578" s="41"/>
      <c r="Q578" s="20"/>
      <c r="R578" s="20"/>
      <c r="S578" s="21">
        <f t="shared" si="233"/>
        <v>0</v>
      </c>
      <c r="T578" s="67"/>
      <c r="U578" s="67"/>
      <c r="V578" s="67"/>
      <c r="W578" s="13"/>
      <c r="X578" s="14"/>
      <c r="Y578" s="38"/>
      <c r="Z578" s="37"/>
      <c r="AA578" s="25"/>
      <c r="AB578" s="41"/>
      <c r="AC578" s="20"/>
      <c r="AD578" s="20"/>
      <c r="AE578" s="21">
        <f t="shared" si="234"/>
        <v>0</v>
      </c>
      <c r="AF578" s="13"/>
      <c r="AG578" s="13"/>
      <c r="AH578" s="13"/>
      <c r="AI578" s="13"/>
      <c r="AJ578" s="14"/>
      <c r="AK578" s="15"/>
      <c r="AL578" s="37"/>
      <c r="AM578" s="25"/>
      <c r="AN578" s="41"/>
      <c r="AO578" s="20"/>
      <c r="AP578" s="20"/>
      <c r="AQ578" s="21">
        <f t="shared" si="235"/>
        <v>0</v>
      </c>
      <c r="AR578" s="13"/>
      <c r="AS578" s="13"/>
      <c r="AT578" s="13"/>
      <c r="AU578" s="13"/>
      <c r="AV578" s="14"/>
      <c r="AW578" s="38"/>
      <c r="AX578" s="37"/>
      <c r="AY578" s="25"/>
      <c r="AZ578" s="41"/>
      <c r="BA578" s="20"/>
      <c r="BB578" s="20"/>
      <c r="BC578" s="21">
        <f t="shared" si="236"/>
        <v>0</v>
      </c>
      <c r="BD578" s="13"/>
      <c r="BE578" s="13"/>
      <c r="BF578" s="13"/>
      <c r="BG578" s="13"/>
      <c r="BH578" s="14"/>
      <c r="BI578" s="38"/>
      <c r="BJ578" s="37"/>
      <c r="BK578" s="25"/>
      <c r="BL578" s="41"/>
      <c r="BM578" s="20"/>
      <c r="BN578" s="20"/>
      <c r="BO578" s="21">
        <f t="shared" si="237"/>
        <v>0</v>
      </c>
      <c r="BP578" s="13"/>
      <c r="BQ578" s="13"/>
      <c r="BR578" s="13"/>
      <c r="BS578" s="13"/>
      <c r="BT578" s="14"/>
      <c r="BU578" s="107"/>
      <c r="BV578" s="107"/>
      <c r="BW578" s="107"/>
      <c r="BX578" s="107"/>
      <c r="BY578" s="107"/>
      <c r="BZ578" s="107"/>
      <c r="CA578" s="111"/>
      <c r="CB578" s="107"/>
      <c r="CC578" s="107"/>
      <c r="CD578" s="107"/>
      <c r="CE578" s="107"/>
      <c r="CF578" s="107"/>
      <c r="CG578" s="107"/>
      <c r="CH578" s="107"/>
      <c r="CI578" s="107"/>
      <c r="CJ578" s="107"/>
    </row>
    <row r="579">
      <c r="A579" s="60"/>
      <c r="B579" s="35"/>
      <c r="C579" s="17"/>
      <c r="D579" s="18"/>
      <c r="E579" s="20"/>
      <c r="F579" s="20"/>
      <c r="G579" s="21">
        <f t="shared" si="232"/>
        <v>0</v>
      </c>
      <c r="H579" s="95"/>
      <c r="I579" s="115">
        <f>SUM(H578)-(H578*99%)</f>
        <v>12243.55</v>
      </c>
      <c r="J579" s="87">
        <f>SUM(H578)-(H578*98.5%)</f>
        <v>18365.325</v>
      </c>
      <c r="K579" s="87">
        <f>SUM(K576)-(K576*99%)</f>
        <v>12243.55</v>
      </c>
      <c r="L579" s="87">
        <f>SUM(K576)-(K576*98.5%)</f>
        <v>18365.325</v>
      </c>
      <c r="M579" s="15"/>
      <c r="N579" s="24"/>
      <c r="O579" s="25"/>
      <c r="P579" s="41"/>
      <c r="Q579" s="30"/>
      <c r="R579" s="20"/>
      <c r="S579" s="21">
        <f t="shared" si="233"/>
        <v>0</v>
      </c>
      <c r="T579" s="13"/>
      <c r="U579" s="13"/>
      <c r="V579" s="13"/>
      <c r="W579" s="13"/>
      <c r="X579" s="14"/>
      <c r="Y579" s="38"/>
      <c r="Z579" s="24"/>
      <c r="AA579" s="25"/>
      <c r="AB579" s="41"/>
      <c r="AC579" s="30"/>
      <c r="AD579" s="30"/>
      <c r="AE579" s="21">
        <f t="shared" si="234"/>
        <v>0</v>
      </c>
      <c r="AF579" s="13"/>
      <c r="AG579" s="13"/>
      <c r="AH579" s="13"/>
      <c r="AI579" s="13"/>
      <c r="AJ579" s="14"/>
      <c r="AK579" s="38"/>
      <c r="AL579" s="24"/>
      <c r="AM579" s="25"/>
      <c r="AN579" s="41"/>
      <c r="AO579" s="30"/>
      <c r="AP579" s="30"/>
      <c r="AQ579" s="21">
        <f t="shared" si="235"/>
        <v>0</v>
      </c>
      <c r="AR579" s="13"/>
      <c r="AS579" s="13"/>
      <c r="AT579" s="13"/>
      <c r="AU579" s="13"/>
      <c r="AV579" s="14"/>
      <c r="AW579" s="38"/>
      <c r="AX579" s="24"/>
      <c r="AY579" s="25"/>
      <c r="AZ579" s="41"/>
      <c r="BA579" s="30"/>
      <c r="BB579" s="30"/>
      <c r="BC579" s="21">
        <f t="shared" si="236"/>
        <v>0</v>
      </c>
      <c r="BD579" s="67"/>
      <c r="BE579" s="67"/>
      <c r="BF579" s="13"/>
      <c r="BG579" s="13"/>
      <c r="BH579" s="14"/>
      <c r="BI579" s="38"/>
      <c r="BJ579" s="24"/>
      <c r="BK579" s="25"/>
      <c r="BL579" s="41"/>
      <c r="BM579" s="30"/>
      <c r="BN579" s="30"/>
      <c r="BO579" s="21">
        <f t="shared" si="237"/>
        <v>0</v>
      </c>
      <c r="BP579" s="13"/>
      <c r="BQ579" s="13"/>
      <c r="BR579" s="13"/>
      <c r="BS579" s="13"/>
      <c r="BT579" s="14"/>
      <c r="BU579" s="107"/>
      <c r="BV579" s="107"/>
      <c r="BW579" s="107"/>
      <c r="BX579" s="107"/>
      <c r="BY579" s="107"/>
      <c r="BZ579" s="107"/>
      <c r="CA579" s="111"/>
      <c r="CB579" s="107"/>
      <c r="CC579" s="107"/>
      <c r="CD579" s="107"/>
      <c r="CE579" s="107"/>
      <c r="CF579" s="107"/>
      <c r="CG579" s="107"/>
      <c r="CH579" s="107"/>
      <c r="CI579" s="107"/>
      <c r="CJ579" s="107"/>
    </row>
    <row r="580">
      <c r="A580" s="60"/>
      <c r="B580" s="24"/>
      <c r="C580" s="25"/>
      <c r="D580" s="41"/>
      <c r="E580" s="46"/>
      <c r="F580" s="46"/>
      <c r="G580" s="21">
        <f t="shared" si="232"/>
        <v>0</v>
      </c>
      <c r="H580" s="95"/>
      <c r="I580" s="86" t="s">
        <v>53</v>
      </c>
      <c r="J580" s="86" t="s">
        <v>36</v>
      </c>
      <c r="K580" s="86" t="s">
        <v>53</v>
      </c>
      <c r="L580" s="86" t="s">
        <v>36</v>
      </c>
      <c r="M580" s="15"/>
      <c r="N580" s="37"/>
      <c r="O580" s="25"/>
      <c r="P580" s="33"/>
      <c r="Q580" s="20"/>
      <c r="R580" s="20"/>
      <c r="S580" s="21">
        <f t="shared" si="233"/>
        <v>0</v>
      </c>
      <c r="T580" s="13"/>
      <c r="U580" s="13"/>
      <c r="V580" s="13"/>
      <c r="W580" s="13"/>
      <c r="X580" s="14"/>
      <c r="Y580" s="38"/>
      <c r="Z580" s="37"/>
      <c r="AA580" s="25"/>
      <c r="AB580" s="41"/>
      <c r="AC580" s="20"/>
      <c r="AD580" s="20"/>
      <c r="AE580" s="21">
        <f t="shared" si="234"/>
        <v>0</v>
      </c>
      <c r="AF580" s="13"/>
      <c r="AG580" s="13"/>
      <c r="AH580" s="13"/>
      <c r="AI580" s="13"/>
      <c r="AJ580" s="14"/>
      <c r="AK580" s="38"/>
      <c r="AL580" s="37"/>
      <c r="AM580" s="25"/>
      <c r="AN580" s="41"/>
      <c r="AO580" s="20"/>
      <c r="AP580" s="20"/>
      <c r="AQ580" s="21">
        <f t="shared" si="235"/>
        <v>0</v>
      </c>
      <c r="AR580" s="13"/>
      <c r="AS580" s="13"/>
      <c r="AT580" s="13"/>
      <c r="AU580" s="13"/>
      <c r="AV580" s="14"/>
      <c r="AW580" s="38"/>
      <c r="AX580" s="37"/>
      <c r="AY580" s="25"/>
      <c r="AZ580" s="41"/>
      <c r="BA580" s="20"/>
      <c r="BB580" s="20"/>
      <c r="BC580" s="21">
        <f t="shared" si="236"/>
        <v>0</v>
      </c>
      <c r="BD580" s="13"/>
      <c r="BE580" s="13"/>
      <c r="BF580" s="13"/>
      <c r="BG580" s="13"/>
      <c r="BH580" s="14"/>
      <c r="BI580" s="38"/>
      <c r="BJ580" s="37"/>
      <c r="BK580" s="25"/>
      <c r="BL580" s="41"/>
      <c r="BM580" s="20"/>
      <c r="BN580" s="20"/>
      <c r="BO580" s="21">
        <f t="shared" si="237"/>
        <v>0</v>
      </c>
      <c r="BP580" s="13"/>
      <c r="BQ580" s="13"/>
      <c r="BR580" s="13"/>
      <c r="BS580" s="13"/>
      <c r="BT580" s="14"/>
      <c r="BU580" s="107"/>
      <c r="BV580" s="107"/>
      <c r="BW580" s="107"/>
      <c r="BX580" s="107"/>
      <c r="BY580" s="107"/>
      <c r="BZ580" s="107"/>
      <c r="CA580" s="111"/>
      <c r="CB580" s="107"/>
      <c r="CC580" s="107"/>
      <c r="CD580" s="107"/>
      <c r="CE580" s="107"/>
      <c r="CF580" s="107"/>
      <c r="CG580" s="107"/>
      <c r="CH580" s="107"/>
      <c r="CI580" s="107"/>
      <c r="CJ580" s="107"/>
    </row>
    <row r="581">
      <c r="A581" s="60"/>
      <c r="B581" s="47"/>
      <c r="C581" s="25"/>
      <c r="D581" s="33"/>
      <c r="E581" s="46"/>
      <c r="F581" s="46"/>
      <c r="G581" s="21">
        <f t="shared" si="232"/>
        <v>0</v>
      </c>
      <c r="H581" s="94" t="s">
        <v>12</v>
      </c>
      <c r="I581" s="87">
        <f t="shared" ref="I581:L581" si="244">SUM(I579)-(I579*10%)</f>
        <v>11019.195</v>
      </c>
      <c r="J581" s="87">
        <f t="shared" si="244"/>
        <v>16528.7925</v>
      </c>
      <c r="K581" s="87">
        <f t="shared" si="244"/>
        <v>11019.195</v>
      </c>
      <c r="L581" s="87">
        <f t="shared" si="244"/>
        <v>16528.7925</v>
      </c>
      <c r="M581" s="15"/>
      <c r="N581" s="24"/>
      <c r="O581" s="25"/>
      <c r="P581" s="41"/>
      <c r="Q581" s="46"/>
      <c r="R581" s="46"/>
      <c r="S581" s="21">
        <f t="shared" si="233"/>
        <v>0</v>
      </c>
      <c r="T581" s="13"/>
      <c r="U581" s="13"/>
      <c r="V581" s="13"/>
      <c r="W581" s="13"/>
      <c r="X581" s="14"/>
      <c r="Y581" s="38"/>
      <c r="Z581" s="24"/>
      <c r="AA581" s="25"/>
      <c r="AB581" s="41"/>
      <c r="AC581" s="46"/>
      <c r="AD581" s="46"/>
      <c r="AE581" s="21">
        <f t="shared" si="234"/>
        <v>0</v>
      </c>
      <c r="AF581" s="13"/>
      <c r="AG581" s="13"/>
      <c r="AH581" s="13"/>
      <c r="AI581" s="13"/>
      <c r="AJ581" s="14"/>
      <c r="AK581" s="38"/>
      <c r="AL581" s="24"/>
      <c r="AM581" s="25"/>
      <c r="AN581" s="41"/>
      <c r="AO581" s="46"/>
      <c r="AP581" s="46"/>
      <c r="AQ581" s="21">
        <f t="shared" si="235"/>
        <v>0</v>
      </c>
      <c r="AR581" s="13"/>
      <c r="AS581" s="13"/>
      <c r="AT581" s="13"/>
      <c r="AU581" s="13"/>
      <c r="AV581" s="14"/>
      <c r="AW581" s="38"/>
      <c r="AX581" s="24"/>
      <c r="AY581" s="25"/>
      <c r="AZ581" s="41"/>
      <c r="BA581" s="46"/>
      <c r="BB581" s="46"/>
      <c r="BC581" s="21">
        <f t="shared" si="236"/>
        <v>0</v>
      </c>
      <c r="BD581" s="13"/>
      <c r="BE581" s="13"/>
      <c r="BF581" s="13"/>
      <c r="BG581" s="13"/>
      <c r="BH581" s="14"/>
      <c r="BI581" s="38"/>
      <c r="BJ581" s="24"/>
      <c r="BK581" s="25"/>
      <c r="BL581" s="41"/>
      <c r="BM581" s="46"/>
      <c r="BN581" s="46"/>
      <c r="BO581" s="21">
        <f t="shared" si="237"/>
        <v>0</v>
      </c>
      <c r="BP581" s="13"/>
      <c r="BQ581" s="13"/>
      <c r="BR581" s="13"/>
      <c r="BS581" s="13"/>
      <c r="BT581" s="14"/>
      <c r="BU581" s="107"/>
      <c r="BV581" s="107"/>
      <c r="BW581" s="107"/>
      <c r="BX581" s="107"/>
      <c r="BY581" s="107"/>
      <c r="BZ581" s="107"/>
      <c r="CA581" s="111"/>
      <c r="CB581" s="107"/>
      <c r="CC581" s="107"/>
      <c r="CD581" s="107"/>
      <c r="CE581" s="107"/>
      <c r="CF581" s="107"/>
      <c r="CG581" s="107"/>
      <c r="CH581" s="107"/>
      <c r="CI581" s="107"/>
      <c r="CJ581" s="107"/>
    </row>
    <row r="582">
      <c r="A582" s="105"/>
      <c r="B582" s="47"/>
      <c r="C582" s="25"/>
      <c r="D582" s="33"/>
      <c r="E582" s="46"/>
      <c r="F582" s="46"/>
      <c r="G582" s="21">
        <f t="shared" si="232"/>
        <v>0</v>
      </c>
      <c r="H582" s="95">
        <f>H571+T571+AF571+AR571+BD571+BP571+CB571</f>
        <v>1430000</v>
      </c>
      <c r="I582" s="95"/>
      <c r="J582" s="95"/>
      <c r="K582" s="86" t="s">
        <v>66</v>
      </c>
      <c r="L582" s="95"/>
      <c r="M582" s="38"/>
      <c r="N582" s="47"/>
      <c r="O582" s="25"/>
      <c r="P582" s="41"/>
      <c r="Q582" s="46"/>
      <c r="R582" s="46"/>
      <c r="S582" s="21">
        <f t="shared" si="233"/>
        <v>0</v>
      </c>
      <c r="T582" s="13"/>
      <c r="U582" s="13"/>
      <c r="V582" s="13"/>
      <c r="W582" s="13"/>
      <c r="X582" s="14"/>
      <c r="Y582" s="38"/>
      <c r="Z582" s="47"/>
      <c r="AA582" s="25"/>
      <c r="AB582" s="41"/>
      <c r="AC582" s="46"/>
      <c r="AD582" s="46"/>
      <c r="AE582" s="21">
        <f t="shared" si="234"/>
        <v>0</v>
      </c>
      <c r="AF582" s="13"/>
      <c r="AG582" s="13"/>
      <c r="AH582" s="13"/>
      <c r="AI582" s="13"/>
      <c r="AJ582" s="14"/>
      <c r="AK582" s="38"/>
      <c r="AL582" s="47"/>
      <c r="AM582" s="25"/>
      <c r="AN582" s="41"/>
      <c r="AO582" s="46"/>
      <c r="AP582" s="46"/>
      <c r="AQ582" s="21">
        <f t="shared" si="235"/>
        <v>0</v>
      </c>
      <c r="AR582" s="13"/>
      <c r="AS582" s="13"/>
      <c r="AT582" s="13"/>
      <c r="AU582" s="13"/>
      <c r="AV582" s="14"/>
      <c r="AW582" s="38"/>
      <c r="AX582" s="47"/>
      <c r="AY582" s="25"/>
      <c r="AZ582" s="41"/>
      <c r="BA582" s="46"/>
      <c r="BB582" s="46"/>
      <c r="BC582" s="21">
        <f t="shared" si="236"/>
        <v>0</v>
      </c>
      <c r="BD582" s="13"/>
      <c r="BE582" s="13"/>
      <c r="BF582" s="13"/>
      <c r="BG582" s="13"/>
      <c r="BH582" s="14"/>
      <c r="BI582" s="38"/>
      <c r="BJ582" s="47"/>
      <c r="BK582" s="25"/>
      <c r="BL582" s="41"/>
      <c r="BM582" s="46"/>
      <c r="BN582" s="46"/>
      <c r="BO582" s="21">
        <f t="shared" si="237"/>
        <v>0</v>
      </c>
      <c r="BP582" s="13"/>
      <c r="BQ582" s="13"/>
      <c r="BR582" s="13"/>
      <c r="BS582" s="13"/>
      <c r="BT582" s="14"/>
      <c r="BU582" s="107"/>
      <c r="BV582" s="107"/>
      <c r="BW582" s="107"/>
      <c r="BX582" s="107"/>
      <c r="BY582" s="107"/>
      <c r="BZ582" s="107"/>
      <c r="CA582" s="111"/>
      <c r="CB582" s="107"/>
      <c r="CC582" s="107"/>
      <c r="CD582" s="107"/>
      <c r="CE582" s="107"/>
      <c r="CF582" s="107"/>
      <c r="CG582" s="107"/>
      <c r="CH582" s="107"/>
      <c r="CI582" s="107"/>
      <c r="CJ582" s="107"/>
    </row>
    <row r="583">
      <c r="A583" s="105"/>
      <c r="B583" s="32"/>
      <c r="C583" s="25"/>
      <c r="D583" s="41"/>
      <c r="E583" s="46"/>
      <c r="F583" s="46"/>
      <c r="G583" s="21">
        <f t="shared" si="232"/>
        <v>0</v>
      </c>
      <c r="H583" s="95"/>
      <c r="I583" s="95"/>
      <c r="J583" s="95"/>
      <c r="K583" s="86">
        <f>J573+K581</f>
        <v>44076.78</v>
      </c>
      <c r="L583" s="95"/>
      <c r="M583" s="38"/>
      <c r="N583" s="32"/>
      <c r="O583" s="25"/>
      <c r="P583" s="41"/>
      <c r="Q583" s="46"/>
      <c r="R583" s="46"/>
      <c r="S583" s="21">
        <f t="shared" si="233"/>
        <v>0</v>
      </c>
      <c r="T583" s="13"/>
      <c r="U583" s="13"/>
      <c r="V583" s="13"/>
      <c r="W583" s="13"/>
      <c r="X583" s="14"/>
      <c r="Y583" s="38"/>
      <c r="Z583" s="32"/>
      <c r="AA583" s="25"/>
      <c r="AB583" s="41"/>
      <c r="AC583" s="46"/>
      <c r="AD583" s="46"/>
      <c r="AE583" s="21">
        <f t="shared" si="234"/>
        <v>0</v>
      </c>
      <c r="AF583" s="13"/>
      <c r="AG583" s="13"/>
      <c r="AH583" s="13"/>
      <c r="AI583" s="13"/>
      <c r="AJ583" s="14"/>
      <c r="AK583" s="38"/>
      <c r="AL583" s="32"/>
      <c r="AM583" s="25"/>
      <c r="AN583" s="41"/>
      <c r="AO583" s="46"/>
      <c r="AP583" s="46"/>
      <c r="AQ583" s="21">
        <f t="shared" si="235"/>
        <v>0</v>
      </c>
      <c r="AR583" s="13"/>
      <c r="AS583" s="13"/>
      <c r="AT583" s="13"/>
      <c r="AU583" s="13"/>
      <c r="AV583" s="14"/>
      <c r="AW583" s="38"/>
      <c r="AX583" s="32"/>
      <c r="AY583" s="25"/>
      <c r="AZ583" s="41"/>
      <c r="BA583" s="46"/>
      <c r="BB583" s="46"/>
      <c r="BC583" s="21">
        <f t="shared" si="236"/>
        <v>0</v>
      </c>
      <c r="BD583" s="13"/>
      <c r="BE583" s="13"/>
      <c r="BF583" s="13"/>
      <c r="BG583" s="13"/>
      <c r="BH583" s="14"/>
      <c r="BI583" s="38"/>
      <c r="BJ583" s="32"/>
      <c r="BK583" s="25"/>
      <c r="BL583" s="41"/>
      <c r="BM583" s="46"/>
      <c r="BN583" s="46"/>
      <c r="BO583" s="21">
        <f t="shared" si="237"/>
        <v>0</v>
      </c>
      <c r="BP583" s="13"/>
      <c r="BQ583" s="13"/>
      <c r="BR583" s="13"/>
      <c r="BS583" s="13"/>
      <c r="BT583" s="14"/>
      <c r="BU583" s="107"/>
      <c r="BV583" s="107"/>
      <c r="BW583" s="107"/>
      <c r="BX583" s="107"/>
      <c r="BY583" s="107"/>
      <c r="BZ583" s="107"/>
      <c r="CA583" s="111"/>
      <c r="CB583" s="107"/>
      <c r="CC583" s="107"/>
      <c r="CD583" s="107"/>
      <c r="CE583" s="107"/>
      <c r="CF583" s="107"/>
      <c r="CG583" s="107"/>
      <c r="CH583" s="107"/>
      <c r="CI583" s="107"/>
      <c r="CJ583" s="107"/>
    </row>
    <row r="584">
      <c r="A584" s="105"/>
      <c r="B584" s="47"/>
      <c r="C584" s="25"/>
      <c r="D584" s="41"/>
      <c r="E584" s="46"/>
      <c r="F584" s="46"/>
      <c r="G584" s="21">
        <f t="shared" si="232"/>
        <v>0</v>
      </c>
      <c r="H584" s="13"/>
      <c r="I584" s="13"/>
      <c r="J584" s="13"/>
      <c r="K584" s="13"/>
      <c r="L584" s="14"/>
      <c r="M584" s="38"/>
      <c r="N584" s="47"/>
      <c r="O584" s="25"/>
      <c r="P584" s="41"/>
      <c r="Q584" s="46"/>
      <c r="R584" s="46"/>
      <c r="S584" s="21">
        <f t="shared" si="233"/>
        <v>0</v>
      </c>
      <c r="T584" s="13"/>
      <c r="U584" s="116"/>
      <c r="V584" s="117" t="s">
        <v>78</v>
      </c>
      <c r="W584" s="116"/>
      <c r="X584" s="14"/>
      <c r="Y584" s="38"/>
      <c r="Z584" s="47"/>
      <c r="AA584" s="25"/>
      <c r="AB584" s="41"/>
      <c r="AC584" s="46"/>
      <c r="AD584" s="46"/>
      <c r="AE584" s="21">
        <f t="shared" si="234"/>
        <v>0</v>
      </c>
      <c r="AF584" s="13"/>
      <c r="AG584" s="116"/>
      <c r="AH584" s="117" t="s">
        <v>59</v>
      </c>
      <c r="AI584" s="116"/>
      <c r="AJ584" s="14"/>
      <c r="AK584" s="38"/>
      <c r="AL584" s="47"/>
      <c r="AM584" s="25"/>
      <c r="AN584" s="41"/>
      <c r="AO584" s="46"/>
      <c r="AP584" s="46"/>
      <c r="AQ584" s="21">
        <f t="shared" si="235"/>
        <v>0</v>
      </c>
      <c r="AR584" s="13"/>
      <c r="AS584" s="116"/>
      <c r="AT584" s="117" t="s">
        <v>60</v>
      </c>
      <c r="AU584" s="116"/>
      <c r="AV584" s="14"/>
      <c r="AW584" s="38"/>
      <c r="AX584" s="47"/>
      <c r="AY584" s="25"/>
      <c r="AZ584" s="41"/>
      <c r="BA584" s="46"/>
      <c r="BB584" s="46"/>
      <c r="BC584" s="21">
        <f t="shared" si="236"/>
        <v>0</v>
      </c>
      <c r="BD584" s="13"/>
      <c r="BE584" s="116"/>
      <c r="BF584" s="117"/>
      <c r="BG584" s="116"/>
      <c r="BH584" s="14"/>
      <c r="BI584" s="38"/>
      <c r="BJ584" s="47"/>
      <c r="BK584" s="25"/>
      <c r="BL584" s="41"/>
      <c r="BM584" s="46"/>
      <c r="BN584" s="46"/>
      <c r="BO584" s="21">
        <f t="shared" si="237"/>
        <v>0</v>
      </c>
      <c r="BP584" s="13"/>
      <c r="BQ584" s="116"/>
      <c r="BR584" s="117" t="s">
        <v>59</v>
      </c>
      <c r="BS584" s="116"/>
      <c r="BT584" s="14"/>
      <c r="BU584" s="107"/>
      <c r="BV584" s="107"/>
      <c r="BW584" s="107"/>
      <c r="BX584" s="107"/>
      <c r="BY584" s="107"/>
      <c r="BZ584" s="107"/>
      <c r="CA584" s="111"/>
      <c r="CB584" s="107"/>
      <c r="CC584" s="107"/>
      <c r="CD584" s="107"/>
      <c r="CE584" s="107"/>
      <c r="CF584" s="107"/>
      <c r="CG584" s="107"/>
      <c r="CH584" s="107"/>
      <c r="CI584" s="107"/>
      <c r="CJ584" s="107"/>
    </row>
    <row r="585">
      <c r="A585" s="38"/>
      <c r="B585" s="47"/>
      <c r="C585" s="25"/>
      <c r="D585" s="41"/>
      <c r="E585" s="46"/>
      <c r="F585" s="46"/>
      <c r="G585" s="21">
        <f t="shared" si="232"/>
        <v>0</v>
      </c>
      <c r="H585" s="116"/>
      <c r="I585" s="117" t="s">
        <v>61</v>
      </c>
      <c r="J585" s="116"/>
      <c r="K585" s="13"/>
      <c r="L585" s="14"/>
      <c r="M585" s="38"/>
      <c r="N585" s="47"/>
      <c r="O585" s="25"/>
      <c r="P585" s="41"/>
      <c r="Q585" s="46"/>
      <c r="R585" s="46"/>
      <c r="S585" s="21">
        <f t="shared" si="233"/>
        <v>0</v>
      </c>
      <c r="T585" s="13"/>
      <c r="U585" s="118">
        <v>0.01</v>
      </c>
      <c r="V585" s="118">
        <v>0.01</v>
      </c>
      <c r="W585" s="117" t="s">
        <v>80</v>
      </c>
      <c r="X585" s="14"/>
      <c r="Y585" s="38"/>
      <c r="Z585" s="47"/>
      <c r="AA585" s="25"/>
      <c r="AB585" s="41"/>
      <c r="AC585" s="46"/>
      <c r="AD585" s="46"/>
      <c r="AE585" s="21">
        <f t="shared" si="234"/>
        <v>0</v>
      </c>
      <c r="AF585" s="13"/>
      <c r="AG585" s="118">
        <v>0.02</v>
      </c>
      <c r="AH585" s="118">
        <v>0.04</v>
      </c>
      <c r="AI585" s="118">
        <v>0.06</v>
      </c>
      <c r="AJ585" s="14"/>
      <c r="AK585" s="38"/>
      <c r="AL585" s="47"/>
      <c r="AM585" s="25"/>
      <c r="AN585" s="41"/>
      <c r="AO585" s="46"/>
      <c r="AP585" s="46"/>
      <c r="AQ585" s="21">
        <f t="shared" si="235"/>
        <v>0</v>
      </c>
      <c r="AR585" s="13"/>
      <c r="AS585" s="118">
        <v>0.03</v>
      </c>
      <c r="AT585" s="118">
        <v>0.05</v>
      </c>
      <c r="AU585" s="118">
        <v>0.07</v>
      </c>
      <c r="AV585" s="14"/>
      <c r="AW585" s="38"/>
      <c r="AX585" s="47"/>
      <c r="AY585" s="25"/>
      <c r="AZ585" s="41"/>
      <c r="BA585" s="46"/>
      <c r="BB585" s="46"/>
      <c r="BC585" s="21">
        <f t="shared" si="236"/>
        <v>0</v>
      </c>
      <c r="BD585" s="13"/>
      <c r="BE585" s="118"/>
      <c r="BF585" s="118"/>
      <c r="BG585" s="117"/>
      <c r="BH585" s="14"/>
      <c r="BI585" s="38"/>
      <c r="BJ585" s="47"/>
      <c r="BK585" s="25"/>
      <c r="BL585" s="41"/>
      <c r="BM585" s="46"/>
      <c r="BN585" s="46"/>
      <c r="BO585" s="21">
        <f t="shared" si="237"/>
        <v>0</v>
      </c>
      <c r="BP585" s="13"/>
      <c r="BQ585" s="118">
        <v>0.03</v>
      </c>
      <c r="BR585" s="118">
        <v>0.05</v>
      </c>
      <c r="BS585" s="118">
        <v>0.07</v>
      </c>
      <c r="BT585" s="14"/>
      <c r="BU585" s="107"/>
      <c r="BV585" s="107"/>
      <c r="BW585" s="107"/>
      <c r="BX585" s="107"/>
      <c r="BY585" s="107"/>
      <c r="BZ585" s="107"/>
      <c r="CA585" s="111"/>
      <c r="CB585" s="107"/>
      <c r="CC585" s="107"/>
      <c r="CD585" s="107"/>
      <c r="CE585" s="107"/>
      <c r="CF585" s="107"/>
      <c r="CG585" s="107"/>
      <c r="CH585" s="107"/>
      <c r="CI585" s="107"/>
      <c r="CJ585" s="107"/>
    </row>
    <row r="586">
      <c r="A586" s="38"/>
      <c r="B586" s="47"/>
      <c r="C586" s="25"/>
      <c r="D586" s="41"/>
      <c r="E586" s="46"/>
      <c r="F586" s="46"/>
      <c r="G586" s="21">
        <f t="shared" si="232"/>
        <v>0</v>
      </c>
      <c r="H586" s="118">
        <v>0.03</v>
      </c>
      <c r="I586" s="118">
        <v>0.05</v>
      </c>
      <c r="J586" s="118">
        <v>0.07</v>
      </c>
      <c r="K586" s="13"/>
      <c r="L586" s="14"/>
      <c r="M586" s="38"/>
      <c r="N586" s="47"/>
      <c r="O586" s="25"/>
      <c r="P586" s="41"/>
      <c r="Q586" s="46"/>
      <c r="R586" s="46"/>
      <c r="S586" s="21">
        <f t="shared" si="233"/>
        <v>0</v>
      </c>
      <c r="T586" s="13"/>
      <c r="U586" s="117">
        <v>5.0</v>
      </c>
      <c r="V586" s="117">
        <v>7.0</v>
      </c>
      <c r="W586" s="117">
        <v>10.0</v>
      </c>
      <c r="X586" s="14"/>
      <c r="Y586" s="38"/>
      <c r="Z586" s="47"/>
      <c r="AA586" s="25"/>
      <c r="AB586" s="41"/>
      <c r="AC586" s="46"/>
      <c r="AD586" s="46"/>
      <c r="AE586" s="21">
        <f t="shared" si="234"/>
        <v>0</v>
      </c>
      <c r="AF586" s="13"/>
      <c r="AG586" s="117">
        <v>5.0</v>
      </c>
      <c r="AH586" s="117">
        <v>7.0</v>
      </c>
      <c r="AI586" s="117">
        <v>10.0</v>
      </c>
      <c r="AJ586" s="14"/>
      <c r="AK586" s="38"/>
      <c r="AL586" s="47"/>
      <c r="AM586" s="25"/>
      <c r="AN586" s="41"/>
      <c r="AO586" s="46"/>
      <c r="AP586" s="46"/>
      <c r="AQ586" s="21">
        <f t="shared" si="235"/>
        <v>0</v>
      </c>
      <c r="AR586" s="13"/>
      <c r="AS586" s="117">
        <v>5.0</v>
      </c>
      <c r="AT586" s="117">
        <v>7.0</v>
      </c>
      <c r="AU586" s="117">
        <v>10.0</v>
      </c>
      <c r="AV586" s="14"/>
      <c r="AW586" s="38"/>
      <c r="AX586" s="47"/>
      <c r="AY586" s="25"/>
      <c r="AZ586" s="41"/>
      <c r="BA586" s="46"/>
      <c r="BB586" s="46"/>
      <c r="BC586" s="21">
        <f t="shared" si="236"/>
        <v>0</v>
      </c>
      <c r="BD586" s="13"/>
      <c r="BE586" s="117"/>
      <c r="BF586" s="117"/>
      <c r="BG586" s="117"/>
      <c r="BH586" s="14"/>
      <c r="BI586" s="38"/>
      <c r="BJ586" s="47"/>
      <c r="BK586" s="25"/>
      <c r="BL586" s="41"/>
      <c r="BM586" s="46"/>
      <c r="BN586" s="46"/>
      <c r="BO586" s="21">
        <f t="shared" si="237"/>
        <v>0</v>
      </c>
      <c r="BP586" s="13"/>
      <c r="BQ586" s="117">
        <v>5.0</v>
      </c>
      <c r="BR586" s="117">
        <v>7.0</v>
      </c>
      <c r="BS586" s="117">
        <v>10.0</v>
      </c>
      <c r="BT586" s="14"/>
      <c r="BU586" s="107"/>
      <c r="BV586" s="107"/>
      <c r="BW586" s="107"/>
      <c r="BX586" s="107"/>
      <c r="BY586" s="107"/>
      <c r="BZ586" s="107"/>
      <c r="CA586" s="111"/>
      <c r="CB586" s="107"/>
      <c r="CC586" s="107"/>
      <c r="CD586" s="107"/>
      <c r="CE586" s="107"/>
      <c r="CF586" s="107"/>
      <c r="CG586" s="107"/>
      <c r="CH586" s="107"/>
      <c r="CI586" s="107"/>
      <c r="CJ586" s="107"/>
    </row>
    <row r="587">
      <c r="A587" s="38"/>
      <c r="B587" s="32"/>
      <c r="C587" s="25"/>
      <c r="D587" s="41"/>
      <c r="E587" s="49"/>
      <c r="F587" s="49"/>
      <c r="G587" s="21">
        <f t="shared" si="232"/>
        <v>0</v>
      </c>
      <c r="H587" s="117">
        <v>5.0</v>
      </c>
      <c r="I587" s="117">
        <v>7.0</v>
      </c>
      <c r="J587" s="117">
        <v>10.0</v>
      </c>
      <c r="K587" s="13"/>
      <c r="L587" s="14"/>
      <c r="M587" s="38"/>
      <c r="N587" s="32"/>
      <c r="O587" s="25"/>
      <c r="P587" s="41"/>
      <c r="Q587" s="49"/>
      <c r="R587" s="49"/>
      <c r="S587" s="21">
        <f t="shared" si="233"/>
        <v>0</v>
      </c>
      <c r="T587" s="13"/>
      <c r="U587" s="13"/>
      <c r="V587" s="13"/>
      <c r="W587" s="13"/>
      <c r="X587" s="14"/>
      <c r="Y587" s="38"/>
      <c r="Z587" s="32"/>
      <c r="AA587" s="25"/>
      <c r="AB587" s="41"/>
      <c r="AC587" s="49"/>
      <c r="AD587" s="49"/>
      <c r="AE587" s="21">
        <f t="shared" si="234"/>
        <v>0</v>
      </c>
      <c r="AF587" s="13"/>
      <c r="AG587" s="13"/>
      <c r="AH587" s="13"/>
      <c r="AI587" s="13"/>
      <c r="AJ587" s="14"/>
      <c r="AK587" s="38"/>
      <c r="AL587" s="32"/>
      <c r="AM587" s="25"/>
      <c r="AN587" s="41"/>
      <c r="AO587" s="49"/>
      <c r="AP587" s="49"/>
      <c r="AQ587" s="21">
        <f t="shared" si="235"/>
        <v>0</v>
      </c>
      <c r="AR587" s="13"/>
      <c r="AS587" s="13"/>
      <c r="AT587" s="13"/>
      <c r="AU587" s="13"/>
      <c r="AV587" s="14"/>
      <c r="AW587" s="38"/>
      <c r="AX587" s="32"/>
      <c r="AY587" s="25"/>
      <c r="AZ587" s="41"/>
      <c r="BA587" s="49"/>
      <c r="BB587" s="49"/>
      <c r="BC587" s="21">
        <f t="shared" si="236"/>
        <v>0</v>
      </c>
      <c r="BD587" s="13"/>
      <c r="BE587" s="13"/>
      <c r="BF587" s="13"/>
      <c r="BG587" s="13"/>
      <c r="BH587" s="14"/>
      <c r="BI587" s="38"/>
      <c r="BJ587" s="32"/>
      <c r="BK587" s="25"/>
      <c r="BL587" s="41"/>
      <c r="BM587" s="49"/>
      <c r="BN587" s="49"/>
      <c r="BO587" s="21">
        <f t="shared" si="237"/>
        <v>0</v>
      </c>
      <c r="BP587" s="13"/>
      <c r="BQ587" s="13"/>
      <c r="BR587" s="13"/>
      <c r="BS587" s="13"/>
      <c r="BT587" s="14"/>
      <c r="BU587" s="107"/>
      <c r="BV587" s="107"/>
      <c r="BW587" s="107"/>
      <c r="BX587" s="107"/>
      <c r="BY587" s="107"/>
      <c r="BZ587" s="107"/>
      <c r="CA587" s="111"/>
      <c r="CB587" s="107"/>
      <c r="CC587" s="107"/>
      <c r="CD587" s="107"/>
      <c r="CE587" s="107"/>
      <c r="CF587" s="107"/>
      <c r="CG587" s="107"/>
      <c r="CH587" s="107"/>
      <c r="CI587" s="107"/>
      <c r="CJ587" s="107"/>
    </row>
    <row r="588">
      <c r="A588" s="38"/>
      <c r="B588" s="32"/>
      <c r="C588" s="25"/>
      <c r="D588" s="41"/>
      <c r="E588" s="49"/>
      <c r="F588" s="49"/>
      <c r="G588" s="21">
        <f t="shared" si="232"/>
        <v>0</v>
      </c>
      <c r="H588" s="13"/>
      <c r="I588" s="13"/>
      <c r="J588" s="13"/>
      <c r="K588" s="13"/>
      <c r="L588" s="14"/>
      <c r="M588" s="38"/>
      <c r="N588" s="32"/>
      <c r="O588" s="25"/>
      <c r="P588" s="41"/>
      <c r="Q588" s="49"/>
      <c r="R588" s="49"/>
      <c r="S588" s="21">
        <f t="shared" si="233"/>
        <v>0</v>
      </c>
      <c r="T588" s="13"/>
      <c r="U588" s="13"/>
      <c r="V588" s="13"/>
      <c r="W588" s="13"/>
      <c r="X588" s="14"/>
      <c r="Y588" s="38"/>
      <c r="Z588" s="32"/>
      <c r="AA588" s="25"/>
      <c r="AB588" s="41"/>
      <c r="AC588" s="49"/>
      <c r="AD588" s="49"/>
      <c r="AE588" s="21">
        <f t="shared" si="234"/>
        <v>0</v>
      </c>
      <c r="AF588" s="13"/>
      <c r="AG588" s="13"/>
      <c r="AH588" s="13"/>
      <c r="AI588" s="13"/>
      <c r="AJ588" s="14"/>
      <c r="AK588" s="38"/>
      <c r="AL588" s="32"/>
      <c r="AM588" s="25"/>
      <c r="AN588" s="41"/>
      <c r="AO588" s="49"/>
      <c r="AP588" s="49"/>
      <c r="AQ588" s="21">
        <f t="shared" si="235"/>
        <v>0</v>
      </c>
      <c r="AR588" s="13"/>
      <c r="AS588" s="13"/>
      <c r="AT588" s="13"/>
      <c r="AU588" s="13"/>
      <c r="AV588" s="14"/>
      <c r="AW588" s="38"/>
      <c r="AX588" s="32"/>
      <c r="AY588" s="25"/>
      <c r="AZ588" s="41"/>
      <c r="BA588" s="49"/>
      <c r="BB588" s="49"/>
      <c r="BC588" s="21">
        <f t="shared" si="236"/>
        <v>0</v>
      </c>
      <c r="BD588" s="13"/>
      <c r="BE588" s="13"/>
      <c r="BF588" s="13"/>
      <c r="BG588" s="13"/>
      <c r="BH588" s="14"/>
      <c r="BI588" s="38"/>
      <c r="BJ588" s="32"/>
      <c r="BK588" s="25"/>
      <c r="BL588" s="41"/>
      <c r="BM588" s="49"/>
      <c r="BN588" s="49"/>
      <c r="BO588" s="21">
        <f t="shared" si="237"/>
        <v>0</v>
      </c>
      <c r="BP588" s="13"/>
      <c r="BQ588" s="13"/>
      <c r="BR588" s="13"/>
      <c r="BS588" s="13"/>
      <c r="BT588" s="14"/>
      <c r="BU588" s="107"/>
      <c r="BV588" s="107"/>
      <c r="BW588" s="107"/>
      <c r="BX588" s="107"/>
      <c r="BY588" s="107"/>
      <c r="BZ588" s="107"/>
      <c r="CA588" s="111"/>
      <c r="CB588" s="107"/>
      <c r="CC588" s="107"/>
      <c r="CD588" s="107"/>
      <c r="CE588" s="107"/>
      <c r="CF588" s="107"/>
      <c r="CG588" s="107"/>
      <c r="CH588" s="107"/>
      <c r="CI588" s="107"/>
      <c r="CJ588" s="107"/>
    </row>
    <row r="589">
      <c r="A589" s="38"/>
      <c r="B589" s="32"/>
      <c r="C589" s="25"/>
      <c r="D589" s="41"/>
      <c r="E589" s="49"/>
      <c r="F589" s="49"/>
      <c r="G589" s="21">
        <f t="shared" si="232"/>
        <v>0</v>
      </c>
      <c r="H589" s="13"/>
      <c r="I589" s="13"/>
      <c r="J589" s="67"/>
      <c r="K589" s="13"/>
      <c r="L589" s="14"/>
      <c r="M589" s="38"/>
      <c r="N589" s="32"/>
      <c r="O589" s="25"/>
      <c r="P589" s="41"/>
      <c r="Q589" s="49"/>
      <c r="R589" s="49"/>
      <c r="S589" s="21">
        <f t="shared" si="233"/>
        <v>0</v>
      </c>
      <c r="T589" s="13"/>
      <c r="U589" s="13"/>
      <c r="V589" s="13"/>
      <c r="W589" s="13"/>
      <c r="X589" s="14"/>
      <c r="Y589" s="38"/>
      <c r="Z589" s="32"/>
      <c r="AA589" s="25"/>
      <c r="AB589" s="41"/>
      <c r="AC589" s="49"/>
      <c r="AD589" s="49"/>
      <c r="AE589" s="21">
        <f t="shared" si="234"/>
        <v>0</v>
      </c>
      <c r="AF589" s="13"/>
      <c r="AG589" s="13"/>
      <c r="AH589" s="13"/>
      <c r="AI589" s="13"/>
      <c r="AJ589" s="14"/>
      <c r="AK589" s="38"/>
      <c r="AL589" s="32"/>
      <c r="AM589" s="25"/>
      <c r="AN589" s="41"/>
      <c r="AO589" s="49"/>
      <c r="AP589" s="49"/>
      <c r="AQ589" s="21">
        <f t="shared" si="235"/>
        <v>0</v>
      </c>
      <c r="AR589" s="13"/>
      <c r="AS589" s="13"/>
      <c r="AT589" s="13"/>
      <c r="AU589" s="13"/>
      <c r="AV589" s="14"/>
      <c r="AW589" s="38"/>
      <c r="AX589" s="32"/>
      <c r="AY589" s="25"/>
      <c r="AZ589" s="41"/>
      <c r="BA589" s="49"/>
      <c r="BB589" s="49"/>
      <c r="BC589" s="21">
        <f t="shared" si="236"/>
        <v>0</v>
      </c>
      <c r="BD589" s="13"/>
      <c r="BE589" s="13"/>
      <c r="BF589" s="13"/>
      <c r="BG589" s="13"/>
      <c r="BH589" s="14"/>
      <c r="BI589" s="38"/>
      <c r="BJ589" s="32"/>
      <c r="BK589" s="25"/>
      <c r="BL589" s="41"/>
      <c r="BM589" s="49"/>
      <c r="BN589" s="49"/>
      <c r="BO589" s="21">
        <f t="shared" si="237"/>
        <v>0</v>
      </c>
      <c r="BP589" s="13"/>
      <c r="BQ589" s="13"/>
      <c r="BR589" s="13"/>
      <c r="BS589" s="13"/>
      <c r="BT589" s="14"/>
      <c r="BU589" s="107"/>
      <c r="BV589" s="107"/>
      <c r="BW589" s="107"/>
      <c r="BX589" s="107"/>
      <c r="BY589" s="107"/>
      <c r="BZ589" s="107"/>
      <c r="CA589" s="111"/>
      <c r="CB589" s="107"/>
      <c r="CC589" s="107"/>
      <c r="CD589" s="107"/>
      <c r="CE589" s="107"/>
      <c r="CF589" s="107"/>
      <c r="CG589" s="107"/>
      <c r="CH589" s="107"/>
      <c r="CI589" s="107"/>
      <c r="CJ589" s="107"/>
    </row>
    <row r="590">
      <c r="A590" s="38"/>
      <c r="B590" s="32"/>
      <c r="C590" s="25"/>
      <c r="D590" s="41"/>
      <c r="E590" s="46"/>
      <c r="F590" s="46"/>
      <c r="G590" s="21">
        <f t="shared" si="232"/>
        <v>0</v>
      </c>
      <c r="H590" s="13"/>
      <c r="I590" s="67" t="s">
        <v>85</v>
      </c>
      <c r="J590" s="13"/>
      <c r="K590" s="13"/>
      <c r="L590" s="14"/>
      <c r="M590" s="38"/>
      <c r="N590" s="32"/>
      <c r="O590" s="25"/>
      <c r="P590" s="41"/>
      <c r="Q590" s="46"/>
      <c r="R590" s="46"/>
      <c r="S590" s="21">
        <f t="shared" si="233"/>
        <v>0</v>
      </c>
      <c r="T590" s="13"/>
      <c r="U590" s="13"/>
      <c r="V590" s="13"/>
      <c r="W590" s="13"/>
      <c r="X590" s="14"/>
      <c r="Y590" s="38"/>
      <c r="Z590" s="32"/>
      <c r="AA590" s="25"/>
      <c r="AB590" s="41"/>
      <c r="AC590" s="46"/>
      <c r="AD590" s="46"/>
      <c r="AE590" s="21">
        <f t="shared" si="234"/>
        <v>0</v>
      </c>
      <c r="AF590" s="13"/>
      <c r="AG590" s="13"/>
      <c r="AH590" s="13"/>
      <c r="AI590" s="13"/>
      <c r="AJ590" s="14"/>
      <c r="AK590" s="38"/>
      <c r="AL590" s="32"/>
      <c r="AM590" s="25"/>
      <c r="AN590" s="41"/>
      <c r="AO590" s="46"/>
      <c r="AP590" s="46"/>
      <c r="AQ590" s="21">
        <f t="shared" si="235"/>
        <v>0</v>
      </c>
      <c r="AR590" s="13"/>
      <c r="AS590" s="13"/>
      <c r="AT590" s="13"/>
      <c r="AU590" s="13"/>
      <c r="AV590" s="14"/>
      <c r="AW590" s="38"/>
      <c r="AX590" s="32"/>
      <c r="AY590" s="25"/>
      <c r="AZ590" s="41"/>
      <c r="BA590" s="46"/>
      <c r="BB590" s="46"/>
      <c r="BC590" s="21">
        <f t="shared" si="236"/>
        <v>0</v>
      </c>
      <c r="BD590" s="13"/>
      <c r="BE590" s="13"/>
      <c r="BF590" s="13"/>
      <c r="BG590" s="13"/>
      <c r="BH590" s="14"/>
      <c r="BI590" s="38"/>
      <c r="BJ590" s="32"/>
      <c r="BK590" s="25"/>
      <c r="BL590" s="41"/>
      <c r="BM590" s="46"/>
      <c r="BN590" s="46"/>
      <c r="BO590" s="21">
        <f t="shared" si="237"/>
        <v>0</v>
      </c>
      <c r="BP590" s="13"/>
      <c r="BQ590" s="13"/>
      <c r="BR590" s="13"/>
      <c r="BS590" s="13"/>
      <c r="BT590" s="14"/>
      <c r="BU590" s="107"/>
      <c r="BV590" s="107"/>
      <c r="BW590" s="107"/>
      <c r="BX590" s="107"/>
      <c r="BY590" s="107"/>
      <c r="BZ590" s="107"/>
      <c r="CA590" s="111"/>
      <c r="CB590" s="107"/>
      <c r="CC590" s="107"/>
      <c r="CD590" s="107"/>
      <c r="CE590" s="107"/>
      <c r="CF590" s="107"/>
      <c r="CG590" s="107"/>
      <c r="CH590" s="107"/>
      <c r="CI590" s="107"/>
      <c r="CJ590" s="107"/>
    </row>
    <row r="591">
      <c r="A591" s="38"/>
      <c r="B591" s="47"/>
      <c r="C591" s="25"/>
      <c r="D591" s="41"/>
      <c r="E591" s="49"/>
      <c r="F591" s="49"/>
      <c r="G591" s="21">
        <f t="shared" si="232"/>
        <v>0</v>
      </c>
      <c r="H591" s="13"/>
      <c r="I591" s="142">
        <v>40363.0</v>
      </c>
      <c r="J591" s="13"/>
      <c r="K591" s="13"/>
      <c r="L591" s="14"/>
      <c r="M591" s="38"/>
      <c r="N591" s="47"/>
      <c r="O591" s="25"/>
      <c r="P591" s="41"/>
      <c r="Q591" s="49"/>
      <c r="R591" s="49"/>
      <c r="S591" s="21">
        <f t="shared" si="233"/>
        <v>0</v>
      </c>
      <c r="T591" s="13"/>
      <c r="U591" s="67"/>
      <c r="V591" s="67"/>
      <c r="W591" s="13"/>
      <c r="X591" s="14"/>
      <c r="Y591" s="38"/>
      <c r="Z591" s="47"/>
      <c r="AA591" s="25"/>
      <c r="AB591" s="41"/>
      <c r="AC591" s="49"/>
      <c r="AD591" s="49"/>
      <c r="AE591" s="21">
        <f t="shared" si="234"/>
        <v>0</v>
      </c>
      <c r="AF591" s="13"/>
      <c r="AG591" s="13"/>
      <c r="AH591" s="13"/>
      <c r="AI591" s="13"/>
      <c r="AJ591" s="14"/>
      <c r="AK591" s="38"/>
      <c r="AL591" s="47"/>
      <c r="AM591" s="25"/>
      <c r="AN591" s="41"/>
      <c r="AO591" s="49"/>
      <c r="AP591" s="49"/>
      <c r="AQ591" s="21">
        <f t="shared" si="235"/>
        <v>0</v>
      </c>
      <c r="AR591" s="13"/>
      <c r="AS591" s="13"/>
      <c r="AT591" s="13"/>
      <c r="AU591" s="13"/>
      <c r="AV591" s="14"/>
      <c r="AW591" s="38"/>
      <c r="AX591" s="47"/>
      <c r="AY591" s="25"/>
      <c r="AZ591" s="41"/>
      <c r="BA591" s="49"/>
      <c r="BB591" s="49"/>
      <c r="BC591" s="21">
        <f t="shared" si="236"/>
        <v>0</v>
      </c>
      <c r="BD591" s="13"/>
      <c r="BE591" s="13"/>
      <c r="BF591" s="13"/>
      <c r="BG591" s="13"/>
      <c r="BH591" s="14"/>
      <c r="BI591" s="38"/>
      <c r="BJ591" s="47"/>
      <c r="BK591" s="25"/>
      <c r="BL591" s="41"/>
      <c r="BM591" s="49"/>
      <c r="BN591" s="49"/>
      <c r="BO591" s="21">
        <f t="shared" si="237"/>
        <v>0</v>
      </c>
      <c r="BP591" s="13"/>
      <c r="BQ591" s="13"/>
      <c r="BR591" s="13"/>
      <c r="BS591" s="13"/>
      <c r="BT591" s="14"/>
      <c r="BU591" s="107"/>
      <c r="BV591" s="107"/>
      <c r="BW591" s="107"/>
      <c r="BX591" s="107"/>
      <c r="BY591" s="107"/>
      <c r="BZ591" s="107"/>
      <c r="CA591" s="111"/>
      <c r="CB591" s="107"/>
      <c r="CC591" s="107"/>
      <c r="CD591" s="107"/>
      <c r="CE591" s="107"/>
      <c r="CF591" s="107"/>
      <c r="CG591" s="107"/>
      <c r="CH591" s="107"/>
      <c r="CI591" s="107"/>
      <c r="CJ591" s="107"/>
    </row>
    <row r="592">
      <c r="A592" s="38"/>
      <c r="B592" s="32"/>
      <c r="C592" s="25"/>
      <c r="D592" s="41"/>
      <c r="E592" s="49"/>
      <c r="F592" s="49"/>
      <c r="G592" s="21">
        <f t="shared" si="232"/>
        <v>0</v>
      </c>
      <c r="H592" s="13"/>
      <c r="I592" s="67"/>
      <c r="J592" s="13"/>
      <c r="K592" s="13"/>
      <c r="L592" s="14"/>
      <c r="M592" s="38"/>
      <c r="N592" s="32"/>
      <c r="O592" s="25"/>
      <c r="P592" s="41"/>
      <c r="Q592" s="49"/>
      <c r="R592" s="49"/>
      <c r="S592" s="21">
        <f t="shared" si="233"/>
        <v>0</v>
      </c>
      <c r="T592" s="13"/>
      <c r="U592" s="13"/>
      <c r="V592" s="13"/>
      <c r="W592" s="13"/>
      <c r="X592" s="14"/>
      <c r="Y592" s="38"/>
      <c r="Z592" s="32"/>
      <c r="AA592" s="25"/>
      <c r="AB592" s="41"/>
      <c r="AC592" s="49"/>
      <c r="AD592" s="49"/>
      <c r="AE592" s="21">
        <f t="shared" si="234"/>
        <v>0</v>
      </c>
      <c r="AF592" s="13"/>
      <c r="AG592" s="13"/>
      <c r="AH592" s="13"/>
      <c r="AI592" s="13"/>
      <c r="AJ592" s="14"/>
      <c r="AK592" s="38"/>
      <c r="AL592" s="32"/>
      <c r="AM592" s="25"/>
      <c r="AN592" s="41"/>
      <c r="AO592" s="49"/>
      <c r="AP592" s="49"/>
      <c r="AQ592" s="21">
        <f t="shared" si="235"/>
        <v>0</v>
      </c>
      <c r="AR592" s="13"/>
      <c r="AS592" s="13"/>
      <c r="AT592" s="13"/>
      <c r="AU592" s="13"/>
      <c r="AV592" s="14"/>
      <c r="AW592" s="38"/>
      <c r="AX592" s="32"/>
      <c r="AY592" s="25"/>
      <c r="AZ592" s="41"/>
      <c r="BA592" s="49"/>
      <c r="BB592" s="49"/>
      <c r="BC592" s="21">
        <f t="shared" si="236"/>
        <v>0</v>
      </c>
      <c r="BD592" s="13"/>
      <c r="BE592" s="13"/>
      <c r="BF592" s="13"/>
      <c r="BG592" s="13"/>
      <c r="BH592" s="14"/>
      <c r="BI592" s="38"/>
      <c r="BJ592" s="32"/>
      <c r="BK592" s="25"/>
      <c r="BL592" s="41"/>
      <c r="BM592" s="49"/>
      <c r="BN592" s="49"/>
      <c r="BO592" s="21">
        <f t="shared" si="237"/>
        <v>0</v>
      </c>
      <c r="BP592" s="13"/>
      <c r="BQ592" s="13"/>
      <c r="BR592" s="13"/>
      <c r="BS592" s="13"/>
      <c r="BT592" s="14"/>
      <c r="BU592" s="107"/>
      <c r="BV592" s="107"/>
      <c r="BW592" s="107"/>
      <c r="BX592" s="107"/>
      <c r="BY592" s="107"/>
      <c r="BZ592" s="107"/>
      <c r="CA592" s="111"/>
      <c r="CB592" s="107"/>
      <c r="CC592" s="107"/>
      <c r="CD592" s="107"/>
      <c r="CE592" s="107"/>
      <c r="CF592" s="107"/>
      <c r="CG592" s="107"/>
      <c r="CH592" s="107"/>
      <c r="CI592" s="107"/>
      <c r="CJ592" s="107"/>
    </row>
    <row r="593">
      <c r="A593" s="38"/>
      <c r="B593" s="32"/>
      <c r="C593" s="25"/>
      <c r="D593" s="41"/>
      <c r="E593" s="49"/>
      <c r="F593" s="49"/>
      <c r="G593" s="21">
        <f t="shared" si="232"/>
        <v>0</v>
      </c>
      <c r="H593" s="13"/>
      <c r="I593" s="67"/>
      <c r="J593" s="13"/>
      <c r="K593" s="13"/>
      <c r="L593" s="14"/>
      <c r="M593" s="38"/>
      <c r="N593" s="32"/>
      <c r="O593" s="25"/>
      <c r="P593" s="41"/>
      <c r="Q593" s="49"/>
      <c r="R593" s="49"/>
      <c r="S593" s="21">
        <f t="shared" si="233"/>
        <v>0</v>
      </c>
      <c r="T593" s="13"/>
      <c r="U593" s="13"/>
      <c r="V593" s="13"/>
      <c r="W593" s="13"/>
      <c r="X593" s="14"/>
      <c r="Y593" s="38"/>
      <c r="Z593" s="32"/>
      <c r="AA593" s="25"/>
      <c r="AB593" s="41"/>
      <c r="AC593" s="49"/>
      <c r="AD593" s="49"/>
      <c r="AE593" s="21">
        <f t="shared" si="234"/>
        <v>0</v>
      </c>
      <c r="AF593" s="13"/>
      <c r="AG593" s="13"/>
      <c r="AH593" s="13"/>
      <c r="AI593" s="13"/>
      <c r="AJ593" s="14"/>
      <c r="AK593" s="38"/>
      <c r="AL593" s="32"/>
      <c r="AM593" s="25"/>
      <c r="AN593" s="41"/>
      <c r="AO593" s="49"/>
      <c r="AP593" s="49"/>
      <c r="AQ593" s="21">
        <f t="shared" si="235"/>
        <v>0</v>
      </c>
      <c r="AR593" s="13"/>
      <c r="AS593" s="13"/>
      <c r="AT593" s="13"/>
      <c r="AU593" s="13"/>
      <c r="AV593" s="14"/>
      <c r="AW593" s="38"/>
      <c r="AX593" s="32"/>
      <c r="AY593" s="25"/>
      <c r="AZ593" s="41"/>
      <c r="BA593" s="49"/>
      <c r="BB593" s="49"/>
      <c r="BC593" s="21">
        <f t="shared" si="236"/>
        <v>0</v>
      </c>
      <c r="BD593" s="13"/>
      <c r="BE593" s="13"/>
      <c r="BF593" s="13"/>
      <c r="BG593" s="13"/>
      <c r="BH593" s="14"/>
      <c r="BI593" s="38"/>
      <c r="BJ593" s="32"/>
      <c r="BK593" s="25"/>
      <c r="BL593" s="41"/>
      <c r="BM593" s="49"/>
      <c r="BN593" s="49"/>
      <c r="BO593" s="21">
        <f t="shared" si="237"/>
        <v>0</v>
      </c>
      <c r="BP593" s="13"/>
      <c r="BQ593" s="13"/>
      <c r="BR593" s="13"/>
      <c r="BS593" s="13"/>
      <c r="BT593" s="14"/>
      <c r="BU593" s="107"/>
      <c r="BV593" s="107"/>
      <c r="BW593" s="107"/>
      <c r="BX593" s="107"/>
      <c r="BY593" s="107"/>
      <c r="BZ593" s="107"/>
      <c r="CA593" s="111"/>
      <c r="CB593" s="107"/>
      <c r="CC593" s="107"/>
      <c r="CD593" s="107"/>
      <c r="CE593" s="107"/>
      <c r="CF593" s="107"/>
      <c r="CG593" s="107"/>
      <c r="CH593" s="107"/>
      <c r="CI593" s="107"/>
      <c r="CJ593" s="107"/>
    </row>
    <row r="594">
      <c r="A594" s="50"/>
      <c r="B594" s="32"/>
      <c r="C594" s="25"/>
      <c r="D594" s="41"/>
      <c r="E594" s="49"/>
      <c r="F594" s="49"/>
      <c r="G594" s="88">
        <f t="shared" si="232"/>
        <v>0</v>
      </c>
      <c r="H594" s="89"/>
      <c r="I594" s="104"/>
      <c r="J594" s="89"/>
      <c r="K594" s="89"/>
      <c r="L594" s="90"/>
      <c r="M594" s="50"/>
      <c r="N594" s="32"/>
      <c r="O594" s="25"/>
      <c r="P594" s="41"/>
      <c r="Q594" s="49"/>
      <c r="R594" s="49"/>
      <c r="S594" s="21">
        <f t="shared" si="233"/>
        <v>0</v>
      </c>
      <c r="T594" s="89"/>
      <c r="U594" s="89"/>
      <c r="V594" s="89"/>
      <c r="W594" s="89"/>
      <c r="X594" s="90"/>
      <c r="Y594" s="50"/>
      <c r="Z594" s="32"/>
      <c r="AA594" s="25"/>
      <c r="AB594" s="41"/>
      <c r="AC594" s="49"/>
      <c r="AD594" s="49"/>
      <c r="AE594" s="21">
        <f t="shared" si="234"/>
        <v>0</v>
      </c>
      <c r="AF594" s="89"/>
      <c r="AG594" s="89"/>
      <c r="AH594" s="89"/>
      <c r="AI594" s="89"/>
      <c r="AJ594" s="90"/>
      <c r="AK594" s="50"/>
      <c r="AL594" s="32"/>
      <c r="AM594" s="25"/>
      <c r="AN594" s="41"/>
      <c r="AO594" s="49"/>
      <c r="AP594" s="49"/>
      <c r="AQ594" s="21">
        <f t="shared" si="235"/>
        <v>0</v>
      </c>
      <c r="AR594" s="89"/>
      <c r="AS594" s="89"/>
      <c r="AT594" s="89"/>
      <c r="AU594" s="89"/>
      <c r="AV594" s="90"/>
      <c r="AW594" s="50"/>
      <c r="AX594" s="32"/>
      <c r="AY594" s="25"/>
      <c r="AZ594" s="41"/>
      <c r="BA594" s="49"/>
      <c r="BB594" s="49"/>
      <c r="BC594" s="21">
        <f t="shared" si="236"/>
        <v>0</v>
      </c>
      <c r="BD594" s="89"/>
      <c r="BE594" s="89"/>
      <c r="BF594" s="89"/>
      <c r="BG594" s="89"/>
      <c r="BH594" s="90"/>
      <c r="BI594" s="50"/>
      <c r="BJ594" s="32"/>
      <c r="BK594" s="25"/>
      <c r="BL594" s="41"/>
      <c r="BM594" s="49"/>
      <c r="BN594" s="49"/>
      <c r="BO594" s="21">
        <f t="shared" si="237"/>
        <v>0</v>
      </c>
      <c r="BP594" s="89"/>
      <c r="BQ594" s="89"/>
      <c r="BR594" s="89"/>
      <c r="BS594" s="89"/>
      <c r="BT594" s="90"/>
      <c r="BU594" s="107"/>
      <c r="BV594" s="107"/>
      <c r="BW594" s="107"/>
      <c r="BX594" s="107"/>
      <c r="BY594" s="107"/>
      <c r="BZ594" s="107"/>
      <c r="CA594" s="111"/>
      <c r="CB594" s="107"/>
      <c r="CC594" s="107"/>
      <c r="CD594" s="107"/>
      <c r="CE594" s="107"/>
      <c r="CF594" s="107"/>
      <c r="CG594" s="107"/>
      <c r="CH594" s="107"/>
      <c r="CI594" s="107"/>
      <c r="CJ594" s="107"/>
    </row>
    <row r="595">
      <c r="A595" s="146" t="s">
        <v>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146" t="s">
        <v>2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3"/>
      <c r="Y595" s="146" t="s">
        <v>88</v>
      </c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3"/>
      <c r="AK595" s="146" t="s">
        <v>97</v>
      </c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3"/>
      <c r="AW595" s="147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3"/>
      <c r="BI595" s="147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3"/>
      <c r="BU595" s="107"/>
      <c r="CG595" s="107"/>
      <c r="CH595" s="107"/>
      <c r="CI595" s="107"/>
      <c r="CJ595" s="107"/>
    </row>
    <row r="596">
      <c r="A596" s="148" t="s">
        <v>108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148" t="s">
        <v>108</v>
      </c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148" t="s">
        <v>108</v>
      </c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148" t="s">
        <v>108</v>
      </c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148" t="s">
        <v>94</v>
      </c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148" t="s">
        <v>94</v>
      </c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148" t="s">
        <v>94</v>
      </c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107"/>
      <c r="CH596" s="107"/>
      <c r="CI596" s="107"/>
      <c r="CJ596" s="107"/>
    </row>
    <row r="597">
      <c r="A597" s="149" t="s">
        <v>5</v>
      </c>
      <c r="B597" s="82" t="s">
        <v>6</v>
      </c>
      <c r="C597" s="150" t="s">
        <v>7</v>
      </c>
      <c r="D597" s="151" t="s">
        <v>8</v>
      </c>
      <c r="E597" s="152" t="s">
        <v>9</v>
      </c>
      <c r="F597" s="152" t="s">
        <v>10</v>
      </c>
      <c r="G597" s="153" t="s">
        <v>11</v>
      </c>
      <c r="H597" s="153" t="s">
        <v>12</v>
      </c>
      <c r="I597" s="153" t="s">
        <v>13</v>
      </c>
      <c r="J597" s="107" t="s">
        <v>14</v>
      </c>
      <c r="K597" s="107" t="s">
        <v>15</v>
      </c>
      <c r="L597" s="154" t="s">
        <v>16</v>
      </c>
      <c r="M597" s="149" t="s">
        <v>5</v>
      </c>
      <c r="N597" s="82" t="s">
        <v>6</v>
      </c>
      <c r="O597" s="150" t="s">
        <v>7</v>
      </c>
      <c r="P597" s="151" t="s">
        <v>8</v>
      </c>
      <c r="Q597" s="152" t="s">
        <v>9</v>
      </c>
      <c r="R597" s="152" t="s">
        <v>10</v>
      </c>
      <c r="S597" s="153" t="s">
        <v>11</v>
      </c>
      <c r="T597" s="153" t="s">
        <v>12</v>
      </c>
      <c r="U597" s="153" t="s">
        <v>13</v>
      </c>
      <c r="V597" s="107" t="s">
        <v>14</v>
      </c>
      <c r="W597" s="107" t="s">
        <v>15</v>
      </c>
      <c r="X597" s="154" t="s">
        <v>16</v>
      </c>
      <c r="Y597" s="149" t="s">
        <v>5</v>
      </c>
      <c r="Z597" s="82" t="s">
        <v>6</v>
      </c>
      <c r="AA597" s="150" t="s">
        <v>7</v>
      </c>
      <c r="AB597" s="151" t="s">
        <v>8</v>
      </c>
      <c r="AC597" s="152" t="s">
        <v>9</v>
      </c>
      <c r="AD597" s="152" t="s">
        <v>10</v>
      </c>
      <c r="AE597" s="153" t="s">
        <v>11</v>
      </c>
      <c r="AF597" s="153" t="s">
        <v>12</v>
      </c>
      <c r="AG597" s="153" t="s">
        <v>13</v>
      </c>
      <c r="AH597" s="107" t="s">
        <v>14</v>
      </c>
      <c r="AI597" s="107" t="s">
        <v>15</v>
      </c>
      <c r="AJ597" s="154" t="s">
        <v>16</v>
      </c>
      <c r="AK597" s="149" t="s">
        <v>5</v>
      </c>
      <c r="AL597" s="82" t="s">
        <v>84</v>
      </c>
      <c r="AM597" s="150" t="s">
        <v>7</v>
      </c>
      <c r="AN597" s="151" t="s">
        <v>8</v>
      </c>
      <c r="AO597" s="152" t="s">
        <v>9</v>
      </c>
      <c r="AP597" s="152" t="s">
        <v>10</v>
      </c>
      <c r="AQ597" s="153" t="s">
        <v>11</v>
      </c>
      <c r="AR597" s="153" t="s">
        <v>12</v>
      </c>
      <c r="AS597" s="153" t="s">
        <v>13</v>
      </c>
      <c r="AT597" s="107" t="s">
        <v>14</v>
      </c>
      <c r="AU597" s="107" t="s">
        <v>15</v>
      </c>
      <c r="AV597" s="154" t="s">
        <v>16</v>
      </c>
      <c r="AW597" s="149" t="s">
        <v>5</v>
      </c>
      <c r="AX597" s="82" t="s">
        <v>6</v>
      </c>
      <c r="AY597" s="150" t="s">
        <v>7</v>
      </c>
      <c r="AZ597" s="151" t="s">
        <v>8</v>
      </c>
      <c r="BA597" s="152" t="s">
        <v>9</v>
      </c>
      <c r="BB597" s="152" t="s">
        <v>10</v>
      </c>
      <c r="BC597" s="153" t="s">
        <v>11</v>
      </c>
      <c r="BD597" s="153" t="s">
        <v>12</v>
      </c>
      <c r="BE597" s="153" t="s">
        <v>13</v>
      </c>
      <c r="BF597" s="107" t="s">
        <v>14</v>
      </c>
      <c r="BG597" s="107" t="s">
        <v>15</v>
      </c>
      <c r="BH597" s="154" t="s">
        <v>16</v>
      </c>
      <c r="BI597" s="149" t="s">
        <v>5</v>
      </c>
      <c r="BJ597" s="82" t="s">
        <v>6</v>
      </c>
      <c r="BK597" s="150" t="s">
        <v>7</v>
      </c>
      <c r="BL597" s="151" t="s">
        <v>8</v>
      </c>
      <c r="BM597" s="152" t="s">
        <v>9</v>
      </c>
      <c r="BN597" s="152" t="s">
        <v>10</v>
      </c>
      <c r="BO597" s="153" t="s">
        <v>11</v>
      </c>
      <c r="BP597" s="153" t="s">
        <v>12</v>
      </c>
      <c r="BQ597" s="153" t="s">
        <v>13</v>
      </c>
      <c r="BR597" s="107" t="s">
        <v>14</v>
      </c>
      <c r="BS597" s="107" t="s">
        <v>15</v>
      </c>
      <c r="BT597" s="154" t="s">
        <v>16</v>
      </c>
      <c r="BU597" s="107"/>
      <c r="BV597" s="107"/>
      <c r="BW597" s="107"/>
      <c r="BX597" s="107"/>
      <c r="BY597" s="107"/>
      <c r="BZ597" s="107"/>
      <c r="CA597" s="107"/>
      <c r="CB597" s="107"/>
      <c r="CC597" s="107"/>
      <c r="CD597" s="107"/>
      <c r="CE597" s="107"/>
      <c r="CF597" s="107"/>
      <c r="CG597" s="107"/>
      <c r="CH597" s="107"/>
      <c r="CI597" s="107"/>
      <c r="CJ597" s="107"/>
    </row>
    <row r="598">
      <c r="A598" s="155"/>
      <c r="B598" s="140"/>
      <c r="C598" s="98"/>
      <c r="D598" s="156"/>
      <c r="E598" s="157"/>
      <c r="F598" s="157"/>
      <c r="G598" s="158">
        <f t="shared" ref="G598:G621" si="245">SUM(B598)-(B598*15%)+(C598)-(C598*20.8%)+(D598)+(E598)-(E598*0.95%)+(F598)-(F598*15.5%)</f>
        <v>0</v>
      </c>
      <c r="H598" s="112">
        <f>SUM(B598:F621)</f>
        <v>0</v>
      </c>
      <c r="I598" s="158">
        <f>SUM(G598:G621)</f>
        <v>0</v>
      </c>
      <c r="J598" s="158">
        <f>SUM(I598)-(I598*97%)</f>
        <v>0</v>
      </c>
      <c r="K598" s="158">
        <f>SUM(I598)-(I598*95%)</f>
        <v>0</v>
      </c>
      <c r="L598" s="159">
        <f>SUM(I598)-(I598*93%)</f>
        <v>0</v>
      </c>
      <c r="M598" s="160"/>
      <c r="N598" s="140"/>
      <c r="O598" s="98"/>
      <c r="P598" s="156"/>
      <c r="Q598" s="157"/>
      <c r="R598" s="161"/>
      <c r="S598" s="158">
        <f t="shared" ref="S598:S621" si="246">SUM(N598)-(N598*15%)+(O598)-(O598*20.8%)+(P598)+(Q598)-(Q598*0.95%)+(R598)-(R598*15.5%)</f>
        <v>0</v>
      </c>
      <c r="T598" s="112">
        <f>SUM(N598:R621)</f>
        <v>0</v>
      </c>
      <c r="U598" s="158">
        <f>SUM(S598:S621)</f>
        <v>0</v>
      </c>
      <c r="V598" s="158">
        <f>SUM(U598)-(U598*97%)</f>
        <v>0</v>
      </c>
      <c r="W598" s="158">
        <f>SUM(U598)-(U598*95%)</f>
        <v>0</v>
      </c>
      <c r="X598" s="159">
        <f>SUM(U598)-(U598*93%)</f>
        <v>0</v>
      </c>
      <c r="Y598" s="155"/>
      <c r="Z598" s="140"/>
      <c r="AA598" s="98"/>
      <c r="AB598" s="156"/>
      <c r="AC598" s="157"/>
      <c r="AD598" s="157"/>
      <c r="AE598" s="158">
        <f t="shared" ref="AE598:AE621" si="247">SUM(Z598)-(Z598*15%)+(AA598)-(AA598*20.8%)+(AB598)+(AC598)-(AC598*0.95%)+(AD598)-(AD598*15.5%)</f>
        <v>0</v>
      </c>
      <c r="AF598" s="112">
        <f>SUM(Z598:AD621)</f>
        <v>0</v>
      </c>
      <c r="AG598" s="158">
        <f>SUM(AE598:AE621)</f>
        <v>0</v>
      </c>
      <c r="AH598" s="158">
        <f>SUM(AG598)-(AG598*97%)</f>
        <v>0</v>
      </c>
      <c r="AI598" s="158">
        <f>SUM(AG598)-(AG598*95%)</f>
        <v>0</v>
      </c>
      <c r="AJ598" s="159">
        <f>SUM(AG598)-(AG598*93%)</f>
        <v>0</v>
      </c>
      <c r="AK598" s="160"/>
      <c r="AL598" s="140"/>
      <c r="AM598" s="98"/>
      <c r="AN598" s="156"/>
      <c r="AO598" s="157"/>
      <c r="AP598" s="157"/>
      <c r="AQ598" s="158">
        <f t="shared" ref="AQ598:AQ621" si="248">SUM(AL598)-(AL598*15%)+(AM598)-(AM598*20.8%)+(AN598)+(AO598)-(AO598*0.95%)+(AP598)-(AP598*15.5%)</f>
        <v>0</v>
      </c>
      <c r="AR598" s="112">
        <f>SUM(AL598:AP621)</f>
        <v>0</v>
      </c>
      <c r="AS598" s="158">
        <f>SUM(AQ598:AQ621)</f>
        <v>0</v>
      </c>
      <c r="AT598" s="158">
        <f>SUM(AS598)-(AS598*97%)</f>
        <v>0</v>
      </c>
      <c r="AU598" s="158">
        <f>SUM(AS598)-(AS598*95%)</f>
        <v>0</v>
      </c>
      <c r="AV598" s="159">
        <f>SUM(AS598)-(AS598*93%)</f>
        <v>0</v>
      </c>
      <c r="AW598" s="162">
        <v>31.0</v>
      </c>
      <c r="AX598" s="140"/>
      <c r="AY598" s="98"/>
      <c r="AZ598" s="156"/>
      <c r="BA598" s="157"/>
      <c r="BB598" s="157"/>
      <c r="BC598" s="158">
        <f t="shared" ref="BC598:BC621" si="249">SUM(AX598)-(AX598*15%)+(AY598)-(AY598*20.8%)+(AZ598)+(BA598)-(BA598*0.95%)+(BB598)-(BB598*15.5%)</f>
        <v>0</v>
      </c>
      <c r="BD598" s="112">
        <f>SUM(AX598:BB621)</f>
        <v>0</v>
      </c>
      <c r="BE598" s="158">
        <f>SUM(BC598:BC621)</f>
        <v>0</v>
      </c>
      <c r="BF598" s="158">
        <f>SUM(BE598)-(BE598*97%)</f>
        <v>0</v>
      </c>
      <c r="BG598" s="158">
        <f>SUM(BE598)-(BE598*95%)</f>
        <v>0</v>
      </c>
      <c r="BH598" s="159">
        <f>SUM(BE598)-(BE598*93%)</f>
        <v>0</v>
      </c>
      <c r="BI598" s="160"/>
      <c r="BJ598" s="140"/>
      <c r="BK598" s="98"/>
      <c r="BL598" s="156"/>
      <c r="BM598" s="157"/>
      <c r="BN598" s="157"/>
      <c r="BO598" s="158">
        <f t="shared" ref="BO598:BO621" si="250">SUM(BJ598)-(BJ598*15%)+(BK598)-(BK598*20.8%)+(BL598)+(BM598)-(BM598*0.95%)+(BN598)-(BN598*15.5%)</f>
        <v>0</v>
      </c>
      <c r="BP598" s="112">
        <f>SUM(BJ598:BN621)</f>
        <v>0</v>
      </c>
      <c r="BQ598" s="158">
        <f>SUM(BO598:BO621)</f>
        <v>0</v>
      </c>
      <c r="BR598" s="158">
        <f>SUM(BQ598)-(BQ598*97%)</f>
        <v>0</v>
      </c>
      <c r="BS598" s="158">
        <f>SUM(BQ598)-(BQ598*95%)</f>
        <v>0</v>
      </c>
      <c r="BT598" s="159">
        <f>SUM(BQ598)-(BQ598*93%)</f>
        <v>0</v>
      </c>
      <c r="BU598" s="110"/>
      <c r="BV598" s="107"/>
      <c r="BW598" s="107"/>
      <c r="BX598" s="107"/>
      <c r="BY598" s="107"/>
      <c r="BZ598" s="107"/>
      <c r="CA598" s="107"/>
      <c r="CB598" s="107"/>
      <c r="CC598" s="107"/>
      <c r="CD598" s="107"/>
      <c r="CE598" s="107"/>
      <c r="CF598" s="107"/>
      <c r="CG598" s="107"/>
      <c r="CH598" s="107"/>
      <c r="CI598" s="107"/>
      <c r="CJ598" s="107"/>
    </row>
    <row r="599">
      <c r="A599" s="155"/>
      <c r="B599" s="140"/>
      <c r="C599" s="98"/>
      <c r="D599" s="156"/>
      <c r="E599" s="157"/>
      <c r="F599" s="157"/>
      <c r="G599" s="158">
        <f t="shared" si="245"/>
        <v>0</v>
      </c>
      <c r="H599" s="163" t="s">
        <v>20</v>
      </c>
      <c r="I599" s="107"/>
      <c r="J599" s="107" t="s">
        <v>21</v>
      </c>
      <c r="K599" s="107" t="s">
        <v>22</v>
      </c>
      <c r="L599" s="154" t="s">
        <v>23</v>
      </c>
      <c r="M599" s="155"/>
      <c r="N599" s="140"/>
      <c r="O599" s="98"/>
      <c r="P599" s="156"/>
      <c r="Q599" s="157"/>
      <c r="R599" s="157"/>
      <c r="S599" s="158">
        <f t="shared" si="246"/>
        <v>0</v>
      </c>
      <c r="T599" s="163" t="s">
        <v>20</v>
      </c>
      <c r="U599" s="107"/>
      <c r="V599" s="107" t="s">
        <v>21</v>
      </c>
      <c r="W599" s="107" t="s">
        <v>22</v>
      </c>
      <c r="X599" s="154" t="s">
        <v>23</v>
      </c>
      <c r="Y599" s="155"/>
      <c r="Z599" s="140"/>
      <c r="AA599" s="98"/>
      <c r="AB599" s="156"/>
      <c r="AC599" s="157"/>
      <c r="AD599" s="157"/>
      <c r="AE599" s="158">
        <f t="shared" si="247"/>
        <v>0</v>
      </c>
      <c r="AF599" s="163" t="s">
        <v>20</v>
      </c>
      <c r="AG599" s="107"/>
      <c r="AH599" s="107" t="s">
        <v>21</v>
      </c>
      <c r="AI599" s="107" t="s">
        <v>22</v>
      </c>
      <c r="AJ599" s="154" t="s">
        <v>23</v>
      </c>
      <c r="AK599" s="160"/>
      <c r="AL599" s="140"/>
      <c r="AM599" s="98"/>
      <c r="AN599" s="156"/>
      <c r="AO599" s="157"/>
      <c r="AP599" s="157"/>
      <c r="AQ599" s="158">
        <f t="shared" si="248"/>
        <v>0</v>
      </c>
      <c r="AR599" s="163" t="s">
        <v>20</v>
      </c>
      <c r="AS599" s="107"/>
      <c r="AT599" s="107" t="s">
        <v>21</v>
      </c>
      <c r="AU599" s="107" t="s">
        <v>22</v>
      </c>
      <c r="AV599" s="154" t="s">
        <v>23</v>
      </c>
      <c r="AW599" s="155"/>
      <c r="AX599" s="140"/>
      <c r="AY599" s="98"/>
      <c r="AZ599" s="156"/>
      <c r="BA599" s="157"/>
      <c r="BB599" s="157"/>
      <c r="BC599" s="158">
        <f t="shared" si="249"/>
        <v>0</v>
      </c>
      <c r="BD599" s="163" t="s">
        <v>20</v>
      </c>
      <c r="BE599" s="107"/>
      <c r="BF599" s="107" t="s">
        <v>21</v>
      </c>
      <c r="BG599" s="107" t="s">
        <v>22</v>
      </c>
      <c r="BH599" s="154" t="s">
        <v>23</v>
      </c>
      <c r="BI599" s="155"/>
      <c r="BJ599" s="140"/>
      <c r="BK599" s="98"/>
      <c r="BL599" s="156"/>
      <c r="BM599" s="157"/>
      <c r="BN599" s="157"/>
      <c r="BO599" s="158">
        <f t="shared" si="250"/>
        <v>0</v>
      </c>
      <c r="BP599" s="163" t="s">
        <v>20</v>
      </c>
      <c r="BQ599" s="107"/>
      <c r="BR599" s="107" t="s">
        <v>21</v>
      </c>
      <c r="BS599" s="107" t="s">
        <v>22</v>
      </c>
      <c r="BT599" s="154" t="s">
        <v>23</v>
      </c>
      <c r="BU599" s="110"/>
      <c r="BV599" s="107"/>
      <c r="BW599" s="107"/>
      <c r="BX599" s="107"/>
      <c r="BY599" s="107"/>
      <c r="BZ599" s="107"/>
      <c r="CA599" s="107"/>
      <c r="CB599" s="107"/>
      <c r="CC599" s="107"/>
      <c r="CD599" s="107"/>
      <c r="CE599" s="107"/>
      <c r="CF599" s="107"/>
      <c r="CG599" s="107"/>
      <c r="CH599" s="107"/>
      <c r="CI599" s="107"/>
      <c r="CJ599" s="107"/>
    </row>
    <row r="600">
      <c r="A600" s="155"/>
      <c r="B600" s="140"/>
      <c r="C600" s="98"/>
      <c r="D600" s="156"/>
      <c r="E600" s="157"/>
      <c r="F600" s="157"/>
      <c r="G600" s="158">
        <f t="shared" si="245"/>
        <v>0</v>
      </c>
      <c r="H600" s="164"/>
      <c r="I600" s="107"/>
      <c r="J600" s="158">
        <f t="shared" ref="J600:L600" si="251">SUM(J598)-(J598*10%)</f>
        <v>0</v>
      </c>
      <c r="K600" s="158">
        <f t="shared" si="251"/>
        <v>0</v>
      </c>
      <c r="L600" s="159">
        <f t="shared" si="251"/>
        <v>0</v>
      </c>
      <c r="M600" s="155"/>
      <c r="N600" s="140"/>
      <c r="O600" s="98"/>
      <c r="P600" s="156"/>
      <c r="Q600" s="157"/>
      <c r="R600" s="157"/>
      <c r="S600" s="158">
        <f t="shared" si="246"/>
        <v>0</v>
      </c>
      <c r="T600" s="164"/>
      <c r="U600" s="107"/>
      <c r="V600" s="158">
        <f t="shared" ref="V600:X600" si="252">SUM(V598)-(V598*10%)</f>
        <v>0</v>
      </c>
      <c r="W600" s="158">
        <f t="shared" si="252"/>
        <v>0</v>
      </c>
      <c r="X600" s="159">
        <f t="shared" si="252"/>
        <v>0</v>
      </c>
      <c r="Y600" s="160"/>
      <c r="Z600" s="140"/>
      <c r="AA600" s="98"/>
      <c r="AB600" s="156"/>
      <c r="AC600" s="157"/>
      <c r="AD600" s="157"/>
      <c r="AE600" s="158">
        <f t="shared" si="247"/>
        <v>0</v>
      </c>
      <c r="AF600" s="164"/>
      <c r="AG600" s="107"/>
      <c r="AH600" s="158">
        <f t="shared" ref="AH600:AJ600" si="253">SUM(AH598)-(AH598*10%)</f>
        <v>0</v>
      </c>
      <c r="AI600" s="158">
        <f t="shared" si="253"/>
        <v>0</v>
      </c>
      <c r="AJ600" s="159">
        <f t="shared" si="253"/>
        <v>0</v>
      </c>
      <c r="AK600" s="160"/>
      <c r="AL600" s="140"/>
      <c r="AM600" s="98"/>
      <c r="AN600" s="156"/>
      <c r="AO600" s="157"/>
      <c r="AP600" s="157"/>
      <c r="AQ600" s="158">
        <f t="shared" si="248"/>
        <v>0</v>
      </c>
      <c r="AR600" s="164"/>
      <c r="AS600" s="107"/>
      <c r="AT600" s="158">
        <f t="shared" ref="AT600:AV600" si="254">SUM(AT598)-(AT598*10%)</f>
        <v>0</v>
      </c>
      <c r="AU600" s="158">
        <f t="shared" si="254"/>
        <v>0</v>
      </c>
      <c r="AV600" s="159">
        <f t="shared" si="254"/>
        <v>0</v>
      </c>
      <c r="AW600" s="155"/>
      <c r="AX600" s="140"/>
      <c r="AY600" s="98"/>
      <c r="AZ600" s="156"/>
      <c r="BA600" s="157"/>
      <c r="BB600" s="157"/>
      <c r="BC600" s="158">
        <f t="shared" si="249"/>
        <v>0</v>
      </c>
      <c r="BD600" s="164"/>
      <c r="BE600" s="107"/>
      <c r="BF600" s="158">
        <f t="shared" ref="BF600:BH600" si="255">SUM(BF598)-(BF598*10%)</f>
        <v>0</v>
      </c>
      <c r="BG600" s="158">
        <f t="shared" si="255"/>
        <v>0</v>
      </c>
      <c r="BH600" s="159">
        <f t="shared" si="255"/>
        <v>0</v>
      </c>
      <c r="BI600" s="155"/>
      <c r="BJ600" s="140"/>
      <c r="BK600" s="98"/>
      <c r="BL600" s="156"/>
      <c r="BM600" s="157"/>
      <c r="BN600" s="157"/>
      <c r="BO600" s="158">
        <f t="shared" si="250"/>
        <v>0</v>
      </c>
      <c r="BP600" s="164"/>
      <c r="BQ600" s="107"/>
      <c r="BR600" s="158">
        <f t="shared" ref="BR600:BT600" si="256">SUM(BR598)-(BR598*10%)</f>
        <v>0</v>
      </c>
      <c r="BS600" s="158">
        <f t="shared" si="256"/>
        <v>0</v>
      </c>
      <c r="BT600" s="159">
        <f t="shared" si="256"/>
        <v>0</v>
      </c>
      <c r="BU600" s="110"/>
      <c r="BV600" s="107"/>
      <c r="BW600" s="107"/>
      <c r="BX600" s="107"/>
      <c r="BY600" s="107"/>
      <c r="BZ600" s="107"/>
      <c r="CA600" s="107"/>
      <c r="CB600" s="107"/>
      <c r="CC600" s="107"/>
      <c r="CD600" s="107"/>
      <c r="CE600" s="107"/>
      <c r="CF600" s="107"/>
      <c r="CG600" s="107"/>
      <c r="CH600" s="107"/>
      <c r="CI600" s="107"/>
      <c r="CJ600" s="107"/>
    </row>
    <row r="601">
      <c r="A601" s="155"/>
      <c r="B601" s="140"/>
      <c r="C601" s="98"/>
      <c r="D601" s="156"/>
      <c r="E601" s="157"/>
      <c r="F601" s="157"/>
      <c r="G601" s="158">
        <f t="shared" si="245"/>
        <v>0</v>
      </c>
      <c r="H601" s="107"/>
      <c r="I601" s="107"/>
      <c r="J601" s="107"/>
      <c r="K601" s="107"/>
      <c r="L601" s="154"/>
      <c r="M601" s="165"/>
      <c r="N601" s="140"/>
      <c r="O601" s="98"/>
      <c r="P601" s="156"/>
      <c r="Q601" s="157"/>
      <c r="R601" s="157"/>
      <c r="S601" s="158">
        <f t="shared" si="246"/>
        <v>0</v>
      </c>
      <c r="T601" s="107"/>
      <c r="U601" s="107"/>
      <c r="V601" s="107"/>
      <c r="W601" s="107"/>
      <c r="X601" s="154"/>
      <c r="Y601" s="160"/>
      <c r="Z601" s="140"/>
      <c r="AA601" s="98"/>
      <c r="AB601" s="156"/>
      <c r="AC601" s="157"/>
      <c r="AD601" s="157"/>
      <c r="AE601" s="158">
        <f t="shared" si="247"/>
        <v>0</v>
      </c>
      <c r="AF601" s="107"/>
      <c r="AG601" s="107"/>
      <c r="AH601" s="107"/>
      <c r="AI601" s="107"/>
      <c r="AJ601" s="154"/>
      <c r="AK601" s="160"/>
      <c r="AL601" s="140"/>
      <c r="AM601" s="98"/>
      <c r="AN601" s="156"/>
      <c r="AO601" s="157"/>
      <c r="AP601" s="157"/>
      <c r="AQ601" s="158">
        <f t="shared" si="248"/>
        <v>0</v>
      </c>
      <c r="AR601" s="107"/>
      <c r="AS601" s="107"/>
      <c r="AT601" s="107"/>
      <c r="AU601" s="107"/>
      <c r="AV601" s="154"/>
      <c r="AW601" s="155"/>
      <c r="AX601" s="140"/>
      <c r="AY601" s="98"/>
      <c r="AZ601" s="156"/>
      <c r="BA601" s="157"/>
      <c r="BB601" s="157"/>
      <c r="BC601" s="158">
        <f t="shared" si="249"/>
        <v>0</v>
      </c>
      <c r="BD601" s="107"/>
      <c r="BE601" s="107"/>
      <c r="BF601" s="107"/>
      <c r="BG601" s="107"/>
      <c r="BH601" s="154"/>
      <c r="BI601" s="155"/>
      <c r="BJ601" s="140"/>
      <c r="BK601" s="98"/>
      <c r="BL601" s="156"/>
      <c r="BM601" s="157"/>
      <c r="BN601" s="157"/>
      <c r="BO601" s="158">
        <f t="shared" si="250"/>
        <v>0</v>
      </c>
      <c r="BP601" s="107"/>
      <c r="BQ601" s="107"/>
      <c r="BR601" s="107"/>
      <c r="BS601" s="107"/>
      <c r="BT601" s="154"/>
      <c r="BU601" s="110"/>
      <c r="BV601" s="107"/>
      <c r="BW601" s="107"/>
      <c r="BX601" s="107"/>
      <c r="BY601" s="107"/>
      <c r="BZ601" s="107"/>
      <c r="CA601" s="107"/>
      <c r="CB601" s="107"/>
      <c r="CC601" s="107"/>
      <c r="CD601" s="107"/>
      <c r="CE601" s="107"/>
      <c r="CF601" s="107"/>
      <c r="CG601" s="107"/>
      <c r="CH601" s="107"/>
      <c r="CI601" s="107"/>
      <c r="CJ601" s="107"/>
    </row>
    <row r="602">
      <c r="A602" s="155"/>
      <c r="B602" s="140"/>
      <c r="C602" s="98"/>
      <c r="D602" s="156"/>
      <c r="E602" s="157"/>
      <c r="F602" s="157"/>
      <c r="G602" s="158">
        <f t="shared" si="245"/>
        <v>0</v>
      </c>
      <c r="H602" s="107"/>
      <c r="I602" s="107"/>
      <c r="J602" s="107"/>
      <c r="K602" s="107"/>
      <c r="L602" s="154"/>
      <c r="M602" s="165"/>
      <c r="N602" s="157"/>
      <c r="O602" s="98"/>
      <c r="P602" s="156"/>
      <c r="Q602" s="157"/>
      <c r="R602" s="157"/>
      <c r="S602" s="158">
        <f t="shared" si="246"/>
        <v>0</v>
      </c>
      <c r="T602" s="107"/>
      <c r="U602" s="107"/>
      <c r="V602" s="107"/>
      <c r="W602" s="107"/>
      <c r="X602" s="154"/>
      <c r="Y602" s="155"/>
      <c r="Z602" s="140"/>
      <c r="AA602" s="98"/>
      <c r="AB602" s="156"/>
      <c r="AC602" s="157"/>
      <c r="AD602" s="157"/>
      <c r="AE602" s="158">
        <f t="shared" si="247"/>
        <v>0</v>
      </c>
      <c r="AF602" s="107"/>
      <c r="AG602" s="107"/>
      <c r="AH602" s="107"/>
      <c r="AI602" s="107"/>
      <c r="AJ602" s="154"/>
      <c r="AK602" s="160"/>
      <c r="AL602" s="140"/>
      <c r="AM602" s="98"/>
      <c r="AN602" s="156"/>
      <c r="AO602" s="157"/>
      <c r="AP602" s="157"/>
      <c r="AQ602" s="158">
        <f t="shared" si="248"/>
        <v>0</v>
      </c>
      <c r="AR602" s="107"/>
      <c r="AS602" s="107"/>
      <c r="AT602" s="107"/>
      <c r="AU602" s="107"/>
      <c r="AV602" s="154"/>
      <c r="AW602" s="155"/>
      <c r="AX602" s="140"/>
      <c r="AY602" s="98"/>
      <c r="AZ602" s="156"/>
      <c r="BA602" s="157"/>
      <c r="BB602" s="157"/>
      <c r="BC602" s="158">
        <f t="shared" si="249"/>
        <v>0</v>
      </c>
      <c r="BD602" s="107"/>
      <c r="BE602" s="107"/>
      <c r="BF602" s="107"/>
      <c r="BG602" s="107"/>
      <c r="BH602" s="154"/>
      <c r="BI602" s="155"/>
      <c r="BJ602" s="140"/>
      <c r="BK602" s="98"/>
      <c r="BL602" s="156"/>
      <c r="BM602" s="157"/>
      <c r="BN602" s="157"/>
      <c r="BO602" s="158">
        <f t="shared" si="250"/>
        <v>0</v>
      </c>
      <c r="BP602" s="107"/>
      <c r="BQ602" s="107"/>
      <c r="BR602" s="107"/>
      <c r="BS602" s="107"/>
      <c r="BT602" s="154"/>
      <c r="BU602" s="110"/>
      <c r="BV602" s="107"/>
      <c r="BW602" s="107"/>
      <c r="BX602" s="107"/>
      <c r="BY602" s="107"/>
      <c r="BZ602" s="107"/>
      <c r="CA602" s="107"/>
      <c r="CB602" s="107"/>
      <c r="CC602" s="107"/>
      <c r="CD602" s="107"/>
      <c r="CE602" s="107"/>
      <c r="CF602" s="107"/>
      <c r="CG602" s="107"/>
      <c r="CH602" s="107"/>
      <c r="CI602" s="107"/>
      <c r="CJ602" s="107"/>
    </row>
    <row r="603">
      <c r="A603" s="155"/>
      <c r="B603" s="140"/>
      <c r="C603" s="98"/>
      <c r="D603" s="156"/>
      <c r="E603" s="157"/>
      <c r="F603" s="157"/>
      <c r="G603" s="158">
        <f t="shared" si="245"/>
        <v>0</v>
      </c>
      <c r="H603" s="107"/>
      <c r="I603" s="107"/>
      <c r="J603" s="107"/>
      <c r="K603" s="112">
        <f>H605-AD598-AC599</f>
        <v>0</v>
      </c>
      <c r="L603" s="154"/>
      <c r="M603" s="165"/>
      <c r="N603" s="140"/>
      <c r="O603" s="98"/>
      <c r="P603" s="156"/>
      <c r="Q603" s="157"/>
      <c r="R603" s="157"/>
      <c r="S603" s="158">
        <f t="shared" si="246"/>
        <v>0</v>
      </c>
      <c r="T603" s="107"/>
      <c r="U603" s="107"/>
      <c r="V603" s="107"/>
      <c r="W603" s="107"/>
      <c r="X603" s="154"/>
      <c r="Y603" s="155"/>
      <c r="Z603" s="140"/>
      <c r="AA603" s="98"/>
      <c r="AB603" s="156"/>
      <c r="AC603" s="157"/>
      <c r="AD603" s="157"/>
      <c r="AE603" s="158">
        <f t="shared" si="247"/>
        <v>0</v>
      </c>
      <c r="AF603" s="107"/>
      <c r="AG603" s="107"/>
      <c r="AH603" s="107"/>
      <c r="AI603" s="107"/>
      <c r="AJ603" s="154"/>
      <c r="AK603" s="160"/>
      <c r="AL603" s="140"/>
      <c r="AM603" s="98"/>
      <c r="AN603" s="156"/>
      <c r="AO603" s="157"/>
      <c r="AP603" s="157"/>
      <c r="AQ603" s="158">
        <f t="shared" si="248"/>
        <v>0</v>
      </c>
      <c r="AR603" s="107"/>
      <c r="AS603" s="107"/>
      <c r="AT603" s="107"/>
      <c r="AU603" s="107"/>
      <c r="AV603" s="154"/>
      <c r="AW603" s="155"/>
      <c r="AX603" s="140"/>
      <c r="AY603" s="98"/>
      <c r="AZ603" s="156"/>
      <c r="BA603" s="157"/>
      <c r="BB603" s="157"/>
      <c r="BC603" s="158">
        <f t="shared" si="249"/>
        <v>0</v>
      </c>
      <c r="BD603" s="107"/>
      <c r="BE603" s="107"/>
      <c r="BF603" s="107"/>
      <c r="BG603" s="107"/>
      <c r="BH603" s="154"/>
      <c r="BI603" s="155"/>
      <c r="BJ603" s="140"/>
      <c r="BK603" s="98"/>
      <c r="BL603" s="156"/>
      <c r="BM603" s="157"/>
      <c r="BN603" s="157"/>
      <c r="BO603" s="158">
        <f t="shared" si="250"/>
        <v>0</v>
      </c>
      <c r="BP603" s="107"/>
      <c r="BQ603" s="107"/>
      <c r="BR603" s="107"/>
      <c r="BS603" s="107"/>
      <c r="BT603" s="154"/>
      <c r="BU603" s="110"/>
      <c r="BV603" s="107"/>
      <c r="BW603" s="107"/>
      <c r="BX603" s="107"/>
      <c r="BY603" s="107"/>
      <c r="BZ603" s="107"/>
      <c r="CA603" s="107"/>
      <c r="CB603" s="107"/>
      <c r="CC603" s="107"/>
      <c r="CD603" s="107"/>
      <c r="CE603" s="107"/>
      <c r="CF603" s="107"/>
      <c r="CG603" s="107"/>
      <c r="CH603" s="107"/>
      <c r="CI603" s="107"/>
      <c r="CJ603" s="107"/>
    </row>
    <row r="604">
      <c r="A604" s="155"/>
      <c r="B604" s="140"/>
      <c r="C604" s="98"/>
      <c r="D604" s="156"/>
      <c r="E604" s="157"/>
      <c r="F604" s="157"/>
      <c r="G604" s="158">
        <f t="shared" si="245"/>
        <v>0</v>
      </c>
      <c r="H604" s="166" t="s">
        <v>13</v>
      </c>
      <c r="I604" s="167" t="s">
        <v>57</v>
      </c>
      <c r="J604" s="167" t="s">
        <v>57</v>
      </c>
      <c r="K604" s="167" t="s">
        <v>65</v>
      </c>
      <c r="L604" s="167"/>
      <c r="M604" s="165"/>
      <c r="N604" s="140"/>
      <c r="O604" s="98"/>
      <c r="P604" s="156"/>
      <c r="Q604" s="157"/>
      <c r="R604" s="157"/>
      <c r="S604" s="158">
        <f t="shared" si="246"/>
        <v>0</v>
      </c>
      <c r="T604" s="107"/>
      <c r="U604" s="107"/>
      <c r="V604" s="107"/>
      <c r="W604" s="107"/>
      <c r="X604" s="154"/>
      <c r="Y604" s="160"/>
      <c r="Z604" s="140"/>
      <c r="AA604" s="98"/>
      <c r="AB604" s="156"/>
      <c r="AC604" s="157"/>
      <c r="AD604" s="157"/>
      <c r="AE604" s="158">
        <f t="shared" si="247"/>
        <v>0</v>
      </c>
      <c r="AF604" s="107"/>
      <c r="AG604" s="107"/>
      <c r="AH604" s="107"/>
      <c r="AI604" s="107"/>
      <c r="AJ604" s="154"/>
      <c r="AK604" s="160"/>
      <c r="AL604" s="140"/>
      <c r="AM604" s="98"/>
      <c r="AN604" s="156"/>
      <c r="AO604" s="157"/>
      <c r="AP604" s="157"/>
      <c r="AQ604" s="158">
        <f t="shared" si="248"/>
        <v>0</v>
      </c>
      <c r="AR604" s="107"/>
      <c r="AS604" s="107"/>
      <c r="AT604" s="107"/>
      <c r="AU604" s="107"/>
      <c r="AV604" s="154"/>
      <c r="AW604" s="160"/>
      <c r="AX604" s="140"/>
      <c r="AY604" s="98"/>
      <c r="AZ604" s="156"/>
      <c r="BA604" s="157"/>
      <c r="BB604" s="157"/>
      <c r="BC604" s="158">
        <f t="shared" si="249"/>
        <v>0</v>
      </c>
      <c r="BD604" s="107"/>
      <c r="BE604" s="107"/>
      <c r="BF604" s="107"/>
      <c r="BG604" s="107"/>
      <c r="BH604" s="154"/>
      <c r="BI604" s="160"/>
      <c r="BJ604" s="140"/>
      <c r="BK604" s="98"/>
      <c r="BL604" s="156"/>
      <c r="BM604" s="157"/>
      <c r="BN604" s="157"/>
      <c r="BO604" s="158">
        <f t="shared" si="250"/>
        <v>0</v>
      </c>
      <c r="BP604" s="107"/>
      <c r="BQ604" s="107"/>
      <c r="BR604" s="107"/>
      <c r="BS604" s="107"/>
      <c r="BT604" s="154"/>
      <c r="BU604" s="110"/>
      <c r="BV604" s="107"/>
      <c r="BW604" s="107"/>
      <c r="BX604" s="107"/>
      <c r="BY604" s="107"/>
      <c r="BZ604" s="107"/>
      <c r="CA604" s="107"/>
      <c r="CB604" s="107"/>
      <c r="CC604" s="107"/>
      <c r="CD604" s="107"/>
      <c r="CE604" s="107"/>
      <c r="CF604" s="107"/>
      <c r="CG604" s="107"/>
      <c r="CH604" s="107"/>
      <c r="CI604" s="107"/>
      <c r="CJ604" s="107"/>
    </row>
    <row r="605">
      <c r="A605" s="160"/>
      <c r="B605" s="140"/>
      <c r="C605" s="98"/>
      <c r="D605" s="156"/>
      <c r="E605" s="157"/>
      <c r="F605" s="157"/>
      <c r="G605" s="158">
        <f t="shared" si="245"/>
        <v>0</v>
      </c>
      <c r="H605" s="168">
        <f>AG598+I598+U598+AS598+BE598+BQ598+CC598</f>
        <v>0</v>
      </c>
      <c r="I605" s="169" t="s">
        <v>52</v>
      </c>
      <c r="J605" s="169" t="s">
        <v>44</v>
      </c>
      <c r="K605" s="169" t="s">
        <v>52</v>
      </c>
      <c r="L605" s="169" t="s">
        <v>44</v>
      </c>
      <c r="M605" s="165"/>
      <c r="N605" s="140"/>
      <c r="O605" s="98"/>
      <c r="P605" s="156"/>
      <c r="Q605" s="157"/>
      <c r="R605" s="157"/>
      <c r="S605" s="158">
        <f t="shared" si="246"/>
        <v>0</v>
      </c>
      <c r="T605" s="107"/>
      <c r="U605" s="107"/>
      <c r="V605" s="107"/>
      <c r="W605" s="107"/>
      <c r="X605" s="154"/>
      <c r="Y605" s="160"/>
      <c r="Z605" s="140"/>
      <c r="AA605" s="98"/>
      <c r="AB605" s="156"/>
      <c r="AC605" s="157"/>
      <c r="AD605" s="157"/>
      <c r="AE605" s="158">
        <f t="shared" si="247"/>
        <v>0</v>
      </c>
      <c r="AF605" s="107"/>
      <c r="AG605" s="107"/>
      <c r="AH605" s="107"/>
      <c r="AI605" s="107"/>
      <c r="AJ605" s="154"/>
      <c r="AK605" s="160"/>
      <c r="AL605" s="140"/>
      <c r="AM605" s="98"/>
      <c r="AN605" s="156"/>
      <c r="AO605" s="157"/>
      <c r="AP605" s="157"/>
      <c r="AQ605" s="158">
        <f t="shared" si="248"/>
        <v>0</v>
      </c>
      <c r="AR605" s="107"/>
      <c r="AS605" s="107"/>
      <c r="AT605" s="107"/>
      <c r="AU605" s="107"/>
      <c r="AV605" s="154"/>
      <c r="AW605" s="160"/>
      <c r="AX605" s="140"/>
      <c r="AY605" s="98"/>
      <c r="AZ605" s="156"/>
      <c r="BA605" s="157"/>
      <c r="BB605" s="157"/>
      <c r="BC605" s="158">
        <f t="shared" si="249"/>
        <v>0</v>
      </c>
      <c r="BD605" s="107"/>
      <c r="BE605" s="107"/>
      <c r="BF605" s="107"/>
      <c r="BG605" s="107"/>
      <c r="BH605" s="154"/>
      <c r="BI605" s="160"/>
      <c r="BJ605" s="140"/>
      <c r="BK605" s="98"/>
      <c r="BL605" s="156"/>
      <c r="BM605" s="157"/>
      <c r="BN605" s="157"/>
      <c r="BO605" s="158">
        <f t="shared" si="250"/>
        <v>0</v>
      </c>
      <c r="BP605" s="107"/>
      <c r="BQ605" s="107"/>
      <c r="BR605" s="107"/>
      <c r="BS605" s="107"/>
      <c r="BT605" s="154"/>
      <c r="BU605" s="107"/>
      <c r="BV605" s="107"/>
      <c r="BW605" s="107"/>
      <c r="BX605" s="107"/>
      <c r="BY605" s="107"/>
      <c r="BZ605" s="107"/>
      <c r="CA605" s="107"/>
      <c r="CB605" s="107"/>
      <c r="CC605" s="107"/>
      <c r="CD605" s="107"/>
      <c r="CE605" s="107"/>
      <c r="CF605" s="107"/>
      <c r="CG605" s="107"/>
      <c r="CH605" s="107"/>
      <c r="CI605" s="107"/>
      <c r="CJ605" s="107"/>
    </row>
    <row r="606">
      <c r="A606" s="155"/>
      <c r="B606" s="140"/>
      <c r="C606" s="98"/>
      <c r="D606" s="156"/>
      <c r="E606" s="157"/>
      <c r="F606" s="157"/>
      <c r="G606" s="158">
        <f t="shared" si="245"/>
        <v>0</v>
      </c>
      <c r="H606" s="167"/>
      <c r="I606" s="170">
        <f>SUM(H605)-(H605*99%)</f>
        <v>0</v>
      </c>
      <c r="J606" s="171">
        <f>SUM(H605)-(H605*98.5%)</f>
        <v>0</v>
      </c>
      <c r="K606" s="171">
        <f>SUM(K603)-(K603*99%)</f>
        <v>0</v>
      </c>
      <c r="L606" s="171">
        <f>SUM(K603)-(K603*98.5%)</f>
        <v>0</v>
      </c>
      <c r="M606" s="160"/>
      <c r="N606" s="140"/>
      <c r="O606" s="98"/>
      <c r="P606" s="156"/>
      <c r="Q606" s="157"/>
      <c r="R606" s="157"/>
      <c r="S606" s="158">
        <f t="shared" si="246"/>
        <v>0</v>
      </c>
      <c r="T606" s="107"/>
      <c r="U606" s="107"/>
      <c r="V606" s="107"/>
      <c r="W606" s="107"/>
      <c r="X606" s="154"/>
      <c r="Y606" s="160"/>
      <c r="Z606" s="140"/>
      <c r="AA606" s="98"/>
      <c r="AB606" s="156"/>
      <c r="AC606" s="157"/>
      <c r="AD606" s="157"/>
      <c r="AE606" s="158">
        <f t="shared" si="247"/>
        <v>0</v>
      </c>
      <c r="AF606" s="107"/>
      <c r="AG606" s="107"/>
      <c r="AH606" s="107"/>
      <c r="AI606" s="107"/>
      <c r="AJ606" s="154"/>
      <c r="AK606" s="160"/>
      <c r="AL606" s="140"/>
      <c r="AM606" s="98"/>
      <c r="AN606" s="156"/>
      <c r="AO606" s="157"/>
      <c r="AP606" s="157"/>
      <c r="AQ606" s="158">
        <f t="shared" si="248"/>
        <v>0</v>
      </c>
      <c r="AR606" s="107"/>
      <c r="AS606" s="107"/>
      <c r="AT606" s="107"/>
      <c r="AU606" s="107"/>
      <c r="AV606" s="154"/>
      <c r="AW606" s="160"/>
      <c r="AX606" s="140"/>
      <c r="AY606" s="98"/>
      <c r="AZ606" s="156"/>
      <c r="BA606" s="157"/>
      <c r="BB606" s="157"/>
      <c r="BC606" s="158">
        <f t="shared" si="249"/>
        <v>0</v>
      </c>
      <c r="BD606" s="107"/>
      <c r="BE606" s="107"/>
      <c r="BF606" s="107"/>
      <c r="BG606" s="107"/>
      <c r="BH606" s="154"/>
      <c r="BI606" s="160"/>
      <c r="BJ606" s="140"/>
      <c r="BK606" s="98"/>
      <c r="BL606" s="156"/>
      <c r="BM606" s="157"/>
      <c r="BN606" s="157"/>
      <c r="BO606" s="158">
        <f t="shared" si="250"/>
        <v>0</v>
      </c>
      <c r="BP606" s="107"/>
      <c r="BQ606" s="107"/>
      <c r="BR606" s="107"/>
      <c r="BS606" s="107"/>
      <c r="BT606" s="154"/>
      <c r="BU606" s="107"/>
      <c r="BV606" s="107"/>
      <c r="BW606" s="107"/>
      <c r="BX606" s="107"/>
      <c r="BY606" s="107"/>
      <c r="BZ606" s="107"/>
      <c r="CA606" s="107"/>
      <c r="CB606" s="107"/>
      <c r="CC606" s="107"/>
      <c r="CD606" s="107"/>
      <c r="CE606" s="107"/>
      <c r="CF606" s="107"/>
      <c r="CG606" s="107"/>
      <c r="CH606" s="107"/>
      <c r="CI606" s="107"/>
      <c r="CJ606" s="107"/>
    </row>
    <row r="607">
      <c r="A607" s="155"/>
      <c r="B607" s="140"/>
      <c r="C607" s="98"/>
      <c r="D607" s="156"/>
      <c r="E607" s="157"/>
      <c r="F607" s="157"/>
      <c r="G607" s="158">
        <f t="shared" si="245"/>
        <v>0</v>
      </c>
      <c r="H607" s="167"/>
      <c r="I607" s="167" t="s">
        <v>53</v>
      </c>
      <c r="J607" s="167" t="s">
        <v>36</v>
      </c>
      <c r="K607" s="167" t="s">
        <v>53</v>
      </c>
      <c r="L607" s="167" t="s">
        <v>36</v>
      </c>
      <c r="M607" s="160"/>
      <c r="N607" s="140"/>
      <c r="O607" s="98"/>
      <c r="P607" s="156"/>
      <c r="Q607" s="157"/>
      <c r="R607" s="157"/>
      <c r="S607" s="158">
        <f t="shared" si="246"/>
        <v>0</v>
      </c>
      <c r="T607" s="107"/>
      <c r="U607" s="107"/>
      <c r="V607" s="107"/>
      <c r="W607" s="107"/>
      <c r="X607" s="154"/>
      <c r="Y607" s="160"/>
      <c r="Z607" s="140"/>
      <c r="AA607" s="98"/>
      <c r="AB607" s="156"/>
      <c r="AC607" s="157"/>
      <c r="AD607" s="157"/>
      <c r="AE607" s="158">
        <f t="shared" si="247"/>
        <v>0</v>
      </c>
      <c r="AF607" s="107"/>
      <c r="AG607" s="107"/>
      <c r="AH607" s="107"/>
      <c r="AI607" s="107"/>
      <c r="AJ607" s="154"/>
      <c r="AK607" s="160"/>
      <c r="AL607" s="140"/>
      <c r="AM607" s="98"/>
      <c r="AN607" s="156"/>
      <c r="AO607" s="157"/>
      <c r="AP607" s="157"/>
      <c r="AQ607" s="158">
        <f t="shared" si="248"/>
        <v>0</v>
      </c>
      <c r="AR607" s="107"/>
      <c r="AS607" s="107"/>
      <c r="AT607" s="107"/>
      <c r="AU607" s="107"/>
      <c r="AV607" s="154"/>
      <c r="AW607" s="160"/>
      <c r="AX607" s="140"/>
      <c r="AY607" s="98"/>
      <c r="AZ607" s="156"/>
      <c r="BA607" s="157"/>
      <c r="BB607" s="157"/>
      <c r="BC607" s="158">
        <f t="shared" si="249"/>
        <v>0</v>
      </c>
      <c r="BD607" s="107"/>
      <c r="BE607" s="107"/>
      <c r="BF607" s="107"/>
      <c r="BG607" s="107"/>
      <c r="BH607" s="154"/>
      <c r="BI607" s="160"/>
      <c r="BJ607" s="140"/>
      <c r="BK607" s="98"/>
      <c r="BL607" s="156"/>
      <c r="BM607" s="157"/>
      <c r="BN607" s="157"/>
      <c r="BO607" s="158">
        <f t="shared" si="250"/>
        <v>0</v>
      </c>
      <c r="BP607" s="107"/>
      <c r="BQ607" s="107"/>
      <c r="BR607" s="107"/>
      <c r="BS607" s="107"/>
      <c r="BT607" s="154"/>
      <c r="BU607" s="107"/>
      <c r="BV607" s="107"/>
      <c r="BW607" s="107"/>
      <c r="BX607" s="107"/>
      <c r="BY607" s="107"/>
      <c r="BZ607" s="107"/>
      <c r="CA607" s="107"/>
      <c r="CB607" s="107"/>
      <c r="CC607" s="107"/>
      <c r="CD607" s="107"/>
      <c r="CE607" s="107"/>
      <c r="CF607" s="107"/>
      <c r="CG607" s="107"/>
      <c r="CH607" s="107"/>
      <c r="CI607" s="107"/>
      <c r="CJ607" s="107"/>
    </row>
    <row r="608">
      <c r="A608" s="155"/>
      <c r="B608" s="140"/>
      <c r="C608" s="98"/>
      <c r="D608" s="156"/>
      <c r="E608" s="157"/>
      <c r="F608" s="157"/>
      <c r="G608" s="158">
        <f t="shared" si="245"/>
        <v>0</v>
      </c>
      <c r="H608" s="166" t="s">
        <v>12</v>
      </c>
      <c r="I608" s="171">
        <f t="shared" ref="I608:L608" si="257">SUM(I606)-(I606*10%)</f>
        <v>0</v>
      </c>
      <c r="J608" s="171">
        <f t="shared" si="257"/>
        <v>0</v>
      </c>
      <c r="K608" s="171">
        <f t="shared" si="257"/>
        <v>0</v>
      </c>
      <c r="L608" s="171">
        <f t="shared" si="257"/>
        <v>0</v>
      </c>
      <c r="M608" s="160"/>
      <c r="N608" s="140"/>
      <c r="O608" s="98"/>
      <c r="P608" s="156"/>
      <c r="Q608" s="157"/>
      <c r="R608" s="157"/>
      <c r="S608" s="158">
        <f t="shared" si="246"/>
        <v>0</v>
      </c>
      <c r="T608" s="107"/>
      <c r="U608" s="107"/>
      <c r="V608" s="107"/>
      <c r="W608" s="107"/>
      <c r="X608" s="154"/>
      <c r="Y608" s="160"/>
      <c r="Z608" s="140"/>
      <c r="AA608" s="98"/>
      <c r="AB608" s="156"/>
      <c r="AC608" s="157"/>
      <c r="AD608" s="157"/>
      <c r="AE608" s="158">
        <f t="shared" si="247"/>
        <v>0</v>
      </c>
      <c r="AF608" s="107"/>
      <c r="AG608" s="107"/>
      <c r="AH608" s="107"/>
      <c r="AI608" s="107"/>
      <c r="AJ608" s="154"/>
      <c r="AK608" s="160"/>
      <c r="AL608" s="140"/>
      <c r="AM608" s="98"/>
      <c r="AN608" s="156"/>
      <c r="AO608" s="157"/>
      <c r="AP608" s="157"/>
      <c r="AQ608" s="158">
        <f t="shared" si="248"/>
        <v>0</v>
      </c>
      <c r="AR608" s="107"/>
      <c r="AS608" s="107"/>
      <c r="AT608" s="107"/>
      <c r="AU608" s="107"/>
      <c r="AV608" s="154"/>
      <c r="AW608" s="160"/>
      <c r="AX608" s="140"/>
      <c r="AY608" s="98"/>
      <c r="AZ608" s="156"/>
      <c r="BA608" s="157"/>
      <c r="BB608" s="157"/>
      <c r="BC608" s="158">
        <f t="shared" si="249"/>
        <v>0</v>
      </c>
      <c r="BD608" s="107"/>
      <c r="BE608" s="107"/>
      <c r="BF608" s="107"/>
      <c r="BG608" s="107"/>
      <c r="BH608" s="154"/>
      <c r="BI608" s="160"/>
      <c r="BJ608" s="140"/>
      <c r="BK608" s="98"/>
      <c r="BL608" s="156"/>
      <c r="BM608" s="157"/>
      <c r="BN608" s="157"/>
      <c r="BO608" s="158">
        <f t="shared" si="250"/>
        <v>0</v>
      </c>
      <c r="BP608" s="107"/>
      <c r="BQ608" s="107"/>
      <c r="BR608" s="107"/>
      <c r="BS608" s="107"/>
      <c r="BT608" s="154"/>
      <c r="BU608" s="107"/>
      <c r="BV608" s="107"/>
      <c r="BW608" s="107"/>
      <c r="BX608" s="107"/>
      <c r="BY608" s="107"/>
      <c r="BZ608" s="107"/>
      <c r="CA608" s="107"/>
      <c r="CB608" s="107"/>
      <c r="CC608" s="107"/>
      <c r="CD608" s="107"/>
      <c r="CE608" s="107"/>
      <c r="CF608" s="107"/>
      <c r="CG608" s="107"/>
      <c r="CH608" s="107"/>
      <c r="CI608" s="107"/>
      <c r="CJ608" s="107"/>
    </row>
    <row r="609">
      <c r="A609" s="165"/>
      <c r="B609" s="140"/>
      <c r="C609" s="98"/>
      <c r="D609" s="156"/>
      <c r="E609" s="157"/>
      <c r="F609" s="157"/>
      <c r="G609" s="158">
        <f t="shared" si="245"/>
        <v>0</v>
      </c>
      <c r="H609" s="168">
        <f>H598+T598+AF598+AR598+BD598+BP598+CB598</f>
        <v>0</v>
      </c>
      <c r="I609" s="167"/>
      <c r="J609" s="167"/>
      <c r="K609" s="167" t="s">
        <v>66</v>
      </c>
      <c r="L609" s="167"/>
      <c r="M609" s="160"/>
      <c r="N609" s="140"/>
      <c r="O609" s="98"/>
      <c r="P609" s="156"/>
      <c r="Q609" s="157"/>
      <c r="R609" s="157"/>
      <c r="S609" s="158">
        <f t="shared" si="246"/>
        <v>0</v>
      </c>
      <c r="T609" s="107"/>
      <c r="U609" s="107"/>
      <c r="V609" s="107"/>
      <c r="W609" s="107"/>
      <c r="X609" s="154"/>
      <c r="Y609" s="160"/>
      <c r="Z609" s="140"/>
      <c r="AA609" s="98"/>
      <c r="AB609" s="156"/>
      <c r="AC609" s="157"/>
      <c r="AD609" s="157"/>
      <c r="AE609" s="158">
        <f t="shared" si="247"/>
        <v>0</v>
      </c>
      <c r="AF609" s="107"/>
      <c r="AG609" s="107"/>
      <c r="AH609" s="107"/>
      <c r="AI609" s="107"/>
      <c r="AJ609" s="154"/>
      <c r="AK609" s="160"/>
      <c r="AL609" s="140"/>
      <c r="AM609" s="98"/>
      <c r="AN609" s="156"/>
      <c r="AO609" s="157"/>
      <c r="AP609" s="157"/>
      <c r="AQ609" s="158">
        <f t="shared" si="248"/>
        <v>0</v>
      </c>
      <c r="AR609" s="107"/>
      <c r="AS609" s="107"/>
      <c r="AT609" s="107"/>
      <c r="AU609" s="107"/>
      <c r="AV609" s="154"/>
      <c r="AW609" s="160"/>
      <c r="AX609" s="140"/>
      <c r="AY609" s="98"/>
      <c r="AZ609" s="156"/>
      <c r="BA609" s="157"/>
      <c r="BB609" s="157"/>
      <c r="BC609" s="158">
        <f t="shared" si="249"/>
        <v>0</v>
      </c>
      <c r="BD609" s="107"/>
      <c r="BE609" s="107"/>
      <c r="BF609" s="107"/>
      <c r="BG609" s="107"/>
      <c r="BH609" s="154"/>
      <c r="BI609" s="160"/>
      <c r="BJ609" s="140"/>
      <c r="BK609" s="98"/>
      <c r="BL609" s="156"/>
      <c r="BM609" s="157"/>
      <c r="BN609" s="157"/>
      <c r="BO609" s="158">
        <f t="shared" si="250"/>
        <v>0</v>
      </c>
      <c r="BP609" s="107"/>
      <c r="BQ609" s="107"/>
      <c r="BR609" s="107"/>
      <c r="BS609" s="107"/>
      <c r="BT609" s="154"/>
      <c r="BU609" s="107"/>
      <c r="BV609" s="107"/>
      <c r="BW609" s="107"/>
      <c r="BX609" s="107"/>
      <c r="BY609" s="107"/>
      <c r="BZ609" s="107"/>
      <c r="CA609" s="107"/>
      <c r="CB609" s="107"/>
      <c r="CC609" s="107"/>
      <c r="CD609" s="107"/>
      <c r="CE609" s="107"/>
      <c r="CF609" s="107"/>
      <c r="CG609" s="107"/>
      <c r="CH609" s="107"/>
      <c r="CI609" s="107"/>
      <c r="CJ609" s="107"/>
    </row>
    <row r="610">
      <c r="A610" s="165"/>
      <c r="B610" s="140"/>
      <c r="C610" s="98"/>
      <c r="D610" s="156"/>
      <c r="E610" s="157"/>
      <c r="F610" s="157"/>
      <c r="G610" s="158">
        <f t="shared" si="245"/>
        <v>0</v>
      </c>
      <c r="H610" s="167"/>
      <c r="I610" s="167"/>
      <c r="J610" s="167"/>
      <c r="K610" s="168">
        <f>J600+K608</f>
        <v>0</v>
      </c>
      <c r="L610" s="167"/>
      <c r="M610" s="160"/>
      <c r="N610" s="140"/>
      <c r="O610" s="98"/>
      <c r="P610" s="156"/>
      <c r="Q610" s="157"/>
      <c r="R610" s="157"/>
      <c r="S610" s="158">
        <f t="shared" si="246"/>
        <v>0</v>
      </c>
      <c r="T610" s="107"/>
      <c r="U610" s="107"/>
      <c r="V610" s="107"/>
      <c r="W610" s="107"/>
      <c r="X610" s="154"/>
      <c r="Y610" s="160"/>
      <c r="Z610" s="140"/>
      <c r="AA610" s="98"/>
      <c r="AB610" s="156"/>
      <c r="AC610" s="157"/>
      <c r="AD610" s="157"/>
      <c r="AE610" s="158">
        <f t="shared" si="247"/>
        <v>0</v>
      </c>
      <c r="AF610" s="107"/>
      <c r="AG610" s="107"/>
      <c r="AH610" s="107"/>
      <c r="AI610" s="107"/>
      <c r="AJ610" s="154"/>
      <c r="AK610" s="160"/>
      <c r="AL610" s="140"/>
      <c r="AM610" s="98"/>
      <c r="AN610" s="156"/>
      <c r="AO610" s="157"/>
      <c r="AP610" s="157"/>
      <c r="AQ610" s="158">
        <f t="shared" si="248"/>
        <v>0</v>
      </c>
      <c r="AR610" s="107"/>
      <c r="AS610" s="107"/>
      <c r="AT610" s="107"/>
      <c r="AU610" s="107"/>
      <c r="AV610" s="154"/>
      <c r="AW610" s="160"/>
      <c r="AX610" s="140"/>
      <c r="AY610" s="98"/>
      <c r="AZ610" s="156"/>
      <c r="BA610" s="157"/>
      <c r="BB610" s="157"/>
      <c r="BC610" s="158">
        <f t="shared" si="249"/>
        <v>0</v>
      </c>
      <c r="BD610" s="107"/>
      <c r="BE610" s="107"/>
      <c r="BF610" s="107"/>
      <c r="BG610" s="107"/>
      <c r="BH610" s="154"/>
      <c r="BI610" s="160"/>
      <c r="BJ610" s="140"/>
      <c r="BK610" s="98"/>
      <c r="BL610" s="156"/>
      <c r="BM610" s="157"/>
      <c r="BN610" s="157"/>
      <c r="BO610" s="158">
        <f t="shared" si="250"/>
        <v>0</v>
      </c>
      <c r="BP610" s="107"/>
      <c r="BQ610" s="107"/>
      <c r="BR610" s="107"/>
      <c r="BS610" s="107"/>
      <c r="BT610" s="154"/>
      <c r="BU610" s="107"/>
      <c r="BV610" s="107"/>
      <c r="BW610" s="107"/>
      <c r="BX610" s="107"/>
      <c r="BY610" s="107"/>
      <c r="BZ610" s="107"/>
      <c r="CA610" s="107"/>
      <c r="CB610" s="107"/>
      <c r="CC610" s="107"/>
      <c r="CD610" s="107"/>
      <c r="CE610" s="107"/>
      <c r="CF610" s="107"/>
      <c r="CG610" s="107"/>
      <c r="CH610" s="107"/>
      <c r="CI610" s="107"/>
      <c r="CJ610" s="107"/>
    </row>
    <row r="611">
      <c r="A611" s="165"/>
      <c r="B611" s="140"/>
      <c r="C611" s="98"/>
      <c r="D611" s="156"/>
      <c r="E611" s="157"/>
      <c r="F611" s="157"/>
      <c r="G611" s="158">
        <f t="shared" si="245"/>
        <v>0</v>
      </c>
      <c r="H611" s="107"/>
      <c r="I611" s="107"/>
      <c r="J611" s="107"/>
      <c r="K611" s="107"/>
      <c r="L611" s="154"/>
      <c r="M611" s="160"/>
      <c r="N611" s="140"/>
      <c r="O611" s="98"/>
      <c r="P611" s="156"/>
      <c r="Q611" s="157"/>
      <c r="R611" s="157"/>
      <c r="S611" s="158">
        <f t="shared" si="246"/>
        <v>0</v>
      </c>
      <c r="T611" s="107"/>
      <c r="U611" s="172"/>
      <c r="V611" s="172" t="s">
        <v>78</v>
      </c>
      <c r="W611" s="172"/>
      <c r="X611" s="154"/>
      <c r="Y611" s="160"/>
      <c r="Z611" s="140"/>
      <c r="AA611" s="98"/>
      <c r="AB611" s="156"/>
      <c r="AC611" s="157"/>
      <c r="AD611" s="157"/>
      <c r="AE611" s="158">
        <f t="shared" si="247"/>
        <v>0</v>
      </c>
      <c r="AF611" s="107"/>
      <c r="AG611" s="172"/>
      <c r="AH611" s="172" t="s">
        <v>59</v>
      </c>
      <c r="AI611" s="172"/>
      <c r="AJ611" s="154"/>
      <c r="AK611" s="160"/>
      <c r="AL611" s="140"/>
      <c r="AM611" s="98"/>
      <c r="AN611" s="156"/>
      <c r="AO611" s="157"/>
      <c r="AP611" s="157"/>
      <c r="AQ611" s="158">
        <f t="shared" si="248"/>
        <v>0</v>
      </c>
      <c r="AR611" s="107"/>
      <c r="AS611" s="172"/>
      <c r="AT611" s="172" t="s">
        <v>60</v>
      </c>
      <c r="AU611" s="172"/>
      <c r="AV611" s="154"/>
      <c r="AW611" s="160"/>
      <c r="AX611" s="140"/>
      <c r="AY611" s="98"/>
      <c r="AZ611" s="156"/>
      <c r="BA611" s="157"/>
      <c r="BB611" s="157"/>
      <c r="BC611" s="158">
        <f t="shared" si="249"/>
        <v>0</v>
      </c>
      <c r="BD611" s="107"/>
      <c r="BE611" s="172"/>
      <c r="BF611" s="172"/>
      <c r="BG611" s="172"/>
      <c r="BH611" s="154"/>
      <c r="BI611" s="160"/>
      <c r="BJ611" s="140"/>
      <c r="BK611" s="98"/>
      <c r="BL611" s="156"/>
      <c r="BM611" s="157"/>
      <c r="BN611" s="157"/>
      <c r="BO611" s="158">
        <f t="shared" si="250"/>
        <v>0</v>
      </c>
      <c r="BP611" s="107"/>
      <c r="BQ611" s="172"/>
      <c r="BR611" s="172" t="s">
        <v>59</v>
      </c>
      <c r="BS611" s="172"/>
      <c r="BT611" s="154"/>
      <c r="BU611" s="107"/>
      <c r="BV611" s="107"/>
      <c r="BW611" s="107"/>
      <c r="BX611" s="107"/>
      <c r="BY611" s="107"/>
      <c r="BZ611" s="107"/>
      <c r="CA611" s="107"/>
      <c r="CB611" s="107"/>
      <c r="CC611" s="107"/>
      <c r="CD611" s="107"/>
      <c r="CE611" s="107"/>
      <c r="CF611" s="107"/>
      <c r="CG611" s="107"/>
      <c r="CH611" s="107"/>
      <c r="CI611" s="107"/>
      <c r="CJ611" s="107"/>
    </row>
    <row r="612">
      <c r="A612" s="160"/>
      <c r="B612" s="140"/>
      <c r="C612" s="98"/>
      <c r="D612" s="156"/>
      <c r="E612" s="157"/>
      <c r="F612" s="157"/>
      <c r="G612" s="158">
        <f t="shared" si="245"/>
        <v>0</v>
      </c>
      <c r="H612" s="172"/>
      <c r="I612" s="172" t="s">
        <v>61</v>
      </c>
      <c r="J612" s="172"/>
      <c r="K612" s="107"/>
      <c r="L612" s="154"/>
      <c r="M612" s="160"/>
      <c r="N612" s="140"/>
      <c r="O612" s="98"/>
      <c r="P612" s="156"/>
      <c r="Q612" s="157"/>
      <c r="R612" s="157"/>
      <c r="S612" s="158">
        <f t="shared" si="246"/>
        <v>0</v>
      </c>
      <c r="T612" s="107"/>
      <c r="U612" s="173">
        <v>0.01</v>
      </c>
      <c r="V612" s="173">
        <v>0.01</v>
      </c>
      <c r="W612" s="172" t="s">
        <v>80</v>
      </c>
      <c r="X612" s="154"/>
      <c r="Y612" s="160"/>
      <c r="Z612" s="140"/>
      <c r="AA612" s="98"/>
      <c r="AB612" s="156"/>
      <c r="AC612" s="157"/>
      <c r="AD612" s="157"/>
      <c r="AE612" s="158">
        <f t="shared" si="247"/>
        <v>0</v>
      </c>
      <c r="AF612" s="107"/>
      <c r="AG612" s="173">
        <v>0.02</v>
      </c>
      <c r="AH612" s="173">
        <v>0.04</v>
      </c>
      <c r="AI612" s="173">
        <v>0.06</v>
      </c>
      <c r="AJ612" s="154"/>
      <c r="AK612" s="160"/>
      <c r="AL612" s="140"/>
      <c r="AM612" s="98"/>
      <c r="AN612" s="156"/>
      <c r="AO612" s="157"/>
      <c r="AP612" s="157"/>
      <c r="AQ612" s="158">
        <f t="shared" si="248"/>
        <v>0</v>
      </c>
      <c r="AR612" s="107"/>
      <c r="AS612" s="173">
        <v>0.03</v>
      </c>
      <c r="AT612" s="173">
        <v>0.05</v>
      </c>
      <c r="AU612" s="173">
        <v>0.07</v>
      </c>
      <c r="AV612" s="154"/>
      <c r="AW612" s="160"/>
      <c r="AX612" s="140"/>
      <c r="AY612" s="98"/>
      <c r="AZ612" s="156"/>
      <c r="BA612" s="157"/>
      <c r="BB612" s="157"/>
      <c r="BC612" s="158">
        <f t="shared" si="249"/>
        <v>0</v>
      </c>
      <c r="BD612" s="107"/>
      <c r="BE612" s="174"/>
      <c r="BF612" s="174"/>
      <c r="BG612" s="172"/>
      <c r="BH612" s="154"/>
      <c r="BI612" s="160"/>
      <c r="BJ612" s="140"/>
      <c r="BK612" s="98"/>
      <c r="BL612" s="156"/>
      <c r="BM612" s="157"/>
      <c r="BN612" s="157"/>
      <c r="BO612" s="158">
        <f t="shared" si="250"/>
        <v>0</v>
      </c>
      <c r="BP612" s="107"/>
      <c r="BQ612" s="173">
        <v>0.03</v>
      </c>
      <c r="BR612" s="173">
        <v>0.05</v>
      </c>
      <c r="BS612" s="173">
        <v>0.07</v>
      </c>
      <c r="BT612" s="154"/>
      <c r="BU612" s="107"/>
      <c r="BV612" s="107"/>
      <c r="BW612" s="107"/>
      <c r="BX612" s="107"/>
      <c r="BY612" s="107"/>
      <c r="BZ612" s="107"/>
      <c r="CA612" s="107"/>
      <c r="CB612" s="107"/>
      <c r="CC612" s="107"/>
      <c r="CD612" s="107"/>
      <c r="CE612" s="107"/>
      <c r="CF612" s="107"/>
      <c r="CG612" s="107"/>
      <c r="CH612" s="107"/>
      <c r="CI612" s="107"/>
      <c r="CJ612" s="107"/>
    </row>
    <row r="613">
      <c r="A613" s="160"/>
      <c r="B613" s="140"/>
      <c r="C613" s="98"/>
      <c r="D613" s="156"/>
      <c r="E613" s="157"/>
      <c r="F613" s="157"/>
      <c r="G613" s="158">
        <f t="shared" si="245"/>
        <v>0</v>
      </c>
      <c r="H613" s="173">
        <v>0.03</v>
      </c>
      <c r="I613" s="173">
        <v>0.05</v>
      </c>
      <c r="J613" s="173">
        <v>0.07</v>
      </c>
      <c r="K613" s="107"/>
      <c r="L613" s="154"/>
      <c r="M613" s="160"/>
      <c r="N613" s="140"/>
      <c r="O613" s="98"/>
      <c r="P613" s="156"/>
      <c r="Q613" s="157"/>
      <c r="R613" s="157"/>
      <c r="S613" s="158">
        <f t="shared" si="246"/>
        <v>0</v>
      </c>
      <c r="T613" s="107"/>
      <c r="U613" s="175">
        <v>5.0</v>
      </c>
      <c r="V613" s="175">
        <v>7.0</v>
      </c>
      <c r="W613" s="175">
        <v>10.0</v>
      </c>
      <c r="X613" s="154"/>
      <c r="Y613" s="160"/>
      <c r="Z613" s="140"/>
      <c r="AA613" s="98"/>
      <c r="AB613" s="156"/>
      <c r="AC613" s="157"/>
      <c r="AD613" s="157"/>
      <c r="AE613" s="158">
        <f t="shared" si="247"/>
        <v>0</v>
      </c>
      <c r="AF613" s="107"/>
      <c r="AG613" s="175">
        <v>5.0</v>
      </c>
      <c r="AH613" s="175">
        <v>7.0</v>
      </c>
      <c r="AI613" s="175">
        <v>10.0</v>
      </c>
      <c r="AJ613" s="154"/>
      <c r="AK613" s="160"/>
      <c r="AL613" s="140"/>
      <c r="AM613" s="98"/>
      <c r="AN613" s="156"/>
      <c r="AO613" s="157"/>
      <c r="AP613" s="157"/>
      <c r="AQ613" s="158">
        <f t="shared" si="248"/>
        <v>0</v>
      </c>
      <c r="AR613" s="107"/>
      <c r="AS613" s="175">
        <v>5.0</v>
      </c>
      <c r="AT613" s="175">
        <v>7.0</v>
      </c>
      <c r="AU613" s="175">
        <v>10.0</v>
      </c>
      <c r="AV613" s="154"/>
      <c r="AW613" s="160"/>
      <c r="AX613" s="140"/>
      <c r="AY613" s="98"/>
      <c r="AZ613" s="156"/>
      <c r="BA613" s="157"/>
      <c r="BB613" s="157"/>
      <c r="BC613" s="158">
        <f t="shared" si="249"/>
        <v>0</v>
      </c>
      <c r="BD613" s="107"/>
      <c r="BE613" s="172"/>
      <c r="BF613" s="172"/>
      <c r="BG613" s="172"/>
      <c r="BH613" s="154"/>
      <c r="BI613" s="160"/>
      <c r="BJ613" s="140"/>
      <c r="BK613" s="98"/>
      <c r="BL613" s="156"/>
      <c r="BM613" s="157"/>
      <c r="BN613" s="157"/>
      <c r="BO613" s="158">
        <f t="shared" si="250"/>
        <v>0</v>
      </c>
      <c r="BP613" s="107"/>
      <c r="BQ613" s="175">
        <v>5.0</v>
      </c>
      <c r="BR613" s="175">
        <v>7.0</v>
      </c>
      <c r="BS613" s="175">
        <v>10.0</v>
      </c>
      <c r="BT613" s="154"/>
      <c r="BU613" s="107"/>
      <c r="BV613" s="107"/>
      <c r="BW613" s="107"/>
      <c r="BX613" s="107"/>
      <c r="BY613" s="107"/>
      <c r="BZ613" s="107"/>
      <c r="CA613" s="107"/>
      <c r="CB613" s="107"/>
      <c r="CC613" s="107"/>
      <c r="CD613" s="107"/>
      <c r="CE613" s="107"/>
      <c r="CF613" s="107"/>
      <c r="CG613" s="107"/>
      <c r="CH613" s="107"/>
      <c r="CI613" s="107"/>
      <c r="CJ613" s="107"/>
    </row>
    <row r="614">
      <c r="A614" s="160"/>
      <c r="B614" s="140"/>
      <c r="C614" s="98"/>
      <c r="D614" s="156"/>
      <c r="E614" s="157"/>
      <c r="F614" s="157"/>
      <c r="G614" s="158">
        <f t="shared" si="245"/>
        <v>0</v>
      </c>
      <c r="H614" s="175">
        <v>5.0</v>
      </c>
      <c r="I614" s="175">
        <v>7.0</v>
      </c>
      <c r="J614" s="175">
        <v>10.0</v>
      </c>
      <c r="K614" s="107"/>
      <c r="L614" s="154"/>
      <c r="M614" s="160"/>
      <c r="N614" s="140"/>
      <c r="O614" s="98"/>
      <c r="P614" s="156"/>
      <c r="Q614" s="157"/>
      <c r="R614" s="157"/>
      <c r="S614" s="158">
        <f t="shared" si="246"/>
        <v>0</v>
      </c>
      <c r="T614" s="107"/>
      <c r="U614" s="107"/>
      <c r="V614" s="107"/>
      <c r="W614" s="107"/>
      <c r="X614" s="154"/>
      <c r="Y614" s="160"/>
      <c r="Z614" s="140"/>
      <c r="AA614" s="98"/>
      <c r="AB614" s="156"/>
      <c r="AC614" s="157"/>
      <c r="AD614" s="157"/>
      <c r="AE614" s="158">
        <f t="shared" si="247"/>
        <v>0</v>
      </c>
      <c r="AF614" s="107"/>
      <c r="AG614" s="107"/>
      <c r="AH614" s="107"/>
      <c r="AI614" s="107"/>
      <c r="AJ614" s="154"/>
      <c r="AK614" s="160"/>
      <c r="AL614" s="140"/>
      <c r="AM614" s="98"/>
      <c r="AN614" s="156"/>
      <c r="AO614" s="157"/>
      <c r="AP614" s="157"/>
      <c r="AQ614" s="158">
        <f t="shared" si="248"/>
        <v>0</v>
      </c>
      <c r="AR614" s="107"/>
      <c r="AS614" s="107"/>
      <c r="AT614" s="107"/>
      <c r="AU614" s="107"/>
      <c r="AV614" s="154"/>
      <c r="AW614" s="160"/>
      <c r="AX614" s="140"/>
      <c r="AY614" s="98"/>
      <c r="AZ614" s="156"/>
      <c r="BA614" s="157"/>
      <c r="BB614" s="157"/>
      <c r="BC614" s="158">
        <f t="shared" si="249"/>
        <v>0</v>
      </c>
      <c r="BD614" s="107"/>
      <c r="BE614" s="107"/>
      <c r="BF614" s="107"/>
      <c r="BG614" s="107"/>
      <c r="BH614" s="154"/>
      <c r="BI614" s="160"/>
      <c r="BJ614" s="140"/>
      <c r="BK614" s="98"/>
      <c r="BL614" s="156"/>
      <c r="BM614" s="157"/>
      <c r="BN614" s="157"/>
      <c r="BO614" s="158">
        <f t="shared" si="250"/>
        <v>0</v>
      </c>
      <c r="BP614" s="107"/>
      <c r="BQ614" s="107"/>
      <c r="BR614" s="107"/>
      <c r="BS614" s="107"/>
      <c r="BT614" s="154"/>
      <c r="BU614" s="107"/>
      <c r="BV614" s="107"/>
      <c r="BW614" s="107"/>
      <c r="BX614" s="107"/>
      <c r="BY614" s="107"/>
      <c r="BZ614" s="107"/>
      <c r="CA614" s="107"/>
      <c r="CB614" s="107"/>
      <c r="CC614" s="107"/>
      <c r="CD614" s="107"/>
      <c r="CE614" s="107"/>
      <c r="CF614" s="107"/>
      <c r="CG614" s="107"/>
      <c r="CH614" s="107"/>
      <c r="CI614" s="107"/>
      <c r="CJ614" s="107"/>
    </row>
    <row r="615">
      <c r="A615" s="160"/>
      <c r="B615" s="140"/>
      <c r="C615" s="98"/>
      <c r="D615" s="156"/>
      <c r="E615" s="157"/>
      <c r="F615" s="157"/>
      <c r="G615" s="158">
        <f t="shared" si="245"/>
        <v>0</v>
      </c>
      <c r="H615" s="107"/>
      <c r="I615" s="107"/>
      <c r="J615" s="107"/>
      <c r="K615" s="107"/>
      <c r="L615" s="154"/>
      <c r="M615" s="160"/>
      <c r="N615" s="140"/>
      <c r="O615" s="98"/>
      <c r="P615" s="156"/>
      <c r="Q615" s="157"/>
      <c r="R615" s="157"/>
      <c r="S615" s="158">
        <f t="shared" si="246"/>
        <v>0</v>
      </c>
      <c r="T615" s="107"/>
      <c r="U615" s="107"/>
      <c r="V615" s="107"/>
      <c r="W615" s="107"/>
      <c r="X615" s="154"/>
      <c r="Y615" s="160"/>
      <c r="Z615" s="140"/>
      <c r="AA615" s="98"/>
      <c r="AB615" s="156"/>
      <c r="AC615" s="157"/>
      <c r="AD615" s="157"/>
      <c r="AE615" s="158">
        <f t="shared" si="247"/>
        <v>0</v>
      </c>
      <c r="AF615" s="107"/>
      <c r="AG615" s="107"/>
      <c r="AH615" s="107"/>
      <c r="AI615" s="107"/>
      <c r="AJ615" s="154"/>
      <c r="AK615" s="160"/>
      <c r="AL615" s="140"/>
      <c r="AM615" s="98"/>
      <c r="AN615" s="156"/>
      <c r="AO615" s="157"/>
      <c r="AP615" s="157"/>
      <c r="AQ615" s="158">
        <f t="shared" si="248"/>
        <v>0</v>
      </c>
      <c r="AR615" s="107"/>
      <c r="AS615" s="107"/>
      <c r="AT615" s="107"/>
      <c r="AU615" s="107"/>
      <c r="AV615" s="154"/>
      <c r="AW615" s="160"/>
      <c r="AX615" s="140"/>
      <c r="AY615" s="98"/>
      <c r="AZ615" s="156"/>
      <c r="BA615" s="157"/>
      <c r="BB615" s="157"/>
      <c r="BC615" s="158">
        <f t="shared" si="249"/>
        <v>0</v>
      </c>
      <c r="BD615" s="107"/>
      <c r="BE615" s="107"/>
      <c r="BF615" s="107"/>
      <c r="BG615" s="107"/>
      <c r="BH615" s="154"/>
      <c r="BI615" s="160"/>
      <c r="BJ615" s="140"/>
      <c r="BK615" s="98"/>
      <c r="BL615" s="156"/>
      <c r="BM615" s="157"/>
      <c r="BN615" s="157"/>
      <c r="BO615" s="158">
        <f t="shared" si="250"/>
        <v>0</v>
      </c>
      <c r="BP615" s="107"/>
      <c r="BQ615" s="107"/>
      <c r="BR615" s="107"/>
      <c r="BS615" s="107"/>
      <c r="BT615" s="154"/>
      <c r="BU615" s="107"/>
      <c r="BV615" s="107"/>
      <c r="BW615" s="107"/>
      <c r="BX615" s="107"/>
      <c r="BY615" s="107"/>
      <c r="BZ615" s="107"/>
      <c r="CA615" s="107"/>
      <c r="CB615" s="107"/>
      <c r="CC615" s="107"/>
      <c r="CD615" s="107"/>
      <c r="CE615" s="107"/>
      <c r="CF615" s="107"/>
      <c r="CG615" s="107"/>
      <c r="CH615" s="107"/>
      <c r="CI615" s="107"/>
      <c r="CJ615" s="107"/>
    </row>
    <row r="616">
      <c r="A616" s="160"/>
      <c r="B616" s="140"/>
      <c r="C616" s="98"/>
      <c r="D616" s="156"/>
      <c r="E616" s="157"/>
      <c r="F616" s="157"/>
      <c r="G616" s="158">
        <f t="shared" si="245"/>
        <v>0</v>
      </c>
      <c r="H616" s="107"/>
      <c r="I616" s="107"/>
      <c r="J616" s="107"/>
      <c r="K616" s="107"/>
      <c r="L616" s="154"/>
      <c r="M616" s="160"/>
      <c r="N616" s="140"/>
      <c r="O616" s="98"/>
      <c r="P616" s="156"/>
      <c r="Q616" s="157"/>
      <c r="R616" s="157"/>
      <c r="S616" s="158">
        <f t="shared" si="246"/>
        <v>0</v>
      </c>
      <c r="T616" s="107"/>
      <c r="U616" s="107"/>
      <c r="V616" s="107"/>
      <c r="W616" s="107"/>
      <c r="X616" s="154"/>
      <c r="Y616" s="160"/>
      <c r="Z616" s="140"/>
      <c r="AA616" s="98"/>
      <c r="AB616" s="156"/>
      <c r="AC616" s="157"/>
      <c r="AD616" s="157"/>
      <c r="AE616" s="158">
        <f t="shared" si="247"/>
        <v>0</v>
      </c>
      <c r="AF616" s="107"/>
      <c r="AG616" s="107"/>
      <c r="AH616" s="107"/>
      <c r="AI616" s="107"/>
      <c r="AJ616" s="154"/>
      <c r="AK616" s="160"/>
      <c r="AL616" s="140"/>
      <c r="AM616" s="98"/>
      <c r="AN616" s="156"/>
      <c r="AO616" s="157"/>
      <c r="AP616" s="157"/>
      <c r="AQ616" s="158">
        <f t="shared" si="248"/>
        <v>0</v>
      </c>
      <c r="AR616" s="107"/>
      <c r="AS616" s="107"/>
      <c r="AT616" s="107"/>
      <c r="AU616" s="107"/>
      <c r="AV616" s="154"/>
      <c r="AW616" s="160"/>
      <c r="AX616" s="140"/>
      <c r="AY616" s="98"/>
      <c r="AZ616" s="156"/>
      <c r="BA616" s="157"/>
      <c r="BB616" s="157"/>
      <c r="BC616" s="158">
        <f t="shared" si="249"/>
        <v>0</v>
      </c>
      <c r="BD616" s="107"/>
      <c r="BE616" s="107"/>
      <c r="BF616" s="107"/>
      <c r="BG616" s="107"/>
      <c r="BH616" s="154"/>
      <c r="BI616" s="160"/>
      <c r="BJ616" s="140"/>
      <c r="BK616" s="98"/>
      <c r="BL616" s="156"/>
      <c r="BM616" s="157"/>
      <c r="BN616" s="157"/>
      <c r="BO616" s="158">
        <f t="shared" si="250"/>
        <v>0</v>
      </c>
      <c r="BP616" s="107"/>
      <c r="BQ616" s="107"/>
      <c r="BR616" s="107"/>
      <c r="BS616" s="107"/>
      <c r="BT616" s="154"/>
      <c r="BU616" s="107"/>
      <c r="BV616" s="107"/>
      <c r="BW616" s="107"/>
      <c r="BX616" s="107"/>
      <c r="BY616" s="107"/>
      <c r="BZ616" s="107"/>
      <c r="CA616" s="107"/>
      <c r="CB616" s="107"/>
      <c r="CC616" s="107"/>
      <c r="CD616" s="107"/>
      <c r="CE616" s="107"/>
      <c r="CF616" s="107"/>
      <c r="CG616" s="107"/>
      <c r="CH616" s="107"/>
      <c r="CI616" s="107"/>
      <c r="CJ616" s="107"/>
    </row>
    <row r="617">
      <c r="A617" s="160"/>
      <c r="B617" s="140"/>
      <c r="C617" s="98"/>
      <c r="D617" s="156"/>
      <c r="E617" s="157"/>
      <c r="F617" s="157"/>
      <c r="G617" s="158">
        <f t="shared" si="245"/>
        <v>0</v>
      </c>
      <c r="H617" s="107"/>
      <c r="I617" s="107" t="s">
        <v>85</v>
      </c>
      <c r="J617" s="107"/>
      <c r="K617" s="107"/>
      <c r="L617" s="154"/>
      <c r="M617" s="160"/>
      <c r="N617" s="140"/>
      <c r="O617" s="98"/>
      <c r="P617" s="156"/>
      <c r="Q617" s="157"/>
      <c r="R617" s="157"/>
      <c r="S617" s="158">
        <f t="shared" si="246"/>
        <v>0</v>
      </c>
      <c r="T617" s="107"/>
      <c r="U617" s="107"/>
      <c r="V617" s="107"/>
      <c r="W617" s="107"/>
      <c r="X617" s="154"/>
      <c r="Y617" s="160"/>
      <c r="Z617" s="140"/>
      <c r="AA617" s="98"/>
      <c r="AB617" s="156"/>
      <c r="AC617" s="157"/>
      <c r="AD617" s="157"/>
      <c r="AE617" s="158">
        <f t="shared" si="247"/>
        <v>0</v>
      </c>
      <c r="AF617" s="107"/>
      <c r="AG617" s="107"/>
      <c r="AH617" s="107"/>
      <c r="AI617" s="107"/>
      <c r="AJ617" s="154"/>
      <c r="AK617" s="160"/>
      <c r="AL617" s="140"/>
      <c r="AM617" s="98"/>
      <c r="AN617" s="156"/>
      <c r="AO617" s="157"/>
      <c r="AP617" s="157"/>
      <c r="AQ617" s="158">
        <f t="shared" si="248"/>
        <v>0</v>
      </c>
      <c r="AR617" s="107"/>
      <c r="AS617" s="107"/>
      <c r="AT617" s="107"/>
      <c r="AU617" s="107"/>
      <c r="AV617" s="154"/>
      <c r="AW617" s="160"/>
      <c r="AX617" s="140"/>
      <c r="AY617" s="98"/>
      <c r="AZ617" s="156"/>
      <c r="BA617" s="157"/>
      <c r="BB617" s="157"/>
      <c r="BC617" s="158">
        <f t="shared" si="249"/>
        <v>0</v>
      </c>
      <c r="BD617" s="107"/>
      <c r="BE617" s="107"/>
      <c r="BF617" s="107"/>
      <c r="BG617" s="107"/>
      <c r="BH617" s="154"/>
      <c r="BI617" s="160"/>
      <c r="BJ617" s="140"/>
      <c r="BK617" s="98"/>
      <c r="BL617" s="156"/>
      <c r="BM617" s="157"/>
      <c r="BN617" s="157"/>
      <c r="BO617" s="158">
        <f t="shared" si="250"/>
        <v>0</v>
      </c>
      <c r="BP617" s="107"/>
      <c r="BQ617" s="107"/>
      <c r="BR617" s="107"/>
      <c r="BS617" s="107"/>
      <c r="BT617" s="154"/>
      <c r="BU617" s="107"/>
      <c r="BV617" s="107"/>
      <c r="BW617" s="107"/>
      <c r="BX617" s="107"/>
      <c r="BY617" s="107"/>
      <c r="BZ617" s="107"/>
      <c r="CA617" s="107"/>
      <c r="CB617" s="107"/>
      <c r="CC617" s="107"/>
      <c r="CD617" s="107"/>
      <c r="CE617" s="107"/>
      <c r="CF617" s="107"/>
      <c r="CG617" s="107"/>
      <c r="CH617" s="107"/>
      <c r="CI617" s="107"/>
      <c r="CJ617" s="107"/>
    </row>
    <row r="618">
      <c r="A618" s="160"/>
      <c r="B618" s="140"/>
      <c r="C618" s="98"/>
      <c r="D618" s="156"/>
      <c r="E618" s="157"/>
      <c r="F618" s="157"/>
      <c r="G618" s="158">
        <f t="shared" si="245"/>
        <v>0</v>
      </c>
      <c r="H618" s="107"/>
      <c r="I618" s="176">
        <v>40363.0</v>
      </c>
      <c r="J618" s="107"/>
      <c r="K618" s="107"/>
      <c r="L618" s="154"/>
      <c r="M618" s="160"/>
      <c r="N618" s="140"/>
      <c r="O618" s="98"/>
      <c r="P618" s="156"/>
      <c r="Q618" s="157"/>
      <c r="R618" s="157"/>
      <c r="S618" s="158">
        <f t="shared" si="246"/>
        <v>0</v>
      </c>
      <c r="T618" s="107"/>
      <c r="U618" s="107"/>
      <c r="V618" s="107"/>
      <c r="W618" s="107"/>
      <c r="X618" s="154"/>
      <c r="Y618" s="160"/>
      <c r="Z618" s="140"/>
      <c r="AA618" s="98"/>
      <c r="AB618" s="156"/>
      <c r="AC618" s="157"/>
      <c r="AD618" s="157"/>
      <c r="AE618" s="158">
        <f t="shared" si="247"/>
        <v>0</v>
      </c>
      <c r="AF618" s="107"/>
      <c r="AG618" s="107"/>
      <c r="AH618" s="107"/>
      <c r="AI618" s="107"/>
      <c r="AJ618" s="154"/>
      <c r="AK618" s="160"/>
      <c r="AL618" s="140"/>
      <c r="AM618" s="98"/>
      <c r="AN618" s="156"/>
      <c r="AO618" s="157"/>
      <c r="AP618" s="157"/>
      <c r="AQ618" s="158">
        <f t="shared" si="248"/>
        <v>0</v>
      </c>
      <c r="AR618" s="107"/>
      <c r="AS618" s="107"/>
      <c r="AT618" s="107"/>
      <c r="AU618" s="107"/>
      <c r="AV618" s="154"/>
      <c r="AW618" s="160"/>
      <c r="AX618" s="140"/>
      <c r="AY618" s="98"/>
      <c r="AZ618" s="156"/>
      <c r="BA618" s="157"/>
      <c r="BB618" s="157"/>
      <c r="BC618" s="158">
        <f t="shared" si="249"/>
        <v>0</v>
      </c>
      <c r="BD618" s="107"/>
      <c r="BE618" s="107"/>
      <c r="BF618" s="107"/>
      <c r="BG618" s="107"/>
      <c r="BH618" s="154"/>
      <c r="BI618" s="160"/>
      <c r="BJ618" s="140"/>
      <c r="BK618" s="98"/>
      <c r="BL618" s="156"/>
      <c r="BM618" s="157"/>
      <c r="BN618" s="157"/>
      <c r="BO618" s="158">
        <f t="shared" si="250"/>
        <v>0</v>
      </c>
      <c r="BP618" s="107"/>
      <c r="BQ618" s="107"/>
      <c r="BR618" s="107"/>
      <c r="BS618" s="107"/>
      <c r="BT618" s="154"/>
      <c r="BU618" s="107"/>
      <c r="BV618" s="107"/>
      <c r="BW618" s="107"/>
      <c r="BX618" s="107"/>
      <c r="BY618" s="107"/>
      <c r="BZ618" s="107"/>
      <c r="CA618" s="107"/>
      <c r="CB618" s="107"/>
      <c r="CC618" s="107"/>
      <c r="CD618" s="107"/>
      <c r="CE618" s="107"/>
      <c r="CF618" s="107"/>
      <c r="CG618" s="107"/>
      <c r="CH618" s="107"/>
      <c r="CI618" s="107"/>
      <c r="CJ618" s="107"/>
    </row>
    <row r="619">
      <c r="A619" s="160"/>
      <c r="B619" s="140"/>
      <c r="C619" s="98"/>
      <c r="D619" s="156"/>
      <c r="E619" s="157"/>
      <c r="F619" s="157"/>
      <c r="G619" s="158">
        <f t="shared" si="245"/>
        <v>0</v>
      </c>
      <c r="H619" s="107"/>
      <c r="I619" s="107"/>
      <c r="J619" s="107"/>
      <c r="K619" s="107"/>
      <c r="L619" s="154"/>
      <c r="M619" s="160"/>
      <c r="N619" s="140"/>
      <c r="O619" s="98"/>
      <c r="P619" s="156"/>
      <c r="Q619" s="157"/>
      <c r="R619" s="157"/>
      <c r="S619" s="158">
        <f t="shared" si="246"/>
        <v>0</v>
      </c>
      <c r="T619" s="107"/>
      <c r="U619" s="107"/>
      <c r="V619" s="107"/>
      <c r="W619" s="107"/>
      <c r="X619" s="154"/>
      <c r="Y619" s="160"/>
      <c r="Z619" s="140"/>
      <c r="AA619" s="98"/>
      <c r="AB619" s="156"/>
      <c r="AC619" s="157"/>
      <c r="AD619" s="157"/>
      <c r="AE619" s="158">
        <f t="shared" si="247"/>
        <v>0</v>
      </c>
      <c r="AF619" s="107"/>
      <c r="AG619" s="107"/>
      <c r="AH619" s="107"/>
      <c r="AI619" s="107"/>
      <c r="AJ619" s="154"/>
      <c r="AK619" s="160"/>
      <c r="AL619" s="140"/>
      <c r="AM619" s="98"/>
      <c r="AN619" s="156"/>
      <c r="AO619" s="157"/>
      <c r="AP619" s="157"/>
      <c r="AQ619" s="158">
        <f t="shared" si="248"/>
        <v>0</v>
      </c>
      <c r="AR619" s="107"/>
      <c r="AS619" s="107"/>
      <c r="AT619" s="107"/>
      <c r="AU619" s="107"/>
      <c r="AV619" s="154"/>
      <c r="AW619" s="160"/>
      <c r="AX619" s="140"/>
      <c r="AY619" s="98"/>
      <c r="AZ619" s="156"/>
      <c r="BA619" s="157"/>
      <c r="BB619" s="157"/>
      <c r="BC619" s="158">
        <f t="shared" si="249"/>
        <v>0</v>
      </c>
      <c r="BD619" s="107"/>
      <c r="BE619" s="107"/>
      <c r="BF619" s="107"/>
      <c r="BG619" s="107"/>
      <c r="BH619" s="154"/>
      <c r="BI619" s="160"/>
      <c r="BJ619" s="140"/>
      <c r="BK619" s="98"/>
      <c r="BL619" s="156"/>
      <c r="BM619" s="157"/>
      <c r="BN619" s="157"/>
      <c r="BO619" s="158">
        <f t="shared" si="250"/>
        <v>0</v>
      </c>
      <c r="BP619" s="107"/>
      <c r="BQ619" s="107"/>
      <c r="BR619" s="107"/>
      <c r="BS619" s="107"/>
      <c r="BT619" s="154"/>
      <c r="BU619" s="107"/>
      <c r="BV619" s="107"/>
      <c r="BW619" s="107"/>
      <c r="BX619" s="107"/>
      <c r="BY619" s="107"/>
      <c r="BZ619" s="107"/>
      <c r="CA619" s="107"/>
      <c r="CB619" s="107"/>
      <c r="CC619" s="107"/>
      <c r="CD619" s="107"/>
      <c r="CE619" s="107"/>
      <c r="CF619" s="107"/>
      <c r="CG619" s="107"/>
      <c r="CH619" s="107"/>
      <c r="CI619" s="107"/>
      <c r="CJ619" s="107"/>
    </row>
    <row r="620">
      <c r="A620" s="160"/>
      <c r="B620" s="140"/>
      <c r="C620" s="98"/>
      <c r="D620" s="156"/>
      <c r="E620" s="157"/>
      <c r="F620" s="157"/>
      <c r="G620" s="158">
        <f t="shared" si="245"/>
        <v>0</v>
      </c>
      <c r="H620" s="107"/>
      <c r="I620" s="107"/>
      <c r="J620" s="107"/>
      <c r="K620" s="107"/>
      <c r="L620" s="154"/>
      <c r="M620" s="160"/>
      <c r="N620" s="140"/>
      <c r="O620" s="98"/>
      <c r="P620" s="156"/>
      <c r="Q620" s="157"/>
      <c r="R620" s="157"/>
      <c r="S620" s="158">
        <f t="shared" si="246"/>
        <v>0</v>
      </c>
      <c r="T620" s="107"/>
      <c r="U620" s="107"/>
      <c r="V620" s="107"/>
      <c r="W620" s="107"/>
      <c r="X620" s="154"/>
      <c r="Y620" s="160"/>
      <c r="Z620" s="140"/>
      <c r="AA620" s="98"/>
      <c r="AB620" s="156"/>
      <c r="AC620" s="157"/>
      <c r="AD620" s="157"/>
      <c r="AE620" s="158">
        <f t="shared" si="247"/>
        <v>0</v>
      </c>
      <c r="AF620" s="107"/>
      <c r="AG620" s="107"/>
      <c r="AH620" s="107"/>
      <c r="AI620" s="107"/>
      <c r="AJ620" s="154"/>
      <c r="AK620" s="160"/>
      <c r="AL620" s="140"/>
      <c r="AM620" s="98"/>
      <c r="AN620" s="156"/>
      <c r="AO620" s="157"/>
      <c r="AP620" s="157"/>
      <c r="AQ620" s="158">
        <f t="shared" si="248"/>
        <v>0</v>
      </c>
      <c r="AR620" s="107"/>
      <c r="AS620" s="107"/>
      <c r="AT620" s="107"/>
      <c r="AU620" s="107"/>
      <c r="AV620" s="154"/>
      <c r="AW620" s="160"/>
      <c r="AX620" s="140"/>
      <c r="AY620" s="98"/>
      <c r="AZ620" s="156"/>
      <c r="BA620" s="157"/>
      <c r="BB620" s="157"/>
      <c r="BC620" s="158">
        <f t="shared" si="249"/>
        <v>0</v>
      </c>
      <c r="BD620" s="107"/>
      <c r="BE620" s="107"/>
      <c r="BF620" s="107"/>
      <c r="BG620" s="107"/>
      <c r="BH620" s="154"/>
      <c r="BI620" s="160"/>
      <c r="BJ620" s="140"/>
      <c r="BK620" s="98"/>
      <c r="BL620" s="156"/>
      <c r="BM620" s="157"/>
      <c r="BN620" s="157"/>
      <c r="BO620" s="158">
        <f t="shared" si="250"/>
        <v>0</v>
      </c>
      <c r="BP620" s="107"/>
      <c r="BQ620" s="107"/>
      <c r="BR620" s="107"/>
      <c r="BS620" s="107"/>
      <c r="BT620" s="154"/>
      <c r="BU620" s="107"/>
      <c r="BV620" s="107"/>
      <c r="BW620" s="107"/>
      <c r="BX620" s="107"/>
      <c r="BY620" s="107"/>
      <c r="BZ620" s="107"/>
      <c r="CA620" s="107"/>
      <c r="CB620" s="107"/>
      <c r="CC620" s="107"/>
      <c r="CD620" s="107"/>
      <c r="CE620" s="107"/>
      <c r="CF620" s="107"/>
      <c r="CG620" s="107"/>
      <c r="CH620" s="107"/>
      <c r="CI620" s="107"/>
      <c r="CJ620" s="107"/>
    </row>
    <row r="621">
      <c r="A621" s="160"/>
      <c r="B621" s="140"/>
      <c r="C621" s="98"/>
      <c r="D621" s="156"/>
      <c r="E621" s="157"/>
      <c r="F621" s="157"/>
      <c r="G621" s="177">
        <f t="shared" si="245"/>
        <v>0</v>
      </c>
      <c r="H621" s="147"/>
      <c r="I621" s="147"/>
      <c r="J621" s="147"/>
      <c r="K621" s="147"/>
      <c r="L621" s="178"/>
      <c r="M621" s="160"/>
      <c r="N621" s="140"/>
      <c r="O621" s="98"/>
      <c r="P621" s="156"/>
      <c r="Q621" s="157"/>
      <c r="R621" s="157"/>
      <c r="S621" s="158">
        <f t="shared" si="246"/>
        <v>0</v>
      </c>
      <c r="T621" s="147"/>
      <c r="U621" s="147"/>
      <c r="V621" s="147"/>
      <c r="W621" s="147"/>
      <c r="X621" s="178"/>
      <c r="Y621" s="160"/>
      <c r="Z621" s="140"/>
      <c r="AA621" s="98"/>
      <c r="AB621" s="156"/>
      <c r="AC621" s="157"/>
      <c r="AD621" s="157"/>
      <c r="AE621" s="158">
        <f t="shared" si="247"/>
        <v>0</v>
      </c>
      <c r="AF621" s="147"/>
      <c r="AG621" s="147"/>
      <c r="AH621" s="147"/>
      <c r="AI621" s="147"/>
      <c r="AJ621" s="178"/>
      <c r="AK621" s="160"/>
      <c r="AL621" s="140"/>
      <c r="AM621" s="98"/>
      <c r="AN621" s="156"/>
      <c r="AO621" s="157"/>
      <c r="AP621" s="157"/>
      <c r="AQ621" s="158">
        <f t="shared" si="248"/>
        <v>0</v>
      </c>
      <c r="AR621" s="147"/>
      <c r="AS621" s="147"/>
      <c r="AT621" s="147"/>
      <c r="AU621" s="147"/>
      <c r="AV621" s="178"/>
      <c r="AW621" s="160"/>
      <c r="AX621" s="140"/>
      <c r="AY621" s="98"/>
      <c r="AZ621" s="156"/>
      <c r="BA621" s="157"/>
      <c r="BB621" s="157"/>
      <c r="BC621" s="158">
        <f t="shared" si="249"/>
        <v>0</v>
      </c>
      <c r="BD621" s="147"/>
      <c r="BE621" s="147"/>
      <c r="BF621" s="147"/>
      <c r="BG621" s="147"/>
      <c r="BH621" s="178"/>
      <c r="BI621" s="160"/>
      <c r="BJ621" s="140"/>
      <c r="BK621" s="98"/>
      <c r="BL621" s="156"/>
      <c r="BM621" s="157"/>
      <c r="BN621" s="157"/>
      <c r="BO621" s="158">
        <f t="shared" si="250"/>
        <v>0</v>
      </c>
      <c r="BP621" s="147"/>
      <c r="BQ621" s="147"/>
      <c r="BR621" s="147"/>
      <c r="BS621" s="147"/>
      <c r="BT621" s="178"/>
      <c r="BU621" s="107"/>
      <c r="BV621" s="107"/>
      <c r="BW621" s="107"/>
      <c r="BX621" s="107"/>
      <c r="BY621" s="107"/>
      <c r="BZ621" s="107"/>
      <c r="CA621" s="107"/>
      <c r="CB621" s="107"/>
      <c r="CC621" s="107"/>
      <c r="CD621" s="107"/>
      <c r="CE621" s="107"/>
      <c r="CF621" s="107"/>
      <c r="CG621" s="107"/>
      <c r="CH621" s="107"/>
      <c r="CI621" s="107"/>
      <c r="CJ621" s="107"/>
    </row>
    <row r="622">
      <c r="A622" s="13"/>
      <c r="B622" s="13"/>
      <c r="C622" s="13"/>
      <c r="D622" s="13"/>
      <c r="E622" s="13"/>
      <c r="F622" s="13"/>
      <c r="G622" s="128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28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28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</row>
    <row r="623">
      <c r="A623" s="13"/>
      <c r="B623" s="13"/>
      <c r="C623" s="13"/>
      <c r="D623" s="13"/>
      <c r="E623" s="13"/>
      <c r="F623" s="13"/>
      <c r="G623" s="128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28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28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</row>
    <row r="624">
      <c r="A624" s="13"/>
      <c r="B624" s="13"/>
      <c r="C624" s="13"/>
      <c r="D624" s="13"/>
      <c r="E624" s="13"/>
      <c r="F624" s="13"/>
      <c r="G624" s="128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28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28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</row>
    <row r="625">
      <c r="A625" s="13"/>
      <c r="B625" s="13"/>
      <c r="C625" s="13"/>
      <c r="D625" s="13"/>
      <c r="E625" s="13"/>
      <c r="F625" s="13"/>
      <c r="G625" s="128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28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28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</row>
    <row r="626">
      <c r="A626" s="13"/>
      <c r="B626" s="13"/>
      <c r="C626" s="13"/>
      <c r="D626" s="13"/>
      <c r="E626" s="13"/>
      <c r="F626" s="13"/>
      <c r="G626" s="128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28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28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</row>
    <row r="627">
      <c r="A627" s="13"/>
      <c r="B627" s="13"/>
      <c r="C627" s="13"/>
      <c r="D627" s="13"/>
      <c r="E627" s="13"/>
      <c r="F627" s="13"/>
      <c r="G627" s="128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28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28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</row>
    <row r="628">
      <c r="A628" s="13"/>
      <c r="B628" s="13"/>
      <c r="C628" s="13"/>
      <c r="D628" s="13"/>
      <c r="E628" s="13"/>
      <c r="F628" s="13"/>
      <c r="G628" s="128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28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28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</row>
    <row r="629">
      <c r="A629" s="13"/>
      <c r="B629" s="13"/>
      <c r="C629" s="13"/>
      <c r="D629" s="13"/>
      <c r="E629" s="13"/>
      <c r="F629" s="13"/>
      <c r="G629" s="128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28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28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</row>
    <row r="630">
      <c r="A630" s="13"/>
      <c r="B630" s="13"/>
      <c r="C630" s="13"/>
      <c r="D630" s="13"/>
      <c r="E630" s="13"/>
      <c r="F630" s="13"/>
      <c r="G630" s="128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28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28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</row>
    <row r="631">
      <c r="A631" s="13"/>
      <c r="B631" s="13"/>
      <c r="C631" s="13"/>
      <c r="D631" s="13"/>
      <c r="E631" s="13"/>
      <c r="F631" s="13"/>
      <c r="G631" s="128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28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28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</row>
    <row r="632">
      <c r="A632" s="13"/>
      <c r="B632" s="13"/>
      <c r="C632" s="13"/>
      <c r="D632" s="13"/>
      <c r="E632" s="13"/>
      <c r="F632" s="13"/>
      <c r="G632" s="128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28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28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</row>
    <row r="633">
      <c r="A633" s="13"/>
      <c r="B633" s="13"/>
      <c r="C633" s="13"/>
      <c r="D633" s="13"/>
      <c r="E633" s="13"/>
      <c r="F633" s="13"/>
      <c r="G633" s="128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28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28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</row>
    <row r="634">
      <c r="A634" s="13"/>
      <c r="B634" s="13"/>
      <c r="C634" s="13"/>
      <c r="D634" s="13"/>
      <c r="E634" s="13"/>
      <c r="F634" s="13"/>
      <c r="G634" s="128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28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28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</row>
    <row r="635">
      <c r="A635" s="13"/>
      <c r="B635" s="13"/>
      <c r="C635" s="13"/>
      <c r="D635" s="13"/>
      <c r="E635" s="13"/>
      <c r="F635" s="13"/>
      <c r="G635" s="128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28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28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</row>
    <row r="636">
      <c r="A636" s="13"/>
      <c r="B636" s="13"/>
      <c r="C636" s="13"/>
      <c r="D636" s="13"/>
      <c r="E636" s="13"/>
      <c r="F636" s="13"/>
      <c r="G636" s="128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28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28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</row>
    <row r="637">
      <c r="A637" s="13"/>
      <c r="B637" s="13"/>
      <c r="C637" s="13"/>
      <c r="D637" s="13"/>
      <c r="E637" s="13"/>
      <c r="F637" s="13"/>
      <c r="G637" s="128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28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28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</row>
    <row r="638">
      <c r="A638" s="13"/>
      <c r="B638" s="13"/>
      <c r="C638" s="13"/>
      <c r="D638" s="13"/>
      <c r="E638" s="13"/>
      <c r="F638" s="13"/>
      <c r="G638" s="128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28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28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</row>
    <row r="639">
      <c r="A639" s="13"/>
      <c r="B639" s="13"/>
      <c r="C639" s="13"/>
      <c r="D639" s="13"/>
      <c r="E639" s="13"/>
      <c r="F639" s="13"/>
      <c r="G639" s="128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28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28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</row>
    <row r="640">
      <c r="A640" s="13"/>
      <c r="B640" s="13"/>
      <c r="C640" s="13"/>
      <c r="D640" s="13"/>
      <c r="E640" s="13"/>
      <c r="F640" s="13"/>
      <c r="G640" s="128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28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28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</row>
    <row r="641">
      <c r="A641" s="13"/>
      <c r="B641" s="13"/>
      <c r="C641" s="13"/>
      <c r="D641" s="13"/>
      <c r="E641" s="13"/>
      <c r="F641" s="13"/>
      <c r="G641" s="128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28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28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</row>
    <row r="642">
      <c r="A642" s="13"/>
      <c r="B642" s="13"/>
      <c r="C642" s="13"/>
      <c r="D642" s="13"/>
      <c r="E642" s="13"/>
      <c r="F642" s="13"/>
      <c r="G642" s="128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28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28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</row>
    <row r="643">
      <c r="A643" s="13"/>
      <c r="B643" s="13"/>
      <c r="C643" s="13"/>
      <c r="D643" s="13"/>
      <c r="E643" s="13"/>
      <c r="F643" s="13"/>
      <c r="G643" s="128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28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28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</row>
    <row r="644">
      <c r="A644" s="13"/>
      <c r="B644" s="13"/>
      <c r="C644" s="13"/>
      <c r="D644" s="13"/>
      <c r="E644" s="13"/>
      <c r="F644" s="13"/>
      <c r="G644" s="128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28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28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</row>
    <row r="645">
      <c r="A645" s="13"/>
      <c r="B645" s="13"/>
      <c r="C645" s="13"/>
      <c r="D645" s="13"/>
      <c r="E645" s="13"/>
      <c r="F645" s="13"/>
      <c r="G645" s="128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28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28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</row>
    <row r="646">
      <c r="A646" s="13"/>
      <c r="B646" s="13"/>
      <c r="C646" s="13"/>
      <c r="D646" s="13"/>
      <c r="E646" s="13"/>
      <c r="F646" s="13"/>
      <c r="G646" s="128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28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28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</row>
    <row r="647">
      <c r="A647" s="13"/>
      <c r="B647" s="13"/>
      <c r="C647" s="13"/>
      <c r="D647" s="13"/>
      <c r="E647" s="13"/>
      <c r="F647" s="13"/>
      <c r="G647" s="128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28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28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</row>
    <row r="648">
      <c r="A648" s="13"/>
      <c r="B648" s="13"/>
      <c r="C648" s="13"/>
      <c r="D648" s="13"/>
      <c r="E648" s="13"/>
      <c r="F648" s="13"/>
      <c r="G648" s="128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28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28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</row>
    <row r="649">
      <c r="A649" s="13"/>
      <c r="B649" s="13"/>
      <c r="C649" s="13"/>
      <c r="D649" s="13"/>
      <c r="E649" s="13"/>
      <c r="F649" s="13"/>
      <c r="G649" s="128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28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28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</row>
    <row r="650">
      <c r="A650" s="13"/>
      <c r="B650" s="13"/>
      <c r="C650" s="13"/>
      <c r="D650" s="13"/>
      <c r="E650" s="13"/>
      <c r="F650" s="13"/>
      <c r="G650" s="128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28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28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</row>
    <row r="651">
      <c r="A651" s="13"/>
      <c r="B651" s="13"/>
      <c r="C651" s="13"/>
      <c r="D651" s="13"/>
      <c r="E651" s="13"/>
      <c r="F651" s="13"/>
      <c r="G651" s="128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28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28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</row>
    <row r="652">
      <c r="A652" s="13"/>
      <c r="B652" s="13"/>
      <c r="C652" s="13"/>
      <c r="D652" s="13"/>
      <c r="E652" s="13"/>
      <c r="F652" s="13"/>
      <c r="G652" s="128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28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28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</row>
    <row r="653">
      <c r="A653" s="13"/>
      <c r="B653" s="13"/>
      <c r="C653" s="13"/>
      <c r="D653" s="13"/>
      <c r="E653" s="13"/>
      <c r="F653" s="13"/>
      <c r="G653" s="128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28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28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</row>
    <row r="654">
      <c r="A654" s="13"/>
      <c r="B654" s="13"/>
      <c r="C654" s="13"/>
      <c r="D654" s="13"/>
      <c r="E654" s="13"/>
      <c r="F654" s="13"/>
      <c r="G654" s="128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28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28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</row>
    <row r="655">
      <c r="A655" s="13"/>
      <c r="B655" s="13"/>
      <c r="C655" s="13"/>
      <c r="D655" s="13"/>
      <c r="E655" s="13"/>
      <c r="F655" s="13"/>
      <c r="G655" s="128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28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28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</row>
    <row r="656">
      <c r="A656" s="13"/>
      <c r="B656" s="13"/>
      <c r="C656" s="13"/>
      <c r="D656" s="13"/>
      <c r="E656" s="13"/>
      <c r="F656" s="13"/>
      <c r="G656" s="128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28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28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</row>
    <row r="657">
      <c r="A657" s="13"/>
      <c r="B657" s="13"/>
      <c r="C657" s="13"/>
      <c r="D657" s="13"/>
      <c r="E657" s="13"/>
      <c r="F657" s="13"/>
      <c r="G657" s="128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28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28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</row>
    <row r="658">
      <c r="A658" s="13"/>
      <c r="B658" s="13"/>
      <c r="C658" s="13"/>
      <c r="D658" s="13"/>
      <c r="E658" s="13"/>
      <c r="F658" s="13"/>
      <c r="G658" s="128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28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28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</row>
    <row r="659">
      <c r="A659" s="13"/>
      <c r="B659" s="13"/>
      <c r="C659" s="13"/>
      <c r="D659" s="13"/>
      <c r="E659" s="13"/>
      <c r="F659" s="13"/>
      <c r="G659" s="128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28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28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</row>
    <row r="660">
      <c r="A660" s="13"/>
      <c r="B660" s="13"/>
      <c r="C660" s="13"/>
      <c r="D660" s="13"/>
      <c r="E660" s="13"/>
      <c r="F660" s="13"/>
      <c r="G660" s="128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28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28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</row>
    <row r="661">
      <c r="A661" s="13"/>
      <c r="B661" s="13"/>
      <c r="C661" s="13"/>
      <c r="D661" s="13"/>
      <c r="E661" s="13"/>
      <c r="F661" s="13"/>
      <c r="G661" s="128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28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28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</row>
    <row r="662">
      <c r="A662" s="13"/>
      <c r="B662" s="13"/>
      <c r="C662" s="13"/>
      <c r="D662" s="13"/>
      <c r="E662" s="13"/>
      <c r="F662" s="13"/>
      <c r="G662" s="128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28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28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</row>
    <row r="663">
      <c r="A663" s="13"/>
      <c r="B663" s="13"/>
      <c r="C663" s="13"/>
      <c r="D663" s="13"/>
      <c r="E663" s="13"/>
      <c r="F663" s="13"/>
      <c r="G663" s="128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28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28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</row>
    <row r="664">
      <c r="A664" s="13"/>
      <c r="B664" s="13"/>
      <c r="C664" s="13"/>
      <c r="D664" s="13"/>
      <c r="E664" s="13"/>
      <c r="F664" s="13"/>
      <c r="G664" s="128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28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28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</row>
    <row r="665">
      <c r="A665" s="13"/>
      <c r="B665" s="13"/>
      <c r="C665" s="13"/>
      <c r="D665" s="13"/>
      <c r="E665" s="13"/>
      <c r="F665" s="13"/>
      <c r="G665" s="128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28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28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</row>
    <row r="666">
      <c r="A666" s="13"/>
      <c r="B666" s="13"/>
      <c r="C666" s="13"/>
      <c r="D666" s="13"/>
      <c r="E666" s="13"/>
      <c r="F666" s="13"/>
      <c r="G666" s="128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28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28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</row>
    <row r="667">
      <c r="A667" s="13"/>
      <c r="B667" s="13"/>
      <c r="C667" s="13"/>
      <c r="D667" s="13"/>
      <c r="E667" s="13"/>
      <c r="F667" s="13"/>
      <c r="G667" s="128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28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28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</row>
    <row r="668">
      <c r="A668" s="13"/>
      <c r="B668" s="13"/>
      <c r="C668" s="13"/>
      <c r="D668" s="13"/>
      <c r="E668" s="13"/>
      <c r="F668" s="13"/>
      <c r="G668" s="128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28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28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</row>
    <row r="669">
      <c r="A669" s="13"/>
      <c r="B669" s="13"/>
      <c r="C669" s="13"/>
      <c r="D669" s="13"/>
      <c r="E669" s="13"/>
      <c r="F669" s="13"/>
      <c r="G669" s="128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28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28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</row>
    <row r="670">
      <c r="A670" s="13"/>
      <c r="B670" s="13"/>
      <c r="C670" s="13"/>
      <c r="D670" s="13"/>
      <c r="E670" s="13"/>
      <c r="F670" s="13"/>
      <c r="G670" s="128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28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28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</row>
    <row r="671">
      <c r="A671" s="13"/>
      <c r="B671" s="13"/>
      <c r="C671" s="13"/>
      <c r="D671" s="13"/>
      <c r="E671" s="13"/>
      <c r="F671" s="13"/>
      <c r="G671" s="128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28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28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</row>
    <row r="672">
      <c r="A672" s="13"/>
      <c r="B672" s="13"/>
      <c r="C672" s="13"/>
      <c r="D672" s="13"/>
      <c r="E672" s="13"/>
      <c r="F672" s="13"/>
      <c r="G672" s="128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28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28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</row>
    <row r="673">
      <c r="A673" s="13"/>
      <c r="B673" s="13"/>
      <c r="C673" s="13"/>
      <c r="D673" s="13"/>
      <c r="E673" s="13"/>
      <c r="F673" s="13"/>
      <c r="G673" s="128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28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28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</row>
    <row r="674">
      <c r="A674" s="13"/>
      <c r="B674" s="13"/>
      <c r="C674" s="13"/>
      <c r="D674" s="13"/>
      <c r="E674" s="13"/>
      <c r="F674" s="13"/>
      <c r="G674" s="128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28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28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</row>
    <row r="675">
      <c r="A675" s="13"/>
      <c r="B675" s="13"/>
      <c r="C675" s="13"/>
      <c r="D675" s="13"/>
      <c r="E675" s="13"/>
      <c r="F675" s="13"/>
      <c r="G675" s="128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28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28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</row>
    <row r="676">
      <c r="A676" s="13"/>
      <c r="B676" s="13"/>
      <c r="C676" s="13"/>
      <c r="D676" s="13"/>
      <c r="E676" s="13"/>
      <c r="F676" s="13"/>
      <c r="G676" s="128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28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28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</row>
    <row r="677">
      <c r="A677" s="13"/>
      <c r="B677" s="13"/>
      <c r="C677" s="13"/>
      <c r="D677" s="13"/>
      <c r="E677" s="13"/>
      <c r="F677" s="13"/>
      <c r="G677" s="128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28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28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</row>
    <row r="678">
      <c r="A678" s="13"/>
      <c r="B678" s="13"/>
      <c r="C678" s="13"/>
      <c r="D678" s="13"/>
      <c r="E678" s="13"/>
      <c r="F678" s="13"/>
      <c r="G678" s="128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28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28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</row>
    <row r="679">
      <c r="A679" s="13"/>
      <c r="B679" s="13"/>
      <c r="C679" s="13"/>
      <c r="D679" s="13"/>
      <c r="E679" s="13"/>
      <c r="F679" s="13"/>
      <c r="G679" s="128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28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28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</row>
    <row r="680">
      <c r="A680" s="13"/>
      <c r="B680" s="13"/>
      <c r="C680" s="13"/>
      <c r="D680" s="13"/>
      <c r="E680" s="13"/>
      <c r="F680" s="13"/>
      <c r="G680" s="128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28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28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</row>
    <row r="681">
      <c r="A681" s="13"/>
      <c r="B681" s="13"/>
      <c r="C681" s="13"/>
      <c r="D681" s="13"/>
      <c r="E681" s="13"/>
      <c r="F681" s="13"/>
      <c r="G681" s="128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28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28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</row>
    <row r="682">
      <c r="A682" s="13"/>
      <c r="B682" s="13"/>
      <c r="C682" s="13"/>
      <c r="D682" s="13"/>
      <c r="E682" s="13"/>
      <c r="F682" s="13"/>
      <c r="G682" s="128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28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28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</row>
    <row r="683">
      <c r="A683" s="13"/>
      <c r="B683" s="13"/>
      <c r="C683" s="13"/>
      <c r="D683" s="13"/>
      <c r="E683" s="13"/>
      <c r="F683" s="13"/>
      <c r="G683" s="128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28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28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</row>
    <row r="684">
      <c r="A684" s="13"/>
      <c r="B684" s="13"/>
      <c r="C684" s="13"/>
      <c r="D684" s="13"/>
      <c r="E684" s="13"/>
      <c r="F684" s="13"/>
      <c r="G684" s="128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28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28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</row>
    <row r="685">
      <c r="A685" s="13"/>
      <c r="B685" s="13"/>
      <c r="C685" s="13"/>
      <c r="D685" s="13"/>
      <c r="E685" s="13"/>
      <c r="F685" s="13"/>
      <c r="G685" s="128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28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28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</row>
    <row r="686">
      <c r="A686" s="13"/>
      <c r="B686" s="13"/>
      <c r="C686" s="13"/>
      <c r="D686" s="13"/>
      <c r="E686" s="13"/>
      <c r="F686" s="13"/>
      <c r="G686" s="128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28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28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</row>
    <row r="687">
      <c r="A687" s="13"/>
      <c r="B687" s="13"/>
      <c r="C687" s="13"/>
      <c r="D687" s="13"/>
      <c r="E687" s="13"/>
      <c r="F687" s="13"/>
      <c r="G687" s="128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28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28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</row>
    <row r="688">
      <c r="A688" s="13"/>
      <c r="B688" s="13"/>
      <c r="C688" s="13"/>
      <c r="D688" s="13"/>
      <c r="E688" s="13"/>
      <c r="F688" s="13"/>
      <c r="G688" s="128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28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28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</row>
    <row r="689">
      <c r="A689" s="13"/>
      <c r="B689" s="13"/>
      <c r="C689" s="13"/>
      <c r="D689" s="13"/>
      <c r="E689" s="13"/>
      <c r="F689" s="13"/>
      <c r="G689" s="128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28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28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</row>
    <row r="690">
      <c r="A690" s="13"/>
      <c r="B690" s="13"/>
      <c r="C690" s="13"/>
      <c r="D690" s="13"/>
      <c r="E690" s="13"/>
      <c r="F690" s="13"/>
      <c r="G690" s="128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28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28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</row>
    <row r="691">
      <c r="A691" s="13"/>
      <c r="B691" s="13"/>
      <c r="C691" s="13"/>
      <c r="D691" s="13"/>
      <c r="E691" s="13"/>
      <c r="F691" s="13"/>
      <c r="G691" s="128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28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28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</row>
    <row r="692">
      <c r="A692" s="13"/>
      <c r="B692" s="13"/>
      <c r="C692" s="13"/>
      <c r="D692" s="13"/>
      <c r="E692" s="13"/>
      <c r="F692" s="13"/>
      <c r="G692" s="128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28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28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</row>
    <row r="693">
      <c r="A693" s="13"/>
      <c r="B693" s="13"/>
      <c r="C693" s="13"/>
      <c r="D693" s="13"/>
      <c r="E693" s="13"/>
      <c r="F693" s="13"/>
      <c r="G693" s="128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28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28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</row>
    <row r="694">
      <c r="A694" s="13"/>
      <c r="B694" s="13"/>
      <c r="C694" s="13"/>
      <c r="D694" s="13"/>
      <c r="E694" s="13"/>
      <c r="F694" s="13"/>
      <c r="G694" s="128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28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28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</row>
    <row r="695">
      <c r="A695" s="13"/>
      <c r="B695" s="13"/>
      <c r="C695" s="13"/>
      <c r="D695" s="13"/>
      <c r="E695" s="13"/>
      <c r="F695" s="13"/>
      <c r="G695" s="128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28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28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</row>
    <row r="696">
      <c r="A696" s="13"/>
      <c r="B696" s="13"/>
      <c r="C696" s="13"/>
      <c r="D696" s="13"/>
      <c r="E696" s="13"/>
      <c r="F696" s="13"/>
      <c r="G696" s="128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28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28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</row>
    <row r="697">
      <c r="A697" s="13"/>
      <c r="B697" s="13"/>
      <c r="C697" s="13"/>
      <c r="D697" s="13"/>
      <c r="E697" s="13"/>
      <c r="F697" s="13"/>
      <c r="G697" s="128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28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28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</row>
    <row r="698">
      <c r="A698" s="13"/>
      <c r="B698" s="13"/>
      <c r="C698" s="13"/>
      <c r="D698" s="13"/>
      <c r="E698" s="13"/>
      <c r="F698" s="13"/>
      <c r="G698" s="128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28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28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</row>
    <row r="699">
      <c r="A699" s="13"/>
      <c r="B699" s="13"/>
      <c r="C699" s="13"/>
      <c r="D699" s="13"/>
      <c r="E699" s="13"/>
      <c r="F699" s="13"/>
      <c r="G699" s="128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28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28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</row>
    <row r="700">
      <c r="A700" s="13"/>
      <c r="B700" s="13"/>
      <c r="C700" s="13"/>
      <c r="D700" s="13"/>
      <c r="E700" s="13"/>
      <c r="F700" s="13"/>
      <c r="G700" s="128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28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28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</row>
    <row r="701">
      <c r="A701" s="13"/>
      <c r="B701" s="13"/>
      <c r="C701" s="13"/>
      <c r="D701" s="13"/>
      <c r="E701" s="13"/>
      <c r="F701" s="13"/>
      <c r="G701" s="128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28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28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</row>
    <row r="702">
      <c r="A702" s="13"/>
      <c r="B702" s="13"/>
      <c r="C702" s="13"/>
      <c r="D702" s="13"/>
      <c r="E702" s="13"/>
      <c r="F702" s="13"/>
      <c r="G702" s="128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28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28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</row>
    <row r="703">
      <c r="A703" s="13"/>
      <c r="B703" s="13"/>
      <c r="C703" s="13"/>
      <c r="D703" s="13"/>
      <c r="E703" s="13"/>
      <c r="F703" s="13"/>
      <c r="G703" s="128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28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28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</row>
    <row r="704">
      <c r="A704" s="13"/>
      <c r="B704" s="13"/>
      <c r="C704" s="13"/>
      <c r="D704" s="13"/>
      <c r="E704" s="13"/>
      <c r="F704" s="13"/>
      <c r="G704" s="128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28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28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</row>
    <row r="705">
      <c r="A705" s="13"/>
      <c r="B705" s="13"/>
      <c r="C705" s="13"/>
      <c r="D705" s="13"/>
      <c r="E705" s="13"/>
      <c r="F705" s="13"/>
      <c r="G705" s="128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28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28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</row>
    <row r="706">
      <c r="A706" s="13"/>
      <c r="B706" s="13"/>
      <c r="C706" s="13"/>
      <c r="D706" s="13"/>
      <c r="E706" s="13"/>
      <c r="F706" s="13"/>
      <c r="G706" s="128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28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28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</row>
    <row r="707">
      <c r="A707" s="13"/>
      <c r="B707" s="13"/>
      <c r="C707" s="13"/>
      <c r="D707" s="13"/>
      <c r="E707" s="13"/>
      <c r="F707" s="13"/>
      <c r="G707" s="128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28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28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</row>
    <row r="708">
      <c r="A708" s="13"/>
      <c r="B708" s="13"/>
      <c r="C708" s="13"/>
      <c r="D708" s="13"/>
      <c r="E708" s="13"/>
      <c r="F708" s="13"/>
      <c r="G708" s="128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28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28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</row>
    <row r="709">
      <c r="A709" s="13"/>
      <c r="B709" s="13"/>
      <c r="C709" s="13"/>
      <c r="D709" s="13"/>
      <c r="E709" s="13"/>
      <c r="F709" s="13"/>
      <c r="G709" s="128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28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28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</row>
    <row r="710">
      <c r="A710" s="13"/>
      <c r="B710" s="13"/>
      <c r="C710" s="13"/>
      <c r="D710" s="13"/>
      <c r="E710" s="13"/>
      <c r="F710" s="13"/>
      <c r="G710" s="128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28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28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</row>
    <row r="711">
      <c r="A711" s="13"/>
      <c r="B711" s="13"/>
      <c r="C711" s="13"/>
      <c r="D711" s="13"/>
      <c r="E711" s="13"/>
      <c r="F711" s="13"/>
      <c r="G711" s="128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28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28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</row>
    <row r="712">
      <c r="A712" s="13"/>
      <c r="B712" s="13"/>
      <c r="C712" s="13"/>
      <c r="D712" s="13"/>
      <c r="E712" s="13"/>
      <c r="F712" s="13"/>
      <c r="G712" s="128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28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28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</row>
    <row r="713">
      <c r="A713" s="13"/>
      <c r="B713" s="13"/>
      <c r="C713" s="13"/>
      <c r="D713" s="13"/>
      <c r="E713" s="13"/>
      <c r="F713" s="13"/>
      <c r="G713" s="128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28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28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</row>
    <row r="714">
      <c r="A714" s="13"/>
      <c r="B714" s="13"/>
      <c r="C714" s="13"/>
      <c r="D714" s="13"/>
      <c r="E714" s="13"/>
      <c r="F714" s="13"/>
      <c r="G714" s="128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28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28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</row>
    <row r="715">
      <c r="A715" s="13"/>
      <c r="B715" s="13"/>
      <c r="C715" s="13"/>
      <c r="D715" s="13"/>
      <c r="E715" s="13"/>
      <c r="F715" s="13"/>
      <c r="G715" s="128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28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28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</row>
    <row r="716">
      <c r="A716" s="13"/>
      <c r="B716" s="13"/>
      <c r="C716" s="13"/>
      <c r="D716" s="13"/>
      <c r="E716" s="13"/>
      <c r="F716" s="13"/>
      <c r="G716" s="128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28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28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</row>
    <row r="717">
      <c r="A717" s="13"/>
      <c r="B717" s="13"/>
      <c r="C717" s="13"/>
      <c r="D717" s="13"/>
      <c r="E717" s="13"/>
      <c r="F717" s="13"/>
      <c r="G717" s="128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28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28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</row>
    <row r="718">
      <c r="A718" s="13"/>
      <c r="B718" s="13"/>
      <c r="C718" s="13"/>
      <c r="D718" s="13"/>
      <c r="E718" s="13"/>
      <c r="F718" s="13"/>
      <c r="G718" s="128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28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28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</row>
    <row r="719">
      <c r="A719" s="13"/>
      <c r="B719" s="13"/>
      <c r="C719" s="13"/>
      <c r="D719" s="13"/>
      <c r="E719" s="13"/>
      <c r="F719" s="13"/>
      <c r="G719" s="128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28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28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</row>
    <row r="720">
      <c r="A720" s="13"/>
      <c r="B720" s="13"/>
      <c r="C720" s="13"/>
      <c r="D720" s="13"/>
      <c r="E720" s="13"/>
      <c r="F720" s="13"/>
      <c r="G720" s="128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28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28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</row>
    <row r="721">
      <c r="A721" s="13"/>
      <c r="B721" s="13"/>
      <c r="C721" s="13"/>
      <c r="D721" s="13"/>
      <c r="E721" s="13"/>
      <c r="F721" s="13"/>
      <c r="G721" s="128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28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28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</row>
    <row r="722">
      <c r="A722" s="13"/>
      <c r="B722" s="13"/>
      <c r="C722" s="13"/>
      <c r="D722" s="13"/>
      <c r="E722" s="13"/>
      <c r="F722" s="13"/>
      <c r="G722" s="128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28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28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</row>
    <row r="723">
      <c r="A723" s="13"/>
      <c r="B723" s="13"/>
      <c r="C723" s="13"/>
      <c r="D723" s="13"/>
      <c r="E723" s="13"/>
      <c r="F723" s="13"/>
      <c r="G723" s="128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28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28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</row>
    <row r="724">
      <c r="A724" s="13"/>
      <c r="B724" s="13"/>
      <c r="C724" s="13"/>
      <c r="D724" s="13"/>
      <c r="E724" s="13"/>
      <c r="F724" s="13"/>
      <c r="G724" s="128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28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28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</row>
    <row r="725">
      <c r="A725" s="13"/>
      <c r="B725" s="13"/>
      <c r="C725" s="13"/>
      <c r="D725" s="13"/>
      <c r="E725" s="13"/>
      <c r="F725" s="13"/>
      <c r="G725" s="128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28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28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</row>
    <row r="726">
      <c r="A726" s="13"/>
      <c r="B726" s="13"/>
      <c r="C726" s="13"/>
      <c r="D726" s="13"/>
      <c r="E726" s="13"/>
      <c r="F726" s="13"/>
      <c r="G726" s="128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28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28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</row>
    <row r="727">
      <c r="A727" s="13"/>
      <c r="B727" s="13"/>
      <c r="C727" s="13"/>
      <c r="D727" s="13"/>
      <c r="E727" s="13"/>
      <c r="F727" s="13"/>
      <c r="G727" s="128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28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28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</row>
    <row r="728">
      <c r="A728" s="13"/>
      <c r="B728" s="13"/>
      <c r="C728" s="13"/>
      <c r="D728" s="13"/>
      <c r="E728" s="13"/>
      <c r="F728" s="13"/>
      <c r="G728" s="128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28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28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</row>
    <row r="729">
      <c r="A729" s="13"/>
      <c r="B729" s="13"/>
      <c r="C729" s="13"/>
      <c r="D729" s="13"/>
      <c r="E729" s="13"/>
      <c r="F729" s="13"/>
      <c r="G729" s="128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28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28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</row>
    <row r="730">
      <c r="A730" s="13"/>
      <c r="B730" s="13"/>
      <c r="C730" s="13"/>
      <c r="D730" s="13"/>
      <c r="E730" s="13"/>
      <c r="F730" s="13"/>
      <c r="G730" s="128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28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28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</row>
    <row r="731">
      <c r="A731" s="13"/>
      <c r="B731" s="13"/>
      <c r="C731" s="13"/>
      <c r="D731" s="13"/>
      <c r="E731" s="13"/>
      <c r="F731" s="13"/>
      <c r="G731" s="128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28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28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</row>
    <row r="732">
      <c r="A732" s="13"/>
      <c r="B732" s="13"/>
      <c r="C732" s="13"/>
      <c r="D732" s="13"/>
      <c r="E732" s="13"/>
      <c r="F732" s="13"/>
      <c r="G732" s="128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28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28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</row>
    <row r="733">
      <c r="A733" s="13"/>
      <c r="B733" s="13"/>
      <c r="C733" s="13"/>
      <c r="D733" s="13"/>
      <c r="E733" s="13"/>
      <c r="F733" s="13"/>
      <c r="G733" s="128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28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28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</row>
    <row r="734">
      <c r="A734" s="13"/>
      <c r="B734" s="13"/>
      <c r="C734" s="13"/>
      <c r="D734" s="13"/>
      <c r="E734" s="13"/>
      <c r="F734" s="13"/>
      <c r="G734" s="128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28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28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</row>
    <row r="735">
      <c r="A735" s="13"/>
      <c r="B735" s="13"/>
      <c r="C735" s="13"/>
      <c r="D735" s="13"/>
      <c r="E735" s="13"/>
      <c r="F735" s="13"/>
      <c r="G735" s="128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28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28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</row>
    <row r="736">
      <c r="A736" s="13"/>
      <c r="B736" s="13"/>
      <c r="C736" s="13"/>
      <c r="D736" s="13"/>
      <c r="E736" s="13"/>
      <c r="F736" s="13"/>
      <c r="G736" s="128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28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28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</row>
    <row r="737">
      <c r="A737" s="13"/>
      <c r="B737" s="13"/>
      <c r="C737" s="13"/>
      <c r="D737" s="13"/>
      <c r="E737" s="13"/>
      <c r="F737" s="13"/>
      <c r="G737" s="128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28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28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</row>
    <row r="738">
      <c r="A738" s="13"/>
      <c r="B738" s="13"/>
      <c r="C738" s="13"/>
      <c r="D738" s="13"/>
      <c r="E738" s="13"/>
      <c r="F738" s="13"/>
      <c r="G738" s="128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28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28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</row>
    <row r="739">
      <c r="A739" s="13"/>
      <c r="B739" s="13"/>
      <c r="C739" s="13"/>
      <c r="D739" s="13"/>
      <c r="E739" s="13"/>
      <c r="F739" s="13"/>
      <c r="G739" s="128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28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28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</row>
    <row r="740">
      <c r="A740" s="13"/>
      <c r="B740" s="13"/>
      <c r="C740" s="13"/>
      <c r="D740" s="13"/>
      <c r="E740" s="13"/>
      <c r="F740" s="13"/>
      <c r="G740" s="128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28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28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</row>
    <row r="741">
      <c r="A741" s="13"/>
      <c r="B741" s="13"/>
      <c r="C741" s="13"/>
      <c r="D741" s="13"/>
      <c r="E741" s="13"/>
      <c r="F741" s="13"/>
      <c r="G741" s="128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28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28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</row>
    <row r="742">
      <c r="A742" s="13"/>
      <c r="B742" s="13"/>
      <c r="C742" s="13"/>
      <c r="D742" s="13"/>
      <c r="E742" s="13"/>
      <c r="F742" s="13"/>
      <c r="G742" s="128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28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28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</row>
    <row r="743">
      <c r="A743" s="13"/>
      <c r="B743" s="13"/>
      <c r="C743" s="13"/>
      <c r="D743" s="13"/>
      <c r="E743" s="13"/>
      <c r="F743" s="13"/>
      <c r="G743" s="128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28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28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</row>
    <row r="744">
      <c r="A744" s="13"/>
      <c r="B744" s="13"/>
      <c r="C744" s="13"/>
      <c r="D744" s="13"/>
      <c r="E744" s="13"/>
      <c r="F744" s="13"/>
      <c r="G744" s="128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28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28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</row>
    <row r="745">
      <c r="A745" s="13"/>
      <c r="B745" s="13"/>
      <c r="C745" s="13"/>
      <c r="D745" s="13"/>
      <c r="E745" s="13"/>
      <c r="F745" s="13"/>
      <c r="G745" s="128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28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28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</row>
    <row r="746">
      <c r="A746" s="13"/>
      <c r="B746" s="13"/>
      <c r="C746" s="13"/>
      <c r="D746" s="13"/>
      <c r="E746" s="13"/>
      <c r="F746" s="13"/>
      <c r="G746" s="128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28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28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</row>
    <row r="747">
      <c r="A747" s="13"/>
      <c r="B747" s="13"/>
      <c r="C747" s="13"/>
      <c r="D747" s="13"/>
      <c r="E747" s="13"/>
      <c r="F747" s="13"/>
      <c r="G747" s="128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28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28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</row>
    <row r="748">
      <c r="A748" s="13"/>
      <c r="B748" s="13"/>
      <c r="C748" s="13"/>
      <c r="D748" s="13"/>
      <c r="E748" s="13"/>
      <c r="F748" s="13"/>
      <c r="G748" s="128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28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28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</row>
    <row r="749">
      <c r="A749" s="13"/>
      <c r="B749" s="13"/>
      <c r="C749" s="13"/>
      <c r="D749" s="13"/>
      <c r="E749" s="13"/>
      <c r="F749" s="13"/>
      <c r="G749" s="128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28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28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</row>
    <row r="750">
      <c r="A750" s="13"/>
      <c r="B750" s="13"/>
      <c r="C750" s="13"/>
      <c r="D750" s="13"/>
      <c r="E750" s="13"/>
      <c r="F750" s="13"/>
      <c r="G750" s="128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28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28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</row>
    <row r="751">
      <c r="A751" s="13"/>
      <c r="B751" s="13"/>
      <c r="C751" s="13"/>
      <c r="D751" s="13"/>
      <c r="E751" s="13"/>
      <c r="F751" s="13"/>
      <c r="G751" s="128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28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28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</row>
    <row r="752">
      <c r="A752" s="13"/>
      <c r="B752" s="13"/>
      <c r="C752" s="13"/>
      <c r="D752" s="13"/>
      <c r="E752" s="13"/>
      <c r="F752" s="13"/>
      <c r="G752" s="128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28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28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</row>
    <row r="753">
      <c r="A753" s="13"/>
      <c r="B753" s="13"/>
      <c r="C753" s="13"/>
      <c r="D753" s="13"/>
      <c r="E753" s="13"/>
      <c r="F753" s="13"/>
      <c r="G753" s="128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28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28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</row>
    <row r="754">
      <c r="A754" s="13"/>
      <c r="B754" s="13"/>
      <c r="C754" s="13"/>
      <c r="D754" s="13"/>
      <c r="E754" s="13"/>
      <c r="F754" s="13"/>
      <c r="G754" s="128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28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28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</row>
    <row r="755">
      <c r="A755" s="13"/>
      <c r="B755" s="13"/>
      <c r="C755" s="13"/>
      <c r="D755" s="13"/>
      <c r="E755" s="13"/>
      <c r="F755" s="13"/>
      <c r="G755" s="128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28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28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</row>
    <row r="756">
      <c r="A756" s="13"/>
      <c r="B756" s="13"/>
      <c r="C756" s="13"/>
      <c r="D756" s="13"/>
      <c r="E756" s="13"/>
      <c r="F756" s="13"/>
      <c r="G756" s="128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28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28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</row>
    <row r="757">
      <c r="A757" s="13"/>
      <c r="B757" s="13"/>
      <c r="C757" s="13"/>
      <c r="D757" s="13"/>
      <c r="E757" s="13"/>
      <c r="F757" s="13"/>
      <c r="G757" s="128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28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28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</row>
    <row r="758">
      <c r="A758" s="13"/>
      <c r="B758" s="13"/>
      <c r="C758" s="13"/>
      <c r="D758" s="13"/>
      <c r="E758" s="13"/>
      <c r="F758" s="13"/>
      <c r="G758" s="128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28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28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</row>
    <row r="759">
      <c r="A759" s="13"/>
      <c r="B759" s="13"/>
      <c r="C759" s="13"/>
      <c r="D759" s="13"/>
      <c r="E759" s="13"/>
      <c r="F759" s="13"/>
      <c r="G759" s="128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28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28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</row>
    <row r="760">
      <c r="A760" s="13"/>
      <c r="B760" s="13"/>
      <c r="C760" s="13"/>
      <c r="D760" s="13"/>
      <c r="E760" s="13"/>
      <c r="F760" s="13"/>
      <c r="G760" s="128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28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28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</row>
    <row r="761">
      <c r="A761" s="13"/>
      <c r="B761" s="13"/>
      <c r="C761" s="13"/>
      <c r="D761" s="13"/>
      <c r="E761" s="13"/>
      <c r="F761" s="13"/>
      <c r="G761" s="128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28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28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</row>
    <row r="762">
      <c r="A762" s="13"/>
      <c r="B762" s="13"/>
      <c r="C762" s="13"/>
      <c r="D762" s="13"/>
      <c r="E762" s="13"/>
      <c r="F762" s="13"/>
      <c r="G762" s="128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28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28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</row>
    <row r="763">
      <c r="A763" s="13"/>
      <c r="B763" s="13"/>
      <c r="C763" s="13"/>
      <c r="D763" s="13"/>
      <c r="E763" s="13"/>
      <c r="F763" s="13"/>
      <c r="G763" s="128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28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28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</row>
    <row r="764">
      <c r="A764" s="13"/>
      <c r="B764" s="13"/>
      <c r="C764" s="13"/>
      <c r="D764" s="13"/>
      <c r="E764" s="13"/>
      <c r="F764" s="13"/>
      <c r="G764" s="128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28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28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</row>
    <row r="765">
      <c r="A765" s="13"/>
      <c r="B765" s="13"/>
      <c r="C765" s="13"/>
      <c r="D765" s="13"/>
      <c r="E765" s="13"/>
      <c r="F765" s="13"/>
      <c r="G765" s="128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28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28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</row>
    <row r="766">
      <c r="A766" s="13"/>
      <c r="B766" s="13"/>
      <c r="C766" s="13"/>
      <c r="D766" s="13"/>
      <c r="E766" s="13"/>
      <c r="F766" s="13"/>
      <c r="G766" s="128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28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28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</row>
    <row r="767">
      <c r="A767" s="13"/>
      <c r="B767" s="13"/>
      <c r="C767" s="13"/>
      <c r="D767" s="13"/>
      <c r="E767" s="13"/>
      <c r="F767" s="13"/>
      <c r="G767" s="128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28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28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</row>
    <row r="768">
      <c r="A768" s="13"/>
      <c r="B768" s="13"/>
      <c r="C768" s="13"/>
      <c r="D768" s="13"/>
      <c r="E768" s="13"/>
      <c r="F768" s="13"/>
      <c r="G768" s="128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28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28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</row>
    <row r="769">
      <c r="A769" s="13"/>
      <c r="B769" s="13"/>
      <c r="C769" s="13"/>
      <c r="D769" s="13"/>
      <c r="E769" s="13"/>
      <c r="F769" s="13"/>
      <c r="G769" s="128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28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28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</row>
    <row r="770">
      <c r="A770" s="13"/>
      <c r="B770" s="13"/>
      <c r="C770" s="13"/>
      <c r="D770" s="13"/>
      <c r="E770" s="13"/>
      <c r="F770" s="13"/>
      <c r="G770" s="128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28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28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</row>
    <row r="771">
      <c r="A771" s="13"/>
      <c r="B771" s="13"/>
      <c r="C771" s="13"/>
      <c r="D771" s="13"/>
      <c r="E771" s="13"/>
      <c r="F771" s="13"/>
      <c r="G771" s="128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28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28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</row>
    <row r="772">
      <c r="A772" s="13"/>
      <c r="B772" s="13"/>
      <c r="C772" s="13"/>
      <c r="D772" s="13"/>
      <c r="E772" s="13"/>
      <c r="F772" s="13"/>
      <c r="G772" s="128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28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28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</row>
    <row r="773">
      <c r="A773" s="13"/>
      <c r="B773" s="13"/>
      <c r="C773" s="13"/>
      <c r="D773" s="13"/>
      <c r="E773" s="13"/>
      <c r="F773" s="13"/>
      <c r="G773" s="128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28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28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</row>
    <row r="774">
      <c r="A774" s="13"/>
      <c r="B774" s="13"/>
      <c r="C774" s="13"/>
      <c r="D774" s="13"/>
      <c r="E774" s="13"/>
      <c r="F774" s="13"/>
      <c r="G774" s="128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28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28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</row>
    <row r="775">
      <c r="A775" s="13"/>
      <c r="B775" s="13"/>
      <c r="C775" s="13"/>
      <c r="D775" s="13"/>
      <c r="E775" s="13"/>
      <c r="F775" s="13"/>
      <c r="G775" s="128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28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28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</row>
    <row r="776">
      <c r="A776" s="13"/>
      <c r="B776" s="13"/>
      <c r="C776" s="13"/>
      <c r="D776" s="13"/>
      <c r="E776" s="13"/>
      <c r="F776" s="13"/>
      <c r="G776" s="128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28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28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</row>
    <row r="777">
      <c r="A777" s="13"/>
      <c r="B777" s="13"/>
      <c r="C777" s="13"/>
      <c r="D777" s="13"/>
      <c r="E777" s="13"/>
      <c r="F777" s="13"/>
      <c r="G777" s="128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28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28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</row>
    <row r="778">
      <c r="A778" s="13"/>
      <c r="B778" s="13"/>
      <c r="C778" s="13"/>
      <c r="D778" s="13"/>
      <c r="E778" s="13"/>
      <c r="F778" s="13"/>
      <c r="G778" s="128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28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28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</row>
    <row r="779">
      <c r="A779" s="13"/>
      <c r="B779" s="13"/>
      <c r="C779" s="13"/>
      <c r="D779" s="13"/>
      <c r="E779" s="13"/>
      <c r="F779" s="13"/>
      <c r="G779" s="128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28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28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</row>
    <row r="780">
      <c r="A780" s="13"/>
      <c r="B780" s="13"/>
      <c r="C780" s="13"/>
      <c r="D780" s="13"/>
      <c r="E780" s="13"/>
      <c r="F780" s="13"/>
      <c r="G780" s="128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28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28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</row>
    <row r="781">
      <c r="A781" s="13"/>
      <c r="B781" s="13"/>
      <c r="C781" s="13"/>
      <c r="D781" s="13"/>
      <c r="E781" s="13"/>
      <c r="F781" s="13"/>
      <c r="G781" s="128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28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28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</row>
    <row r="782">
      <c r="A782" s="13"/>
      <c r="B782" s="13"/>
      <c r="C782" s="13"/>
      <c r="D782" s="13"/>
      <c r="E782" s="13"/>
      <c r="F782" s="13"/>
      <c r="G782" s="128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28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28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</row>
    <row r="783">
      <c r="A783" s="13"/>
      <c r="B783" s="13"/>
      <c r="C783" s="13"/>
      <c r="D783" s="13"/>
      <c r="E783" s="13"/>
      <c r="F783" s="13"/>
      <c r="G783" s="128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28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28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</row>
    <row r="784">
      <c r="A784" s="13"/>
      <c r="B784" s="13"/>
      <c r="C784" s="13"/>
      <c r="D784" s="13"/>
      <c r="E784" s="13"/>
      <c r="F784" s="13"/>
      <c r="G784" s="128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28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28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</row>
    <row r="785">
      <c r="A785" s="13"/>
      <c r="B785" s="13"/>
      <c r="C785" s="13"/>
      <c r="D785" s="13"/>
      <c r="E785" s="13"/>
      <c r="F785" s="13"/>
      <c r="G785" s="128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28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28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</row>
    <row r="786">
      <c r="A786" s="13"/>
      <c r="B786" s="13"/>
      <c r="C786" s="13"/>
      <c r="D786" s="13"/>
      <c r="E786" s="13"/>
      <c r="F786" s="13"/>
      <c r="G786" s="128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28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28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</row>
    <row r="787">
      <c r="A787" s="13"/>
      <c r="B787" s="13"/>
      <c r="C787" s="13"/>
      <c r="D787" s="13"/>
      <c r="E787" s="13"/>
      <c r="F787" s="13"/>
      <c r="G787" s="128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28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28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</row>
    <row r="788">
      <c r="A788" s="13"/>
      <c r="B788" s="13"/>
      <c r="C788" s="13"/>
      <c r="D788" s="13"/>
      <c r="E788" s="13"/>
      <c r="F788" s="13"/>
      <c r="G788" s="128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28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28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</row>
    <row r="789">
      <c r="A789" s="13"/>
      <c r="B789" s="13"/>
      <c r="C789" s="13"/>
      <c r="D789" s="13"/>
      <c r="E789" s="13"/>
      <c r="F789" s="13"/>
      <c r="G789" s="128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28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28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</row>
    <row r="790">
      <c r="A790" s="13"/>
      <c r="B790" s="13"/>
      <c r="C790" s="13"/>
      <c r="D790" s="13"/>
      <c r="E790" s="13"/>
      <c r="F790" s="13"/>
      <c r="G790" s="128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28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28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</row>
    <row r="791">
      <c r="A791" s="13"/>
      <c r="B791" s="13"/>
      <c r="C791" s="13"/>
      <c r="D791" s="13"/>
      <c r="E791" s="13"/>
      <c r="F791" s="13"/>
      <c r="G791" s="128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28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28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</row>
    <row r="792">
      <c r="A792" s="13"/>
      <c r="B792" s="13"/>
      <c r="C792" s="13"/>
      <c r="D792" s="13"/>
      <c r="E792" s="13"/>
      <c r="F792" s="13"/>
      <c r="G792" s="128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28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28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</row>
    <row r="793">
      <c r="A793" s="13"/>
      <c r="B793" s="13"/>
      <c r="C793" s="13"/>
      <c r="D793" s="13"/>
      <c r="E793" s="13"/>
      <c r="F793" s="13"/>
      <c r="G793" s="128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28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28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</row>
    <row r="794">
      <c r="A794" s="13"/>
      <c r="B794" s="13"/>
      <c r="C794" s="13"/>
      <c r="D794" s="13"/>
      <c r="E794" s="13"/>
      <c r="F794" s="13"/>
      <c r="G794" s="128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28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28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</row>
    <row r="795">
      <c r="A795" s="13"/>
      <c r="B795" s="13"/>
      <c r="C795" s="13"/>
      <c r="D795" s="13"/>
      <c r="E795" s="13"/>
      <c r="F795" s="13"/>
      <c r="G795" s="128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28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28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</row>
    <row r="796">
      <c r="A796" s="13"/>
      <c r="B796" s="13"/>
      <c r="C796" s="13"/>
      <c r="D796" s="13"/>
      <c r="E796" s="13"/>
      <c r="F796" s="13"/>
      <c r="G796" s="128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28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28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</row>
    <row r="797">
      <c r="A797" s="13"/>
      <c r="B797" s="13"/>
      <c r="C797" s="13"/>
      <c r="D797" s="13"/>
      <c r="E797" s="13"/>
      <c r="F797" s="13"/>
      <c r="G797" s="128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28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28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</row>
    <row r="798">
      <c r="A798" s="13"/>
      <c r="B798" s="13"/>
      <c r="C798" s="13"/>
      <c r="D798" s="13"/>
      <c r="E798" s="13"/>
      <c r="F798" s="13"/>
      <c r="G798" s="128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28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28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</row>
    <row r="799">
      <c r="A799" s="13"/>
      <c r="B799" s="13"/>
      <c r="C799" s="13"/>
      <c r="D799" s="13"/>
      <c r="E799" s="13"/>
      <c r="F799" s="13"/>
      <c r="G799" s="128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28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28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</row>
    <row r="800">
      <c r="A800" s="13"/>
      <c r="B800" s="13"/>
      <c r="C800" s="13"/>
      <c r="D800" s="13"/>
      <c r="E800" s="13"/>
      <c r="F800" s="13"/>
      <c r="G800" s="128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28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28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</row>
    <row r="801">
      <c r="A801" s="13"/>
      <c r="B801" s="13"/>
      <c r="C801" s="13"/>
      <c r="D801" s="13"/>
      <c r="E801" s="13"/>
      <c r="F801" s="13"/>
      <c r="G801" s="128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28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28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</row>
    <row r="802">
      <c r="A802" s="13"/>
      <c r="B802" s="13"/>
      <c r="C802" s="13"/>
      <c r="D802" s="13"/>
      <c r="E802" s="13"/>
      <c r="F802" s="13"/>
      <c r="G802" s="128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28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28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</row>
    <row r="803">
      <c r="A803" s="13"/>
      <c r="B803" s="13"/>
      <c r="C803" s="13"/>
      <c r="D803" s="13"/>
      <c r="E803" s="13"/>
      <c r="F803" s="13"/>
      <c r="G803" s="128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28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28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</row>
    <row r="804">
      <c r="A804" s="13"/>
      <c r="B804" s="13"/>
      <c r="C804" s="13"/>
      <c r="D804" s="13"/>
      <c r="E804" s="13"/>
      <c r="F804" s="13"/>
      <c r="G804" s="128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28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28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</row>
    <row r="805">
      <c r="A805" s="13"/>
      <c r="B805" s="13"/>
      <c r="C805" s="13"/>
      <c r="D805" s="13"/>
      <c r="E805" s="13"/>
      <c r="F805" s="13"/>
      <c r="G805" s="128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28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28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</row>
    <row r="806">
      <c r="A806" s="13"/>
      <c r="B806" s="13"/>
      <c r="C806" s="13"/>
      <c r="D806" s="13"/>
      <c r="E806" s="13"/>
      <c r="F806" s="13"/>
      <c r="G806" s="128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28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28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</row>
    <row r="807">
      <c r="A807" s="13"/>
      <c r="B807" s="13"/>
      <c r="C807" s="13"/>
      <c r="D807" s="13"/>
      <c r="E807" s="13"/>
      <c r="F807" s="13"/>
      <c r="G807" s="128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28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28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</row>
    <row r="808">
      <c r="A808" s="13"/>
      <c r="B808" s="13"/>
      <c r="C808" s="13"/>
      <c r="D808" s="13"/>
      <c r="E808" s="13"/>
      <c r="F808" s="13"/>
      <c r="G808" s="128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28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28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</row>
    <row r="809">
      <c r="A809" s="13"/>
      <c r="B809" s="13"/>
      <c r="C809" s="13"/>
      <c r="D809" s="13"/>
      <c r="E809" s="13"/>
      <c r="F809" s="13"/>
      <c r="G809" s="128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28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28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</row>
    <row r="810">
      <c r="A810" s="13"/>
      <c r="B810" s="13"/>
      <c r="C810" s="13"/>
      <c r="D810" s="13"/>
      <c r="E810" s="13"/>
      <c r="F810" s="13"/>
      <c r="G810" s="128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28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28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</row>
    <row r="811">
      <c r="A811" s="13"/>
      <c r="B811" s="13"/>
      <c r="C811" s="13"/>
      <c r="D811" s="13"/>
      <c r="E811" s="13"/>
      <c r="F811" s="13"/>
      <c r="G811" s="128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28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28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</row>
    <row r="812">
      <c r="A812" s="13"/>
      <c r="B812" s="13"/>
      <c r="C812" s="13"/>
      <c r="D812" s="13"/>
      <c r="E812" s="13"/>
      <c r="F812" s="13"/>
      <c r="G812" s="128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28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28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</row>
    <row r="813">
      <c r="A813" s="13"/>
      <c r="B813" s="13"/>
      <c r="C813" s="13"/>
      <c r="D813" s="13"/>
      <c r="E813" s="13"/>
      <c r="F813" s="13"/>
      <c r="G813" s="128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28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28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</row>
    <row r="814">
      <c r="A814" s="13"/>
      <c r="B814" s="13"/>
      <c r="C814" s="13"/>
      <c r="D814" s="13"/>
      <c r="E814" s="13"/>
      <c r="F814" s="13"/>
      <c r="G814" s="128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28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28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</row>
    <row r="815">
      <c r="A815" s="13"/>
      <c r="B815" s="13"/>
      <c r="C815" s="13"/>
      <c r="D815" s="13"/>
      <c r="E815" s="13"/>
      <c r="F815" s="13"/>
      <c r="G815" s="128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28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28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</row>
    <row r="816">
      <c r="A816" s="13"/>
      <c r="B816" s="13"/>
      <c r="C816" s="13"/>
      <c r="D816" s="13"/>
      <c r="E816" s="13"/>
      <c r="F816" s="13"/>
      <c r="G816" s="128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28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28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</row>
    <row r="817">
      <c r="A817" s="13"/>
      <c r="B817" s="13"/>
      <c r="C817" s="13"/>
      <c r="D817" s="13"/>
      <c r="E817" s="13"/>
      <c r="F817" s="13"/>
      <c r="G817" s="128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28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28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</row>
    <row r="818">
      <c r="A818" s="13"/>
      <c r="B818" s="13"/>
      <c r="C818" s="13"/>
      <c r="D818" s="13"/>
      <c r="E818" s="13"/>
      <c r="F818" s="13"/>
      <c r="G818" s="128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28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28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</row>
    <row r="819">
      <c r="A819" s="13"/>
      <c r="B819" s="13"/>
      <c r="C819" s="13"/>
      <c r="D819" s="13"/>
      <c r="E819" s="13"/>
      <c r="F819" s="13"/>
      <c r="G819" s="128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28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28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</row>
    <row r="820">
      <c r="A820" s="13"/>
      <c r="B820" s="13"/>
      <c r="C820" s="13"/>
      <c r="D820" s="13"/>
      <c r="E820" s="13"/>
      <c r="F820" s="13"/>
      <c r="G820" s="128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28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28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</row>
    <row r="821">
      <c r="A821" s="13"/>
      <c r="B821" s="13"/>
      <c r="C821" s="13"/>
      <c r="D821" s="13"/>
      <c r="E821" s="13"/>
      <c r="F821" s="13"/>
      <c r="G821" s="128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28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28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</row>
    <row r="822">
      <c r="A822" s="13"/>
      <c r="B822" s="13"/>
      <c r="C822" s="13"/>
      <c r="D822" s="13"/>
      <c r="E822" s="13"/>
      <c r="F822" s="13"/>
      <c r="G822" s="128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28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28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</row>
    <row r="823">
      <c r="A823" s="13"/>
      <c r="B823" s="13"/>
      <c r="C823" s="13"/>
      <c r="D823" s="13"/>
      <c r="E823" s="13"/>
      <c r="F823" s="13"/>
      <c r="G823" s="128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28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28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</row>
    <row r="824">
      <c r="A824" s="13"/>
      <c r="B824" s="13"/>
      <c r="C824" s="13"/>
      <c r="D824" s="13"/>
      <c r="E824" s="13"/>
      <c r="F824" s="13"/>
      <c r="G824" s="128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28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28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</row>
    <row r="825">
      <c r="A825" s="13"/>
      <c r="B825" s="13"/>
      <c r="C825" s="13"/>
      <c r="D825" s="13"/>
      <c r="E825" s="13"/>
      <c r="F825" s="13"/>
      <c r="G825" s="128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28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28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</row>
    <row r="826">
      <c r="A826" s="13"/>
      <c r="B826" s="13"/>
      <c r="C826" s="13"/>
      <c r="D826" s="13"/>
      <c r="E826" s="13"/>
      <c r="F826" s="13"/>
      <c r="G826" s="128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28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28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</row>
    <row r="827">
      <c r="A827" s="13"/>
      <c r="B827" s="13"/>
      <c r="C827" s="13"/>
      <c r="D827" s="13"/>
      <c r="E827" s="13"/>
      <c r="F827" s="13"/>
      <c r="G827" s="128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28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28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</row>
    <row r="828">
      <c r="A828" s="13"/>
      <c r="B828" s="13"/>
      <c r="C828" s="13"/>
      <c r="D828" s="13"/>
      <c r="E828" s="13"/>
      <c r="F828" s="13"/>
      <c r="G828" s="128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28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28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</row>
    <row r="829">
      <c r="A829" s="13"/>
      <c r="B829" s="13"/>
      <c r="C829" s="13"/>
      <c r="D829" s="13"/>
      <c r="E829" s="13"/>
      <c r="F829" s="13"/>
      <c r="G829" s="128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28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28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</row>
    <row r="830">
      <c r="A830" s="13"/>
      <c r="B830" s="13"/>
      <c r="C830" s="13"/>
      <c r="D830" s="13"/>
      <c r="E830" s="13"/>
      <c r="F830" s="13"/>
      <c r="G830" s="128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28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28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</row>
    <row r="831">
      <c r="A831" s="13"/>
      <c r="B831" s="13"/>
      <c r="C831" s="13"/>
      <c r="D831" s="13"/>
      <c r="E831" s="13"/>
      <c r="F831" s="13"/>
      <c r="G831" s="128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28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28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</row>
    <row r="832">
      <c r="A832" s="13"/>
      <c r="B832" s="13"/>
      <c r="C832" s="13"/>
      <c r="D832" s="13"/>
      <c r="E832" s="13"/>
      <c r="F832" s="13"/>
      <c r="G832" s="128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28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28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</row>
    <row r="833">
      <c r="A833" s="13"/>
      <c r="B833" s="13"/>
      <c r="C833" s="13"/>
      <c r="D833" s="13"/>
      <c r="E833" s="13"/>
      <c r="F833" s="13"/>
      <c r="G833" s="128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28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28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</row>
    <row r="834">
      <c r="A834" s="13"/>
      <c r="B834" s="13"/>
      <c r="C834" s="13"/>
      <c r="D834" s="13"/>
      <c r="E834" s="13"/>
      <c r="F834" s="13"/>
      <c r="G834" s="128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28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28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</row>
    <row r="835">
      <c r="A835" s="13"/>
      <c r="B835" s="13"/>
      <c r="C835" s="13"/>
      <c r="D835" s="13"/>
      <c r="E835" s="13"/>
      <c r="F835" s="13"/>
      <c r="G835" s="128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28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28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</row>
    <row r="836">
      <c r="A836" s="13"/>
      <c r="B836" s="13"/>
      <c r="C836" s="13"/>
      <c r="D836" s="13"/>
      <c r="E836" s="13"/>
      <c r="F836" s="13"/>
      <c r="G836" s="128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28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28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</row>
    <row r="837">
      <c r="A837" s="13"/>
      <c r="B837" s="13"/>
      <c r="C837" s="13"/>
      <c r="D837" s="13"/>
      <c r="E837" s="13"/>
      <c r="F837" s="13"/>
      <c r="G837" s="128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28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28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</row>
    <row r="838">
      <c r="A838" s="13"/>
      <c r="B838" s="13"/>
      <c r="C838" s="13"/>
      <c r="D838" s="13"/>
      <c r="E838" s="13"/>
      <c r="F838" s="13"/>
      <c r="G838" s="128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28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28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</row>
    <row r="839">
      <c r="A839" s="13"/>
      <c r="B839" s="13"/>
      <c r="C839" s="13"/>
      <c r="D839" s="13"/>
      <c r="E839" s="13"/>
      <c r="F839" s="13"/>
      <c r="G839" s="128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28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28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</row>
    <row r="840">
      <c r="A840" s="13"/>
      <c r="B840" s="13"/>
      <c r="C840" s="13"/>
      <c r="D840" s="13"/>
      <c r="E840" s="13"/>
      <c r="F840" s="13"/>
      <c r="G840" s="128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28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28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</row>
    <row r="841">
      <c r="A841" s="13"/>
      <c r="B841" s="13"/>
      <c r="C841" s="13"/>
      <c r="D841" s="13"/>
      <c r="E841" s="13"/>
      <c r="F841" s="13"/>
      <c r="G841" s="128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28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28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</row>
    <row r="842">
      <c r="A842" s="13"/>
      <c r="B842" s="13"/>
      <c r="C842" s="13"/>
      <c r="D842" s="13"/>
      <c r="E842" s="13"/>
      <c r="F842" s="13"/>
      <c r="G842" s="128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28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28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</row>
    <row r="843">
      <c r="A843" s="13"/>
      <c r="B843" s="13"/>
      <c r="C843" s="13"/>
      <c r="D843" s="13"/>
      <c r="E843" s="13"/>
      <c r="F843" s="13"/>
      <c r="G843" s="128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28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28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</row>
    <row r="844">
      <c r="A844" s="13"/>
      <c r="B844" s="13"/>
      <c r="C844" s="13"/>
      <c r="D844" s="13"/>
      <c r="E844" s="13"/>
      <c r="F844" s="13"/>
      <c r="G844" s="128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28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28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</row>
    <row r="845">
      <c r="A845" s="13"/>
      <c r="B845" s="13"/>
      <c r="C845" s="13"/>
      <c r="D845" s="13"/>
      <c r="E845" s="13"/>
      <c r="F845" s="13"/>
      <c r="G845" s="128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28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28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</row>
    <row r="846">
      <c r="A846" s="13"/>
      <c r="B846" s="13"/>
      <c r="C846" s="13"/>
      <c r="D846" s="13"/>
      <c r="E846" s="13"/>
      <c r="F846" s="13"/>
      <c r="G846" s="128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28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28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</row>
    <row r="847">
      <c r="A847" s="13"/>
      <c r="B847" s="13"/>
      <c r="C847" s="13"/>
      <c r="D847" s="13"/>
      <c r="E847" s="13"/>
      <c r="F847" s="13"/>
      <c r="G847" s="128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28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28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</row>
    <row r="848">
      <c r="A848" s="13"/>
      <c r="B848" s="13"/>
      <c r="C848" s="13"/>
      <c r="D848" s="13"/>
      <c r="E848" s="13"/>
      <c r="F848" s="13"/>
      <c r="G848" s="128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28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28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</row>
    <row r="849">
      <c r="A849" s="13"/>
      <c r="B849" s="13"/>
      <c r="C849" s="13"/>
      <c r="D849" s="13"/>
      <c r="E849" s="13"/>
      <c r="F849" s="13"/>
      <c r="G849" s="128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28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28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</row>
    <row r="850">
      <c r="A850" s="13"/>
      <c r="B850" s="13"/>
      <c r="C850" s="13"/>
      <c r="D850" s="13"/>
      <c r="E850" s="13"/>
      <c r="F850" s="13"/>
      <c r="G850" s="128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28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28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</row>
    <row r="851">
      <c r="A851" s="13"/>
      <c r="B851" s="13"/>
      <c r="C851" s="13"/>
      <c r="D851" s="13"/>
      <c r="E851" s="13"/>
      <c r="F851" s="13"/>
      <c r="G851" s="128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28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28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</row>
    <row r="852">
      <c r="A852" s="13"/>
      <c r="B852" s="13"/>
      <c r="C852" s="13"/>
      <c r="D852" s="13"/>
      <c r="E852" s="13"/>
      <c r="F852" s="13"/>
      <c r="G852" s="128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28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28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</row>
    <row r="853">
      <c r="A853" s="13"/>
      <c r="B853" s="13"/>
      <c r="C853" s="13"/>
      <c r="D853" s="13"/>
      <c r="E853" s="13"/>
      <c r="F853" s="13"/>
      <c r="G853" s="128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28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28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</row>
    <row r="854">
      <c r="A854" s="13"/>
      <c r="B854" s="13"/>
      <c r="C854" s="13"/>
      <c r="D854" s="13"/>
      <c r="E854" s="13"/>
      <c r="F854" s="13"/>
      <c r="G854" s="128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28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28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</row>
    <row r="855">
      <c r="A855" s="13"/>
      <c r="B855" s="13"/>
      <c r="C855" s="13"/>
      <c r="D855" s="13"/>
      <c r="E855" s="13"/>
      <c r="F855" s="13"/>
      <c r="G855" s="128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28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28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</row>
    <row r="856">
      <c r="A856" s="13"/>
      <c r="B856" s="13"/>
      <c r="C856" s="13"/>
      <c r="D856" s="13"/>
      <c r="E856" s="13"/>
      <c r="F856" s="13"/>
      <c r="G856" s="128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28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28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</row>
    <row r="857">
      <c r="A857" s="13"/>
      <c r="B857" s="13"/>
      <c r="C857" s="13"/>
      <c r="D857" s="13"/>
      <c r="E857" s="13"/>
      <c r="F857" s="13"/>
      <c r="G857" s="128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28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28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</row>
    <row r="858">
      <c r="A858" s="13"/>
      <c r="B858" s="13"/>
      <c r="C858" s="13"/>
      <c r="D858" s="13"/>
      <c r="E858" s="13"/>
      <c r="F858" s="13"/>
      <c r="G858" s="128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28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28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</row>
    <row r="859">
      <c r="A859" s="13"/>
      <c r="B859" s="13"/>
      <c r="C859" s="13"/>
      <c r="D859" s="13"/>
      <c r="E859" s="13"/>
      <c r="F859" s="13"/>
      <c r="G859" s="128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28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28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</row>
    <row r="860">
      <c r="A860" s="13"/>
      <c r="B860" s="13"/>
      <c r="C860" s="13"/>
      <c r="D860" s="13"/>
      <c r="E860" s="13"/>
      <c r="F860" s="13"/>
      <c r="G860" s="128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28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28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</row>
    <row r="861">
      <c r="A861" s="13"/>
      <c r="B861" s="13"/>
      <c r="C861" s="13"/>
      <c r="D861" s="13"/>
      <c r="E861" s="13"/>
      <c r="F861" s="13"/>
      <c r="G861" s="128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28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28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</row>
    <row r="862">
      <c r="A862" s="13"/>
      <c r="B862" s="13"/>
      <c r="C862" s="13"/>
      <c r="D862" s="13"/>
      <c r="E862" s="13"/>
      <c r="F862" s="13"/>
      <c r="G862" s="128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28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28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</row>
    <row r="863">
      <c r="A863" s="13"/>
      <c r="B863" s="13"/>
      <c r="C863" s="13"/>
      <c r="D863" s="13"/>
      <c r="E863" s="13"/>
      <c r="F863" s="13"/>
      <c r="G863" s="128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28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28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</row>
    <row r="864">
      <c r="A864" s="13"/>
      <c r="B864" s="13"/>
      <c r="C864" s="13"/>
      <c r="D864" s="13"/>
      <c r="E864" s="13"/>
      <c r="F864" s="13"/>
      <c r="G864" s="128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28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28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</row>
    <row r="865">
      <c r="A865" s="13"/>
      <c r="B865" s="13"/>
      <c r="C865" s="13"/>
      <c r="D865" s="13"/>
      <c r="E865" s="13"/>
      <c r="F865" s="13"/>
      <c r="G865" s="128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28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28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</row>
    <row r="866">
      <c r="A866" s="13"/>
      <c r="B866" s="13"/>
      <c r="C866" s="13"/>
      <c r="D866" s="13"/>
      <c r="E866" s="13"/>
      <c r="F866" s="13"/>
      <c r="G866" s="128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28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28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</row>
    <row r="867">
      <c r="A867" s="13"/>
      <c r="B867" s="13"/>
      <c r="C867" s="13"/>
      <c r="D867" s="13"/>
      <c r="E867" s="13"/>
      <c r="F867" s="13"/>
      <c r="G867" s="128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28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28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</row>
    <row r="868">
      <c r="A868" s="13"/>
      <c r="B868" s="13"/>
      <c r="C868" s="13"/>
      <c r="D868" s="13"/>
      <c r="E868" s="13"/>
      <c r="F868" s="13"/>
      <c r="G868" s="128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28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28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</row>
    <row r="869">
      <c r="A869" s="13"/>
      <c r="B869" s="13"/>
      <c r="C869" s="13"/>
      <c r="D869" s="13"/>
      <c r="E869" s="13"/>
      <c r="F869" s="13"/>
      <c r="G869" s="128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28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28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</row>
    <row r="870">
      <c r="A870" s="13"/>
      <c r="B870" s="13"/>
      <c r="C870" s="13"/>
      <c r="D870" s="13"/>
      <c r="E870" s="13"/>
      <c r="F870" s="13"/>
      <c r="G870" s="128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28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28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</row>
    <row r="871">
      <c r="A871" s="13"/>
      <c r="B871" s="13"/>
      <c r="C871" s="13"/>
      <c r="D871" s="13"/>
      <c r="E871" s="13"/>
      <c r="F871" s="13"/>
      <c r="G871" s="128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28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28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</row>
    <row r="872">
      <c r="A872" s="13"/>
      <c r="B872" s="13"/>
      <c r="C872" s="13"/>
      <c r="D872" s="13"/>
      <c r="E872" s="13"/>
      <c r="F872" s="13"/>
      <c r="G872" s="128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28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28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</row>
    <row r="873">
      <c r="A873" s="13"/>
      <c r="B873" s="13"/>
      <c r="C873" s="13"/>
      <c r="D873" s="13"/>
      <c r="E873" s="13"/>
      <c r="F873" s="13"/>
      <c r="G873" s="128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28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28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</row>
    <row r="874">
      <c r="A874" s="13"/>
      <c r="B874" s="13"/>
      <c r="C874" s="13"/>
      <c r="D874" s="13"/>
      <c r="E874" s="13"/>
      <c r="F874" s="13"/>
      <c r="G874" s="128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28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28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</row>
    <row r="875">
      <c r="A875" s="13"/>
      <c r="B875" s="13"/>
      <c r="C875" s="13"/>
      <c r="D875" s="13"/>
      <c r="E875" s="13"/>
      <c r="F875" s="13"/>
      <c r="G875" s="128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28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28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</row>
    <row r="876">
      <c r="A876" s="13"/>
      <c r="B876" s="13"/>
      <c r="C876" s="13"/>
      <c r="D876" s="13"/>
      <c r="E876" s="13"/>
      <c r="F876" s="13"/>
      <c r="G876" s="128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28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28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</row>
    <row r="877">
      <c r="A877" s="13"/>
      <c r="B877" s="13"/>
      <c r="C877" s="13"/>
      <c r="D877" s="13"/>
      <c r="E877" s="13"/>
      <c r="F877" s="13"/>
      <c r="G877" s="128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28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28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</row>
    <row r="878">
      <c r="A878" s="13"/>
      <c r="B878" s="13"/>
      <c r="C878" s="13"/>
      <c r="D878" s="13"/>
      <c r="E878" s="13"/>
      <c r="F878" s="13"/>
      <c r="G878" s="128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28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28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</row>
    <row r="879">
      <c r="A879" s="13"/>
      <c r="B879" s="13"/>
      <c r="C879" s="13"/>
      <c r="D879" s="13"/>
      <c r="E879" s="13"/>
      <c r="F879" s="13"/>
      <c r="G879" s="128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28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28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</row>
    <row r="880">
      <c r="A880" s="13"/>
      <c r="B880" s="13"/>
      <c r="C880" s="13"/>
      <c r="D880" s="13"/>
      <c r="E880" s="13"/>
      <c r="F880" s="13"/>
      <c r="G880" s="128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28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28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</row>
    <row r="881">
      <c r="A881" s="13"/>
      <c r="B881" s="13"/>
      <c r="C881" s="13"/>
      <c r="D881" s="13"/>
      <c r="E881" s="13"/>
      <c r="F881" s="13"/>
      <c r="G881" s="128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28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28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</row>
    <row r="882">
      <c r="A882" s="13"/>
      <c r="B882" s="13"/>
      <c r="C882" s="13"/>
      <c r="D882" s="13"/>
      <c r="E882" s="13"/>
      <c r="F882" s="13"/>
      <c r="G882" s="128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28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28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</row>
    <row r="883">
      <c r="A883" s="13"/>
      <c r="B883" s="13"/>
      <c r="C883" s="13"/>
      <c r="D883" s="13"/>
      <c r="E883" s="13"/>
      <c r="F883" s="13"/>
      <c r="G883" s="128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28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28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</row>
    <row r="884">
      <c r="A884" s="13"/>
      <c r="B884" s="13"/>
      <c r="C884" s="13"/>
      <c r="D884" s="13"/>
      <c r="E884" s="13"/>
      <c r="F884" s="13"/>
      <c r="G884" s="128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28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28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</row>
    <row r="885">
      <c r="A885" s="13"/>
      <c r="B885" s="13"/>
      <c r="C885" s="13"/>
      <c r="D885" s="13"/>
      <c r="E885" s="13"/>
      <c r="F885" s="13"/>
      <c r="G885" s="128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28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28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</row>
    <row r="886">
      <c r="A886" s="13"/>
      <c r="B886" s="13"/>
      <c r="C886" s="13"/>
      <c r="D886" s="13"/>
      <c r="E886" s="13"/>
      <c r="F886" s="13"/>
      <c r="G886" s="128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28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28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</row>
    <row r="887">
      <c r="A887" s="13"/>
      <c r="B887" s="13"/>
      <c r="C887" s="13"/>
      <c r="D887" s="13"/>
      <c r="E887" s="13"/>
      <c r="F887" s="13"/>
      <c r="G887" s="128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28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28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</row>
    <row r="888">
      <c r="A888" s="13"/>
      <c r="B888" s="13"/>
      <c r="C888" s="13"/>
      <c r="D888" s="13"/>
      <c r="E888" s="13"/>
      <c r="F888" s="13"/>
      <c r="G888" s="128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28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28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</row>
    <row r="889">
      <c r="A889" s="13"/>
      <c r="B889" s="13"/>
      <c r="C889" s="13"/>
      <c r="D889" s="13"/>
      <c r="E889" s="13"/>
      <c r="F889" s="13"/>
      <c r="G889" s="128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28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28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</row>
    <row r="890">
      <c r="A890" s="13"/>
      <c r="B890" s="13"/>
      <c r="C890" s="13"/>
      <c r="D890" s="13"/>
      <c r="E890" s="13"/>
      <c r="F890" s="13"/>
      <c r="G890" s="128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28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28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</row>
    <row r="891">
      <c r="A891" s="13"/>
      <c r="B891" s="13"/>
      <c r="C891" s="13"/>
      <c r="D891" s="13"/>
      <c r="E891" s="13"/>
      <c r="F891" s="13"/>
      <c r="G891" s="128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28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28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</row>
    <row r="892">
      <c r="A892" s="13"/>
      <c r="B892" s="13"/>
      <c r="C892" s="13"/>
      <c r="D892" s="13"/>
      <c r="E892" s="13"/>
      <c r="F892" s="13"/>
      <c r="G892" s="128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28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28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</row>
    <row r="893">
      <c r="A893" s="13"/>
      <c r="B893" s="13"/>
      <c r="C893" s="13"/>
      <c r="D893" s="13"/>
      <c r="E893" s="13"/>
      <c r="F893" s="13"/>
      <c r="G893" s="128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28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28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</row>
    <row r="894">
      <c r="A894" s="13"/>
      <c r="B894" s="13"/>
      <c r="C894" s="13"/>
      <c r="D894" s="13"/>
      <c r="E894" s="13"/>
      <c r="F894" s="13"/>
      <c r="G894" s="128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28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28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</row>
    <row r="895">
      <c r="A895" s="13"/>
      <c r="B895" s="13"/>
      <c r="C895" s="13"/>
      <c r="D895" s="13"/>
      <c r="E895" s="13"/>
      <c r="F895" s="13"/>
      <c r="G895" s="128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28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28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</row>
    <row r="896">
      <c r="A896" s="13"/>
      <c r="B896" s="13"/>
      <c r="C896" s="13"/>
      <c r="D896" s="13"/>
      <c r="E896" s="13"/>
      <c r="F896" s="13"/>
      <c r="G896" s="128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28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28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</row>
    <row r="897">
      <c r="A897" s="13"/>
      <c r="B897" s="13"/>
      <c r="C897" s="13"/>
      <c r="D897" s="13"/>
      <c r="E897" s="13"/>
      <c r="F897" s="13"/>
      <c r="G897" s="128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28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28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</row>
    <row r="898">
      <c r="A898" s="13"/>
      <c r="B898" s="13"/>
      <c r="C898" s="13"/>
      <c r="D898" s="13"/>
      <c r="E898" s="13"/>
      <c r="F898" s="13"/>
      <c r="G898" s="128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28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28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</row>
    <row r="899">
      <c r="A899" s="13"/>
      <c r="B899" s="13"/>
      <c r="C899" s="13"/>
      <c r="D899" s="13"/>
      <c r="E899" s="13"/>
      <c r="F899" s="13"/>
      <c r="G899" s="128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28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28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</row>
    <row r="900">
      <c r="A900" s="13"/>
      <c r="B900" s="13"/>
      <c r="C900" s="13"/>
      <c r="D900" s="13"/>
      <c r="E900" s="13"/>
      <c r="F900" s="13"/>
      <c r="G900" s="128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28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28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</row>
    <row r="901">
      <c r="A901" s="13"/>
      <c r="B901" s="13"/>
      <c r="C901" s="13"/>
      <c r="D901" s="13"/>
      <c r="E901" s="13"/>
      <c r="F901" s="13"/>
      <c r="G901" s="128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28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28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</row>
    <row r="902">
      <c r="A902" s="13"/>
      <c r="B902" s="13"/>
      <c r="C902" s="13"/>
      <c r="D902" s="13"/>
      <c r="E902" s="13"/>
      <c r="F902" s="13"/>
      <c r="G902" s="128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28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28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</row>
    <row r="903">
      <c r="A903" s="13"/>
      <c r="B903" s="13"/>
      <c r="C903" s="13"/>
      <c r="D903" s="13"/>
      <c r="E903" s="13"/>
      <c r="F903" s="13"/>
      <c r="G903" s="128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28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28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</row>
    <row r="904">
      <c r="A904" s="13"/>
      <c r="B904" s="13"/>
      <c r="C904" s="13"/>
      <c r="D904" s="13"/>
      <c r="E904" s="13"/>
      <c r="F904" s="13"/>
      <c r="G904" s="128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28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28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</row>
    <row r="905">
      <c r="A905" s="13"/>
      <c r="B905" s="13"/>
      <c r="C905" s="13"/>
      <c r="D905" s="13"/>
      <c r="E905" s="13"/>
      <c r="F905" s="13"/>
      <c r="G905" s="128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28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28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</row>
    <row r="906">
      <c r="A906" s="13"/>
      <c r="B906" s="13"/>
      <c r="C906" s="13"/>
      <c r="D906" s="13"/>
      <c r="E906" s="13"/>
      <c r="F906" s="13"/>
      <c r="G906" s="128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28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28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</row>
    <row r="907">
      <c r="A907" s="13"/>
      <c r="B907" s="13"/>
      <c r="C907" s="13"/>
      <c r="D907" s="13"/>
      <c r="E907" s="13"/>
      <c r="F907" s="13"/>
      <c r="G907" s="128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28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28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</row>
    <row r="908">
      <c r="A908" s="13"/>
      <c r="B908" s="13"/>
      <c r="C908" s="13"/>
      <c r="D908" s="13"/>
      <c r="E908" s="13"/>
      <c r="F908" s="13"/>
      <c r="G908" s="128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28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28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</row>
    <row r="909">
      <c r="A909" s="13"/>
      <c r="B909" s="13"/>
      <c r="C909" s="13"/>
      <c r="D909" s="13"/>
      <c r="E909" s="13"/>
      <c r="F909" s="13"/>
      <c r="G909" s="128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28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28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</row>
    <row r="910">
      <c r="A910" s="13"/>
      <c r="B910" s="13"/>
      <c r="C910" s="13"/>
      <c r="D910" s="13"/>
      <c r="E910" s="13"/>
      <c r="F910" s="13"/>
      <c r="G910" s="128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28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28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</row>
    <row r="911">
      <c r="A911" s="13"/>
      <c r="B911" s="13"/>
      <c r="C911" s="13"/>
      <c r="D911" s="13"/>
      <c r="E911" s="13"/>
      <c r="F911" s="13"/>
      <c r="G911" s="128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28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28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</row>
    <row r="912">
      <c r="A912" s="13"/>
      <c r="B912" s="13"/>
      <c r="C912" s="13"/>
      <c r="D912" s="13"/>
      <c r="E912" s="13"/>
      <c r="F912" s="13"/>
      <c r="G912" s="128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28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28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</row>
    <row r="913">
      <c r="A913" s="13"/>
      <c r="B913" s="13"/>
      <c r="C913" s="13"/>
      <c r="D913" s="13"/>
      <c r="E913" s="13"/>
      <c r="F913" s="13"/>
      <c r="G913" s="128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28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28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</row>
    <row r="914">
      <c r="A914" s="13"/>
      <c r="B914" s="13"/>
      <c r="C914" s="13"/>
      <c r="D914" s="13"/>
      <c r="E914" s="13"/>
      <c r="F914" s="13"/>
      <c r="G914" s="128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28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28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</row>
    <row r="915">
      <c r="A915" s="13"/>
      <c r="B915" s="13"/>
      <c r="C915" s="13"/>
      <c r="D915" s="13"/>
      <c r="E915" s="13"/>
      <c r="F915" s="13"/>
      <c r="G915" s="128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28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28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</row>
    <row r="916">
      <c r="A916" s="13"/>
      <c r="B916" s="13"/>
      <c r="C916" s="13"/>
      <c r="D916" s="13"/>
      <c r="E916" s="13"/>
      <c r="F916" s="13"/>
      <c r="G916" s="128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28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28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</row>
    <row r="917">
      <c r="A917" s="13"/>
      <c r="B917" s="13"/>
      <c r="C917" s="13"/>
      <c r="D917" s="13"/>
      <c r="E917" s="13"/>
      <c r="F917" s="13"/>
      <c r="G917" s="128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28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28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</row>
    <row r="918">
      <c r="A918" s="13"/>
      <c r="B918" s="13"/>
      <c r="C918" s="13"/>
      <c r="D918" s="13"/>
      <c r="E918" s="13"/>
      <c r="F918" s="13"/>
      <c r="G918" s="128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28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28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</row>
    <row r="919">
      <c r="A919" s="13"/>
      <c r="B919" s="13"/>
      <c r="C919" s="13"/>
      <c r="D919" s="13"/>
      <c r="E919" s="13"/>
      <c r="F919" s="13"/>
      <c r="G919" s="128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28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28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</row>
    <row r="920">
      <c r="A920" s="13"/>
      <c r="B920" s="13"/>
      <c r="C920" s="13"/>
      <c r="D920" s="13"/>
      <c r="E920" s="13"/>
      <c r="F920" s="13"/>
      <c r="G920" s="128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28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28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</row>
    <row r="921">
      <c r="A921" s="13"/>
      <c r="B921" s="13"/>
      <c r="C921" s="13"/>
      <c r="D921" s="13"/>
      <c r="E921" s="13"/>
      <c r="F921" s="13"/>
      <c r="G921" s="128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28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28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</row>
    <row r="922">
      <c r="A922" s="13"/>
      <c r="B922" s="13"/>
      <c r="C922" s="13"/>
      <c r="D922" s="13"/>
      <c r="E922" s="13"/>
      <c r="F922" s="13"/>
      <c r="G922" s="128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28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28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</row>
    <row r="923">
      <c r="A923" s="13"/>
      <c r="B923" s="13"/>
      <c r="C923" s="13"/>
      <c r="D923" s="13"/>
      <c r="E923" s="13"/>
      <c r="F923" s="13"/>
      <c r="G923" s="128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28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28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</row>
    <row r="924">
      <c r="A924" s="13"/>
      <c r="B924" s="13"/>
      <c r="C924" s="13"/>
      <c r="D924" s="13"/>
      <c r="E924" s="13"/>
      <c r="F924" s="13"/>
      <c r="G924" s="128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28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28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</row>
    <row r="925">
      <c r="A925" s="13"/>
      <c r="B925" s="13"/>
      <c r="C925" s="13"/>
      <c r="D925" s="13"/>
      <c r="E925" s="13"/>
      <c r="F925" s="13"/>
      <c r="G925" s="128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28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28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</row>
    <row r="926">
      <c r="A926" s="13"/>
      <c r="B926" s="13"/>
      <c r="C926" s="13"/>
      <c r="D926" s="13"/>
      <c r="E926" s="13"/>
      <c r="F926" s="13"/>
      <c r="G926" s="128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28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28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</row>
    <row r="927">
      <c r="A927" s="13"/>
      <c r="B927" s="13"/>
      <c r="C927" s="13"/>
      <c r="D927" s="13"/>
      <c r="E927" s="13"/>
      <c r="F927" s="13"/>
      <c r="G927" s="128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28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28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</row>
    <row r="928">
      <c r="A928" s="13"/>
      <c r="B928" s="13"/>
      <c r="C928" s="13"/>
      <c r="D928" s="13"/>
      <c r="E928" s="13"/>
      <c r="F928" s="13"/>
      <c r="G928" s="128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28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28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</row>
    <row r="929">
      <c r="A929" s="13"/>
      <c r="B929" s="13"/>
      <c r="C929" s="13"/>
      <c r="D929" s="13"/>
      <c r="E929" s="13"/>
      <c r="F929" s="13"/>
      <c r="G929" s="128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28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28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</row>
    <row r="930">
      <c r="A930" s="13"/>
      <c r="B930" s="13"/>
      <c r="C930" s="13"/>
      <c r="D930" s="13"/>
      <c r="E930" s="13"/>
      <c r="F930" s="13"/>
      <c r="G930" s="128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28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28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</row>
    <row r="931">
      <c r="A931" s="13"/>
      <c r="B931" s="13"/>
      <c r="C931" s="13"/>
      <c r="D931" s="13"/>
      <c r="E931" s="13"/>
      <c r="F931" s="13"/>
      <c r="G931" s="128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28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28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</row>
    <row r="932">
      <c r="A932" s="13"/>
      <c r="B932" s="13"/>
      <c r="C932" s="13"/>
      <c r="D932" s="13"/>
      <c r="E932" s="13"/>
      <c r="F932" s="13"/>
      <c r="G932" s="128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28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28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</row>
    <row r="933">
      <c r="A933" s="13"/>
      <c r="B933" s="13"/>
      <c r="C933" s="13"/>
      <c r="D933" s="13"/>
      <c r="E933" s="13"/>
      <c r="F933" s="13"/>
      <c r="G933" s="128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28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28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</row>
    <row r="934">
      <c r="A934" s="13"/>
      <c r="B934" s="13"/>
      <c r="C934" s="13"/>
      <c r="D934" s="13"/>
      <c r="E934" s="13"/>
      <c r="F934" s="13"/>
      <c r="G934" s="128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28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28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</row>
    <row r="935">
      <c r="A935" s="13"/>
      <c r="B935" s="13"/>
      <c r="C935" s="13"/>
      <c r="D935" s="13"/>
      <c r="E935" s="13"/>
      <c r="F935" s="13"/>
      <c r="G935" s="128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28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28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</row>
    <row r="936">
      <c r="A936" s="13"/>
      <c r="B936" s="13"/>
      <c r="C936" s="13"/>
      <c r="D936" s="13"/>
      <c r="E936" s="13"/>
      <c r="F936" s="13"/>
      <c r="G936" s="128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28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28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</row>
    <row r="937">
      <c r="A937" s="13"/>
      <c r="B937" s="13"/>
      <c r="C937" s="13"/>
      <c r="D937" s="13"/>
      <c r="E937" s="13"/>
      <c r="F937" s="13"/>
      <c r="G937" s="128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28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28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</row>
    <row r="938">
      <c r="A938" s="13"/>
      <c r="B938" s="13"/>
      <c r="C938" s="13"/>
      <c r="D938" s="13"/>
      <c r="E938" s="13"/>
      <c r="F938" s="13"/>
      <c r="G938" s="128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28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28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</row>
    <row r="939">
      <c r="A939" s="13"/>
      <c r="B939" s="13"/>
      <c r="C939" s="13"/>
      <c r="D939" s="13"/>
      <c r="E939" s="13"/>
      <c r="F939" s="13"/>
      <c r="G939" s="128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28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28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</row>
    <row r="940">
      <c r="A940" s="13"/>
      <c r="B940" s="13"/>
      <c r="C940" s="13"/>
      <c r="D940" s="13"/>
      <c r="E940" s="13"/>
      <c r="F940" s="13"/>
      <c r="G940" s="128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28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28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</row>
    <row r="941">
      <c r="A941" s="13"/>
      <c r="B941" s="13"/>
      <c r="C941" s="13"/>
      <c r="D941" s="13"/>
      <c r="E941" s="13"/>
      <c r="F941" s="13"/>
      <c r="G941" s="128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28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28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</row>
    <row r="942">
      <c r="A942" s="13"/>
      <c r="B942" s="13"/>
      <c r="C942" s="13"/>
      <c r="D942" s="13"/>
      <c r="E942" s="13"/>
      <c r="F942" s="13"/>
      <c r="G942" s="128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28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28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</row>
    <row r="943">
      <c r="A943" s="13"/>
      <c r="B943" s="13"/>
      <c r="C943" s="13"/>
      <c r="D943" s="13"/>
      <c r="E943" s="13"/>
      <c r="F943" s="13"/>
      <c r="G943" s="128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28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28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</row>
    <row r="944">
      <c r="A944" s="13"/>
      <c r="B944" s="13"/>
      <c r="C944" s="13"/>
      <c r="D944" s="13"/>
      <c r="E944" s="13"/>
      <c r="F944" s="13"/>
      <c r="G944" s="128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28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28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</row>
    <row r="945">
      <c r="A945" s="13"/>
      <c r="B945" s="13"/>
      <c r="C945" s="13"/>
      <c r="D945" s="13"/>
      <c r="E945" s="13"/>
      <c r="F945" s="13"/>
      <c r="G945" s="128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28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28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</row>
    <row r="946">
      <c r="A946" s="13"/>
      <c r="B946" s="13"/>
      <c r="C946" s="13"/>
      <c r="D946" s="13"/>
      <c r="E946" s="13"/>
      <c r="F946" s="13"/>
      <c r="G946" s="128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28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28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</row>
    <row r="947">
      <c r="A947" s="13"/>
      <c r="B947" s="13"/>
      <c r="C947" s="13"/>
      <c r="D947" s="13"/>
      <c r="E947" s="13"/>
      <c r="F947" s="13"/>
      <c r="G947" s="128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28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28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</row>
    <row r="948">
      <c r="A948" s="13"/>
      <c r="B948" s="13"/>
      <c r="C948" s="13"/>
      <c r="D948" s="13"/>
      <c r="E948" s="13"/>
      <c r="F948" s="13"/>
      <c r="G948" s="128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28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28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</row>
    <row r="949">
      <c r="A949" s="13"/>
      <c r="B949" s="13"/>
      <c r="C949" s="13"/>
      <c r="D949" s="13"/>
      <c r="E949" s="13"/>
      <c r="F949" s="13"/>
      <c r="G949" s="128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28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28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</row>
    <row r="950">
      <c r="A950" s="13"/>
      <c r="B950" s="13"/>
      <c r="C950" s="13"/>
      <c r="D950" s="13"/>
      <c r="E950" s="13"/>
      <c r="F950" s="13"/>
      <c r="G950" s="128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28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28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</row>
    <row r="951">
      <c r="A951" s="13"/>
      <c r="B951" s="13"/>
      <c r="C951" s="13"/>
      <c r="D951" s="13"/>
      <c r="E951" s="13"/>
      <c r="F951" s="13"/>
      <c r="G951" s="128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28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28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</row>
    <row r="952">
      <c r="A952" s="13"/>
      <c r="B952" s="13"/>
      <c r="C952" s="13"/>
      <c r="D952" s="13"/>
      <c r="E952" s="13"/>
      <c r="F952" s="13"/>
      <c r="G952" s="128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28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28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</row>
    <row r="953">
      <c r="A953" s="13"/>
      <c r="B953" s="13"/>
      <c r="C953" s="13"/>
      <c r="D953" s="13"/>
      <c r="E953" s="13"/>
      <c r="F953" s="13"/>
      <c r="G953" s="128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28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28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</row>
    <row r="954">
      <c r="A954" s="13"/>
      <c r="B954" s="13"/>
      <c r="C954" s="13"/>
      <c r="D954" s="13"/>
      <c r="E954" s="13"/>
      <c r="F954" s="13"/>
      <c r="G954" s="128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28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28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</row>
    <row r="955">
      <c r="A955" s="13"/>
      <c r="B955" s="13"/>
      <c r="C955" s="13"/>
      <c r="D955" s="13"/>
      <c r="E955" s="13"/>
      <c r="F955" s="13"/>
      <c r="G955" s="128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28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28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</row>
    <row r="956">
      <c r="A956" s="13"/>
      <c r="B956" s="13"/>
      <c r="C956" s="13"/>
      <c r="D956" s="13"/>
      <c r="E956" s="13"/>
      <c r="F956" s="13"/>
      <c r="G956" s="128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28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28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</row>
    <row r="957">
      <c r="A957" s="13"/>
      <c r="B957" s="13"/>
      <c r="C957" s="13"/>
      <c r="D957" s="13"/>
      <c r="E957" s="13"/>
      <c r="F957" s="13"/>
      <c r="G957" s="128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28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28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</row>
    <row r="958">
      <c r="A958" s="13"/>
      <c r="B958" s="13"/>
      <c r="C958" s="13"/>
      <c r="D958" s="13"/>
      <c r="E958" s="13"/>
      <c r="F958" s="13"/>
      <c r="G958" s="128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28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28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</row>
    <row r="959">
      <c r="A959" s="13"/>
      <c r="B959" s="13"/>
      <c r="C959" s="13"/>
      <c r="D959" s="13"/>
      <c r="E959" s="13"/>
      <c r="F959" s="13"/>
      <c r="G959" s="128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28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28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</row>
    <row r="960">
      <c r="A960" s="13"/>
      <c r="B960" s="13"/>
      <c r="C960" s="13"/>
      <c r="D960" s="13"/>
      <c r="E960" s="13"/>
      <c r="F960" s="13"/>
      <c r="G960" s="128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28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28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</row>
    <row r="961">
      <c r="A961" s="13"/>
      <c r="B961" s="13"/>
      <c r="C961" s="13"/>
      <c r="D961" s="13"/>
      <c r="E961" s="13"/>
      <c r="F961" s="13"/>
      <c r="G961" s="128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28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28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</row>
    <row r="962">
      <c r="A962" s="13"/>
      <c r="B962" s="13"/>
      <c r="C962" s="13"/>
      <c r="D962" s="13"/>
      <c r="E962" s="13"/>
      <c r="F962" s="13"/>
      <c r="G962" s="128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28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28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</row>
    <row r="963">
      <c r="A963" s="13"/>
      <c r="B963" s="13"/>
      <c r="C963" s="13"/>
      <c r="D963" s="13"/>
      <c r="E963" s="13"/>
      <c r="F963" s="13"/>
      <c r="G963" s="128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28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28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</row>
    <row r="964">
      <c r="A964" s="13"/>
      <c r="B964" s="13"/>
      <c r="C964" s="13"/>
      <c r="D964" s="13"/>
      <c r="E964" s="13"/>
      <c r="F964" s="13"/>
      <c r="G964" s="128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28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28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</row>
    <row r="965">
      <c r="A965" s="13"/>
      <c r="B965" s="13"/>
      <c r="C965" s="13"/>
      <c r="D965" s="13"/>
      <c r="E965" s="13"/>
      <c r="F965" s="13"/>
      <c r="G965" s="128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28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28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</row>
    <row r="966">
      <c r="A966" s="13"/>
      <c r="B966" s="13"/>
      <c r="C966" s="13"/>
      <c r="D966" s="13"/>
      <c r="E966" s="13"/>
      <c r="F966" s="13"/>
      <c r="G966" s="128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28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28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</row>
    <row r="967">
      <c r="A967" s="13"/>
      <c r="B967" s="13"/>
      <c r="C967" s="13"/>
      <c r="D967" s="13"/>
      <c r="E967" s="13"/>
      <c r="F967" s="13"/>
      <c r="G967" s="128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28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28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</row>
    <row r="968">
      <c r="A968" s="13"/>
      <c r="B968" s="13"/>
      <c r="C968" s="13"/>
      <c r="D968" s="13"/>
      <c r="E968" s="13"/>
      <c r="F968" s="13"/>
      <c r="G968" s="128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28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28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</row>
    <row r="969">
      <c r="A969" s="13"/>
      <c r="B969" s="13"/>
      <c r="C969" s="13"/>
      <c r="D969" s="13"/>
      <c r="E969" s="13"/>
      <c r="F969" s="13"/>
      <c r="G969" s="128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28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28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</row>
    <row r="970">
      <c r="A970" s="13"/>
      <c r="B970" s="13"/>
      <c r="C970" s="13"/>
      <c r="D970" s="13"/>
      <c r="E970" s="13"/>
      <c r="F970" s="13"/>
      <c r="G970" s="128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28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28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</row>
    <row r="971">
      <c r="A971" s="13"/>
      <c r="B971" s="13"/>
      <c r="C971" s="13"/>
      <c r="D971" s="13"/>
      <c r="E971" s="13"/>
      <c r="F971" s="13"/>
      <c r="G971" s="128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28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28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</row>
    <row r="972">
      <c r="A972" s="13"/>
      <c r="B972" s="13"/>
      <c r="C972" s="13"/>
      <c r="D972" s="13"/>
      <c r="E972" s="13"/>
      <c r="F972" s="13"/>
      <c r="G972" s="128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28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28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</row>
    <row r="973">
      <c r="A973" s="13"/>
      <c r="B973" s="13"/>
      <c r="C973" s="13"/>
      <c r="D973" s="13"/>
      <c r="E973" s="13"/>
      <c r="F973" s="13"/>
      <c r="G973" s="128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28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28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</row>
    <row r="974">
      <c r="A974" s="13"/>
      <c r="B974" s="13"/>
      <c r="C974" s="13"/>
      <c r="D974" s="13"/>
      <c r="E974" s="13"/>
      <c r="F974" s="13"/>
      <c r="G974" s="128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28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28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</row>
    <row r="975">
      <c r="A975" s="13"/>
      <c r="B975" s="13"/>
      <c r="C975" s="13"/>
      <c r="D975" s="13"/>
      <c r="E975" s="13"/>
      <c r="F975" s="13"/>
      <c r="G975" s="128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28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28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</row>
    <row r="976">
      <c r="A976" s="13"/>
      <c r="B976" s="13"/>
      <c r="C976" s="13"/>
      <c r="D976" s="13"/>
      <c r="E976" s="13"/>
      <c r="F976" s="13"/>
      <c r="G976" s="128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28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28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</row>
    <row r="977">
      <c r="A977" s="13"/>
      <c r="B977" s="13"/>
      <c r="C977" s="13"/>
      <c r="D977" s="13"/>
      <c r="E977" s="13"/>
      <c r="F977" s="13"/>
      <c r="G977" s="128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28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28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</row>
    <row r="978">
      <c r="A978" s="13"/>
      <c r="B978" s="13"/>
      <c r="C978" s="13"/>
      <c r="D978" s="13"/>
      <c r="E978" s="13"/>
      <c r="F978" s="13"/>
      <c r="G978" s="128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28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28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</row>
    <row r="979">
      <c r="A979" s="13"/>
      <c r="B979" s="13"/>
      <c r="C979" s="13"/>
      <c r="D979" s="13"/>
      <c r="E979" s="13"/>
      <c r="F979" s="13"/>
      <c r="G979" s="128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28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28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</row>
    <row r="980">
      <c r="A980" s="13"/>
      <c r="B980" s="13"/>
      <c r="C980" s="13"/>
      <c r="D980" s="13"/>
      <c r="E980" s="13"/>
      <c r="F980" s="13"/>
      <c r="G980" s="128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28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28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</row>
    <row r="981">
      <c r="A981" s="13"/>
      <c r="B981" s="13"/>
      <c r="C981" s="13"/>
      <c r="D981" s="13"/>
      <c r="E981" s="13"/>
      <c r="F981" s="13"/>
      <c r="G981" s="128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28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28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</row>
    <row r="982">
      <c r="A982" s="13"/>
      <c r="B982" s="13"/>
      <c r="C982" s="13"/>
      <c r="D982" s="13"/>
      <c r="E982" s="13"/>
      <c r="F982" s="13"/>
      <c r="G982" s="128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28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28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</row>
    <row r="983">
      <c r="A983" s="13"/>
      <c r="B983" s="13"/>
      <c r="C983" s="13"/>
      <c r="D983" s="13"/>
      <c r="E983" s="13"/>
      <c r="F983" s="13"/>
      <c r="G983" s="128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28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28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</row>
    <row r="984">
      <c r="A984" s="13"/>
      <c r="B984" s="13"/>
      <c r="C984" s="13"/>
      <c r="D984" s="13"/>
      <c r="E984" s="13"/>
      <c r="F984" s="13"/>
      <c r="G984" s="128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28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28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</row>
    <row r="985">
      <c r="A985" s="13"/>
      <c r="B985" s="13"/>
      <c r="C985" s="13"/>
      <c r="D985" s="13"/>
      <c r="E985" s="13"/>
      <c r="F985" s="13"/>
      <c r="G985" s="128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28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28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</row>
    <row r="986">
      <c r="A986" s="13"/>
      <c r="B986" s="13"/>
      <c r="C986" s="13"/>
      <c r="D986" s="13"/>
      <c r="E986" s="13"/>
      <c r="F986" s="13"/>
      <c r="G986" s="128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28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28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</row>
    <row r="987">
      <c r="A987" s="13"/>
      <c r="B987" s="13"/>
      <c r="C987" s="13"/>
      <c r="D987" s="13"/>
      <c r="E987" s="13"/>
      <c r="F987" s="13"/>
      <c r="G987" s="128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28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28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</row>
    <row r="988">
      <c r="A988" s="13"/>
      <c r="B988" s="13"/>
      <c r="C988" s="13"/>
      <c r="D988" s="13"/>
      <c r="E988" s="13"/>
      <c r="F988" s="13"/>
      <c r="G988" s="128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28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28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</row>
    <row r="989">
      <c r="A989" s="13"/>
      <c r="B989" s="13"/>
      <c r="C989" s="13"/>
      <c r="D989" s="13"/>
      <c r="E989" s="13"/>
      <c r="F989" s="13"/>
      <c r="G989" s="128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28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28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</row>
    <row r="990">
      <c r="A990" s="13"/>
      <c r="B990" s="13"/>
      <c r="C990" s="13"/>
      <c r="D990" s="13"/>
      <c r="E990" s="13"/>
      <c r="F990" s="13"/>
      <c r="G990" s="128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28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28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</row>
    <row r="991">
      <c r="A991" s="13"/>
      <c r="B991" s="13"/>
      <c r="C991" s="13"/>
      <c r="D991" s="13"/>
      <c r="E991" s="13"/>
      <c r="F991" s="13"/>
      <c r="G991" s="128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28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28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</row>
    <row r="992">
      <c r="A992" s="13"/>
      <c r="B992" s="13"/>
      <c r="C992" s="13"/>
      <c r="D992" s="13"/>
      <c r="E992" s="13"/>
      <c r="F992" s="13"/>
      <c r="G992" s="128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28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28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</row>
    <row r="993">
      <c r="A993" s="13"/>
      <c r="B993" s="13"/>
      <c r="C993" s="13"/>
      <c r="D993" s="13"/>
      <c r="E993" s="13"/>
      <c r="F993" s="13"/>
      <c r="G993" s="128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28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28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</row>
    <row r="994">
      <c r="A994" s="13"/>
      <c r="B994" s="13"/>
      <c r="C994" s="13"/>
      <c r="D994" s="13"/>
      <c r="E994" s="13"/>
      <c r="F994" s="13"/>
      <c r="G994" s="128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28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28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</row>
    <row r="995">
      <c r="A995" s="13"/>
      <c r="B995" s="13"/>
      <c r="C995" s="13"/>
      <c r="D995" s="13"/>
      <c r="E995" s="13"/>
      <c r="F995" s="13"/>
      <c r="G995" s="128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28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28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</row>
    <row r="996">
      <c r="A996" s="13"/>
      <c r="B996" s="13"/>
      <c r="C996" s="13"/>
      <c r="D996" s="13"/>
      <c r="E996" s="13"/>
      <c r="F996" s="13"/>
      <c r="G996" s="128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28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28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</row>
    <row r="997">
      <c r="A997" s="13"/>
      <c r="B997" s="13"/>
      <c r="C997" s="13"/>
      <c r="D997" s="13"/>
      <c r="E997" s="13"/>
      <c r="F997" s="13"/>
      <c r="G997" s="128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28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28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</row>
    <row r="998">
      <c r="A998" s="13"/>
      <c r="B998" s="13"/>
      <c r="C998" s="13"/>
      <c r="D998" s="13"/>
      <c r="E998" s="13"/>
      <c r="F998" s="13"/>
      <c r="G998" s="128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28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28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</row>
    <row r="999">
      <c r="A999" s="13"/>
      <c r="B999" s="13"/>
      <c r="C999" s="13"/>
      <c r="D999" s="13"/>
      <c r="E999" s="13"/>
      <c r="F999" s="13"/>
      <c r="G999" s="128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28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28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</row>
    <row r="1000">
      <c r="A1000" s="13"/>
      <c r="B1000" s="13"/>
      <c r="C1000" s="13"/>
      <c r="D1000" s="13"/>
      <c r="E1000" s="13"/>
      <c r="F1000" s="13"/>
      <c r="G1000" s="128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28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28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</row>
    <row r="1001">
      <c r="A1001" s="13"/>
      <c r="B1001" s="13"/>
      <c r="C1001" s="13"/>
      <c r="D1001" s="13"/>
      <c r="E1001" s="13"/>
      <c r="F1001" s="13"/>
      <c r="G1001" s="128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28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28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</row>
    <row r="1002">
      <c r="A1002" s="13"/>
      <c r="B1002" s="13"/>
      <c r="C1002" s="13"/>
      <c r="D1002" s="13"/>
      <c r="E1002" s="13"/>
      <c r="F1002" s="13"/>
      <c r="G1002" s="128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28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28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  <c r="CC1002" s="13"/>
      <c r="CD1002" s="13"/>
      <c r="CE1002" s="13"/>
      <c r="CF1002" s="13"/>
      <c r="CG1002" s="13"/>
      <c r="CH1002" s="13"/>
      <c r="CI1002" s="13"/>
      <c r="CJ1002" s="13"/>
    </row>
    <row r="1003">
      <c r="A1003" s="13"/>
      <c r="B1003" s="13"/>
      <c r="C1003" s="13"/>
      <c r="D1003" s="13"/>
      <c r="E1003" s="13"/>
      <c r="F1003" s="13"/>
      <c r="G1003" s="128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28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28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</row>
    <row r="1004">
      <c r="A1004" s="13"/>
      <c r="B1004" s="13"/>
      <c r="C1004" s="13"/>
      <c r="D1004" s="13"/>
      <c r="E1004" s="13"/>
      <c r="F1004" s="13"/>
      <c r="G1004" s="128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28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28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</row>
    <row r="1005">
      <c r="A1005" s="13"/>
      <c r="B1005" s="13"/>
      <c r="C1005" s="13"/>
      <c r="D1005" s="13"/>
      <c r="E1005" s="13"/>
      <c r="F1005" s="13"/>
      <c r="G1005" s="128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28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28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3"/>
      <c r="BT1005" s="13"/>
      <c r="BU1005" s="13"/>
      <c r="BV1005" s="13"/>
      <c r="BW1005" s="13"/>
      <c r="BX1005" s="13"/>
      <c r="BY1005" s="13"/>
      <c r="BZ1005" s="13"/>
      <c r="CA1005" s="13"/>
      <c r="CB1005" s="13"/>
      <c r="CC1005" s="13"/>
      <c r="CD1005" s="13"/>
      <c r="CE1005" s="13"/>
      <c r="CF1005" s="13"/>
      <c r="CG1005" s="13"/>
      <c r="CH1005" s="13"/>
      <c r="CI1005" s="13"/>
      <c r="CJ1005" s="13"/>
    </row>
    <row r="1006">
      <c r="A1006" s="13"/>
      <c r="B1006" s="13"/>
      <c r="C1006" s="13"/>
      <c r="D1006" s="13"/>
      <c r="E1006" s="13"/>
      <c r="F1006" s="13"/>
      <c r="G1006" s="128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28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28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</row>
    <row r="1007">
      <c r="A1007" s="13"/>
      <c r="B1007" s="13"/>
      <c r="C1007" s="13"/>
      <c r="D1007" s="13"/>
      <c r="E1007" s="13"/>
      <c r="F1007" s="13"/>
      <c r="G1007" s="128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28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28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3"/>
      <c r="BT1007" s="13"/>
      <c r="BU1007" s="13"/>
      <c r="BV1007" s="13"/>
      <c r="BW1007" s="13"/>
      <c r="BX1007" s="13"/>
      <c r="BY1007" s="13"/>
      <c r="BZ1007" s="13"/>
      <c r="CA1007" s="13"/>
      <c r="CB1007" s="13"/>
      <c r="CC1007" s="13"/>
      <c r="CD1007" s="13"/>
      <c r="CE1007" s="13"/>
      <c r="CF1007" s="13"/>
      <c r="CG1007" s="13"/>
      <c r="CH1007" s="13"/>
      <c r="CI1007" s="13"/>
      <c r="CJ1007" s="13"/>
    </row>
    <row r="1008">
      <c r="A1008" s="13"/>
      <c r="B1008" s="13"/>
      <c r="C1008" s="13"/>
      <c r="D1008" s="13"/>
      <c r="E1008" s="13"/>
      <c r="F1008" s="13"/>
      <c r="G1008" s="128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28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28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/>
      <c r="CA1008" s="13"/>
      <c r="CB1008" s="13"/>
      <c r="CC1008" s="13"/>
      <c r="CD1008" s="13"/>
      <c r="CE1008" s="13"/>
      <c r="CF1008" s="13"/>
      <c r="CG1008" s="13"/>
      <c r="CH1008" s="13"/>
      <c r="CI1008" s="13"/>
      <c r="CJ1008" s="13"/>
    </row>
    <row r="1009">
      <c r="A1009" s="13"/>
      <c r="B1009" s="13"/>
      <c r="C1009" s="13"/>
      <c r="D1009" s="13"/>
      <c r="E1009" s="13"/>
      <c r="F1009" s="13"/>
      <c r="G1009" s="128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28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28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</row>
    <row r="1010">
      <c r="A1010" s="13"/>
      <c r="B1010" s="13"/>
      <c r="C1010" s="13"/>
      <c r="D1010" s="13"/>
      <c r="E1010" s="13"/>
      <c r="F1010" s="13"/>
      <c r="G1010" s="128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28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28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</row>
    <row r="1011">
      <c r="A1011" s="13"/>
      <c r="B1011" s="13"/>
      <c r="C1011" s="13"/>
      <c r="D1011" s="13"/>
      <c r="E1011" s="13"/>
      <c r="F1011" s="13"/>
      <c r="G1011" s="128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28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28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/>
    </row>
    <row r="1012">
      <c r="A1012" s="13"/>
      <c r="B1012" s="13"/>
      <c r="C1012" s="13"/>
      <c r="D1012" s="13"/>
      <c r="E1012" s="13"/>
      <c r="F1012" s="13"/>
      <c r="G1012" s="128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28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28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 s="13"/>
    </row>
    <row r="1013">
      <c r="A1013" s="13"/>
      <c r="B1013" s="13"/>
      <c r="C1013" s="13"/>
      <c r="D1013" s="13"/>
      <c r="E1013" s="13"/>
      <c r="F1013" s="13"/>
      <c r="G1013" s="128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28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28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3"/>
      <c r="CG1013" s="13"/>
      <c r="CH1013" s="13"/>
      <c r="CI1013" s="13"/>
      <c r="CJ1013" s="13"/>
    </row>
    <row r="1014">
      <c r="A1014" s="13"/>
      <c r="B1014" s="13"/>
      <c r="C1014" s="13"/>
      <c r="D1014" s="13"/>
      <c r="E1014" s="13"/>
      <c r="F1014" s="13"/>
      <c r="G1014" s="128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28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28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</row>
    <row r="1015">
      <c r="A1015" s="13"/>
      <c r="B1015" s="13"/>
      <c r="C1015" s="13"/>
      <c r="D1015" s="13"/>
      <c r="E1015" s="13"/>
      <c r="F1015" s="13"/>
      <c r="G1015" s="128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28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28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</row>
    <row r="1016">
      <c r="A1016" s="13"/>
      <c r="B1016" s="13"/>
      <c r="C1016" s="13"/>
      <c r="D1016" s="13"/>
      <c r="E1016" s="13"/>
      <c r="F1016" s="13"/>
      <c r="G1016" s="128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28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28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</row>
    <row r="1017">
      <c r="A1017" s="13"/>
      <c r="B1017" s="13"/>
      <c r="C1017" s="13"/>
      <c r="D1017" s="13"/>
      <c r="E1017" s="13"/>
      <c r="F1017" s="13"/>
      <c r="G1017" s="128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28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28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 s="13"/>
    </row>
    <row r="1018">
      <c r="A1018" s="13"/>
      <c r="B1018" s="13"/>
      <c r="C1018" s="13"/>
      <c r="D1018" s="13"/>
      <c r="E1018" s="13"/>
      <c r="F1018" s="13"/>
      <c r="G1018" s="128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28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28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  <c r="BR1018" s="13"/>
      <c r="BS1018" s="13"/>
      <c r="BT1018" s="13"/>
      <c r="BU1018" s="13"/>
      <c r="BV1018" s="13"/>
      <c r="BW1018" s="13"/>
      <c r="BX1018" s="13"/>
      <c r="BY1018" s="13"/>
      <c r="BZ1018" s="13"/>
      <c r="CA1018" s="13"/>
      <c r="CB1018" s="13"/>
      <c r="CC1018" s="13"/>
      <c r="CD1018" s="13"/>
      <c r="CE1018" s="13"/>
      <c r="CF1018" s="13"/>
      <c r="CG1018" s="13"/>
      <c r="CH1018" s="13"/>
      <c r="CI1018" s="13"/>
      <c r="CJ1018" s="13"/>
    </row>
    <row r="1019">
      <c r="A1019" s="13"/>
      <c r="B1019" s="13"/>
      <c r="C1019" s="13"/>
      <c r="D1019" s="13"/>
      <c r="E1019" s="13"/>
      <c r="F1019" s="13"/>
      <c r="G1019" s="128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28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28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</row>
    <row r="1020">
      <c r="A1020" s="13"/>
      <c r="B1020" s="13"/>
      <c r="C1020" s="13"/>
      <c r="D1020" s="13"/>
      <c r="E1020" s="13"/>
      <c r="F1020" s="13"/>
      <c r="G1020" s="128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28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28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  <c r="CI1020" s="13"/>
      <c r="CJ1020" s="13"/>
    </row>
    <row r="1021">
      <c r="A1021" s="13"/>
      <c r="B1021" s="13"/>
      <c r="C1021" s="13"/>
      <c r="D1021" s="13"/>
      <c r="E1021" s="13"/>
      <c r="F1021" s="13"/>
      <c r="G1021" s="128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28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28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 s="13"/>
    </row>
    <row r="1022">
      <c r="A1022" s="13"/>
      <c r="B1022" s="13"/>
      <c r="C1022" s="13"/>
      <c r="D1022" s="13"/>
      <c r="E1022" s="13"/>
      <c r="F1022" s="13"/>
      <c r="G1022" s="128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28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28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 s="13"/>
    </row>
    <row r="1023">
      <c r="A1023" s="13"/>
      <c r="B1023" s="13"/>
      <c r="C1023" s="13"/>
      <c r="D1023" s="13"/>
      <c r="E1023" s="13"/>
      <c r="F1023" s="13"/>
      <c r="G1023" s="128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28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28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  <c r="BR1023" s="13"/>
      <c r="BS1023" s="13"/>
      <c r="BT1023" s="13"/>
      <c r="BU1023" s="13"/>
      <c r="BV1023" s="13"/>
      <c r="BW1023" s="13"/>
      <c r="BX1023" s="13"/>
      <c r="BY1023" s="13"/>
      <c r="BZ1023" s="13"/>
      <c r="CA1023" s="13"/>
      <c r="CB1023" s="13"/>
      <c r="CC1023" s="13"/>
      <c r="CD1023" s="13"/>
      <c r="CE1023" s="13"/>
      <c r="CF1023" s="13"/>
      <c r="CG1023" s="13"/>
      <c r="CH1023" s="13"/>
      <c r="CI1023" s="13"/>
      <c r="CJ1023" s="13"/>
    </row>
    <row r="1024">
      <c r="A1024" s="13"/>
      <c r="B1024" s="13"/>
      <c r="C1024" s="13"/>
      <c r="D1024" s="13"/>
      <c r="E1024" s="13"/>
      <c r="F1024" s="13"/>
      <c r="G1024" s="128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28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28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3"/>
      <c r="BT1024" s="13"/>
      <c r="BU1024" s="13"/>
      <c r="BV1024" s="13"/>
      <c r="BW1024" s="13"/>
      <c r="BX1024" s="13"/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  <c r="CI1024" s="13"/>
      <c r="CJ1024" s="13"/>
    </row>
    <row r="1025">
      <c r="A1025" s="13"/>
      <c r="B1025" s="13"/>
      <c r="C1025" s="13"/>
      <c r="D1025" s="13"/>
      <c r="E1025" s="13"/>
      <c r="F1025" s="13"/>
      <c r="G1025" s="128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28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28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3"/>
      <c r="BT1025" s="13"/>
      <c r="BU1025" s="13"/>
      <c r="BV1025" s="13"/>
      <c r="BW1025" s="13"/>
      <c r="BX1025" s="13"/>
      <c r="BY1025" s="13"/>
      <c r="BZ1025" s="13"/>
      <c r="CA1025" s="13"/>
      <c r="CB1025" s="13"/>
      <c r="CC1025" s="13"/>
      <c r="CD1025" s="13"/>
      <c r="CE1025" s="13"/>
      <c r="CF1025" s="13"/>
      <c r="CG1025" s="13"/>
      <c r="CH1025" s="13"/>
      <c r="CI1025" s="13"/>
      <c r="CJ1025" s="13"/>
    </row>
    <row r="1026">
      <c r="A1026" s="13"/>
      <c r="B1026" s="13"/>
      <c r="C1026" s="13"/>
      <c r="D1026" s="13"/>
      <c r="E1026" s="13"/>
      <c r="F1026" s="13"/>
      <c r="G1026" s="128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28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28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  <c r="BR1026" s="13"/>
      <c r="BS1026" s="13"/>
      <c r="BT1026" s="13"/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</row>
    <row r="1027">
      <c r="A1027" s="13"/>
      <c r="B1027" s="13"/>
      <c r="C1027" s="13"/>
      <c r="D1027" s="13"/>
      <c r="E1027" s="13"/>
      <c r="F1027" s="13"/>
      <c r="G1027" s="128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28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28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</row>
    <row r="1028">
      <c r="A1028" s="13"/>
      <c r="B1028" s="13"/>
      <c r="C1028" s="13"/>
      <c r="D1028" s="13"/>
      <c r="E1028" s="13"/>
      <c r="F1028" s="13"/>
      <c r="G1028" s="128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28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28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</row>
    <row r="1029">
      <c r="A1029" s="13"/>
      <c r="B1029" s="13"/>
      <c r="C1029" s="13"/>
      <c r="D1029" s="13"/>
      <c r="E1029" s="13"/>
      <c r="F1029" s="13"/>
      <c r="G1029" s="128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28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28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</row>
    <row r="1030">
      <c r="A1030" s="13"/>
      <c r="B1030" s="13"/>
      <c r="C1030" s="13"/>
      <c r="D1030" s="13"/>
      <c r="E1030" s="13"/>
      <c r="F1030" s="13"/>
      <c r="G1030" s="128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28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28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</row>
    <row r="1031">
      <c r="A1031" s="13"/>
      <c r="B1031" s="13"/>
      <c r="C1031" s="13"/>
      <c r="D1031" s="13"/>
      <c r="E1031" s="13"/>
      <c r="F1031" s="13"/>
      <c r="G1031" s="128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28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28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 s="13"/>
    </row>
    <row r="1032">
      <c r="A1032" s="13"/>
      <c r="B1032" s="13"/>
      <c r="C1032" s="13"/>
      <c r="D1032" s="13"/>
      <c r="E1032" s="13"/>
      <c r="F1032" s="13"/>
      <c r="G1032" s="128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28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28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  <c r="BW1032" s="13"/>
      <c r="BX1032" s="13"/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 s="13"/>
    </row>
    <row r="1033">
      <c r="A1033" s="13"/>
      <c r="B1033" s="13"/>
      <c r="C1033" s="13"/>
      <c r="D1033" s="13"/>
      <c r="E1033" s="13"/>
      <c r="F1033" s="13"/>
      <c r="G1033" s="128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28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28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 s="13"/>
    </row>
    <row r="1034">
      <c r="A1034" s="13"/>
      <c r="B1034" s="13"/>
      <c r="C1034" s="13"/>
      <c r="D1034" s="13"/>
      <c r="E1034" s="13"/>
      <c r="F1034" s="13"/>
      <c r="G1034" s="128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28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28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</row>
    <row r="1035">
      <c r="A1035" s="13"/>
      <c r="B1035" s="13"/>
      <c r="C1035" s="13"/>
      <c r="D1035" s="13"/>
      <c r="E1035" s="13"/>
      <c r="F1035" s="13"/>
      <c r="G1035" s="128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28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28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  <c r="BR1035" s="13"/>
      <c r="BS1035" s="13"/>
      <c r="BT1035" s="13"/>
      <c r="BU1035" s="13"/>
      <c r="BV1035" s="13"/>
      <c r="BW1035" s="13"/>
      <c r="BX1035" s="13"/>
      <c r="BY1035" s="13"/>
      <c r="BZ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 s="13"/>
    </row>
    <row r="1036">
      <c r="A1036" s="13"/>
      <c r="B1036" s="13"/>
      <c r="C1036" s="13"/>
      <c r="D1036" s="13"/>
      <c r="E1036" s="13"/>
      <c r="F1036" s="13"/>
      <c r="G1036" s="128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28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28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3"/>
      <c r="BT1036" s="13"/>
      <c r="BU1036" s="13"/>
      <c r="BV1036" s="13"/>
      <c r="BW1036" s="13"/>
      <c r="BX1036" s="13"/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 s="13"/>
    </row>
    <row r="1037">
      <c r="A1037" s="13"/>
      <c r="B1037" s="13"/>
      <c r="C1037" s="13"/>
      <c r="D1037" s="13"/>
      <c r="E1037" s="13"/>
      <c r="F1037" s="13"/>
      <c r="G1037" s="128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28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28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3"/>
      <c r="BX1037" s="13"/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 s="13"/>
    </row>
    <row r="1038">
      <c r="A1038" s="13"/>
      <c r="B1038" s="13"/>
      <c r="C1038" s="13"/>
      <c r="D1038" s="13"/>
      <c r="E1038" s="13"/>
      <c r="F1038" s="13"/>
      <c r="G1038" s="128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28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28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  <c r="BR1038" s="13"/>
      <c r="BS1038" s="13"/>
      <c r="BT1038" s="13"/>
      <c r="BU1038" s="13"/>
      <c r="BV1038" s="13"/>
      <c r="BW1038" s="13"/>
      <c r="BX1038" s="13"/>
      <c r="BY1038" s="13"/>
      <c r="BZ1038" s="13"/>
      <c r="CA1038" s="13"/>
      <c r="CB1038" s="13"/>
      <c r="CC1038" s="13"/>
      <c r="CD1038" s="13"/>
      <c r="CE1038" s="13"/>
      <c r="CF1038" s="13"/>
      <c r="CG1038" s="13"/>
      <c r="CH1038" s="13"/>
      <c r="CI1038" s="13"/>
      <c r="CJ1038" s="13"/>
    </row>
    <row r="1039">
      <c r="A1039" s="13"/>
      <c r="B1039" s="13"/>
      <c r="C1039" s="13"/>
      <c r="D1039" s="13"/>
      <c r="E1039" s="13"/>
      <c r="F1039" s="13"/>
      <c r="G1039" s="128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28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28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/>
      <c r="BS1039" s="13"/>
      <c r="BT1039" s="13"/>
      <c r="BU1039" s="13"/>
      <c r="BV1039" s="13"/>
      <c r="BW1039" s="13"/>
      <c r="BX1039" s="13"/>
      <c r="BY1039" s="13"/>
      <c r="BZ1039" s="13"/>
      <c r="CA1039" s="13"/>
      <c r="CB1039" s="13"/>
      <c r="CC1039" s="13"/>
      <c r="CD1039" s="13"/>
      <c r="CE1039" s="13"/>
      <c r="CF1039" s="13"/>
      <c r="CG1039" s="13"/>
      <c r="CH1039" s="13"/>
      <c r="CI1039" s="13"/>
      <c r="CJ1039" s="13"/>
    </row>
    <row r="1040">
      <c r="A1040" s="13"/>
      <c r="B1040" s="13"/>
      <c r="C1040" s="13"/>
      <c r="D1040" s="13"/>
      <c r="E1040" s="13"/>
      <c r="F1040" s="13"/>
      <c r="G1040" s="128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28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28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  <c r="BR1040" s="13"/>
      <c r="BS1040" s="13"/>
      <c r="BT1040" s="13"/>
      <c r="BU1040" s="13"/>
      <c r="BV1040" s="13"/>
      <c r="BW1040" s="13"/>
      <c r="BX1040" s="13"/>
      <c r="BY1040" s="13"/>
      <c r="BZ1040" s="13"/>
      <c r="CA1040" s="13"/>
      <c r="CB1040" s="13"/>
      <c r="CC1040" s="13"/>
      <c r="CD1040" s="13"/>
      <c r="CE1040" s="13"/>
      <c r="CF1040" s="13"/>
      <c r="CG1040" s="13"/>
      <c r="CH1040" s="13"/>
      <c r="CI1040" s="13"/>
      <c r="CJ1040" s="13"/>
    </row>
    <row r="1041">
      <c r="A1041" s="13"/>
      <c r="B1041" s="13"/>
      <c r="C1041" s="13"/>
      <c r="D1041" s="13"/>
      <c r="E1041" s="13"/>
      <c r="F1041" s="13"/>
      <c r="G1041" s="128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28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28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3"/>
      <c r="BT1041" s="13"/>
      <c r="BU1041" s="13"/>
      <c r="BV1041" s="13"/>
      <c r="BW1041" s="13"/>
      <c r="BX1041" s="13"/>
      <c r="BY1041" s="13"/>
      <c r="BZ1041" s="13"/>
      <c r="CA1041" s="13"/>
      <c r="CB1041" s="13"/>
      <c r="CC1041" s="13"/>
      <c r="CD1041" s="13"/>
      <c r="CE1041" s="13"/>
      <c r="CF1041" s="13"/>
      <c r="CG1041" s="13"/>
      <c r="CH1041" s="13"/>
      <c r="CI1041" s="13"/>
      <c r="CJ1041" s="13"/>
    </row>
    <row r="1042">
      <c r="A1042" s="13"/>
      <c r="B1042" s="13"/>
      <c r="C1042" s="13"/>
      <c r="D1042" s="13"/>
      <c r="E1042" s="13"/>
      <c r="F1042" s="13"/>
      <c r="G1042" s="128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28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28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 s="13"/>
    </row>
    <row r="1043">
      <c r="A1043" s="13"/>
      <c r="B1043" s="13"/>
      <c r="C1043" s="13"/>
      <c r="D1043" s="13"/>
      <c r="E1043" s="13"/>
      <c r="F1043" s="13"/>
      <c r="G1043" s="128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28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28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</row>
    <row r="1044">
      <c r="A1044" s="13"/>
      <c r="B1044" s="13"/>
      <c r="C1044" s="13"/>
      <c r="D1044" s="13"/>
      <c r="E1044" s="13"/>
      <c r="F1044" s="13"/>
      <c r="G1044" s="128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28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28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3"/>
      <c r="BX1044" s="13"/>
      <c r="BY1044" s="13"/>
      <c r="BZ1044" s="13"/>
      <c r="CA1044" s="13"/>
      <c r="CB1044" s="13"/>
      <c r="CC1044" s="13"/>
      <c r="CD1044" s="13"/>
      <c r="CE1044" s="13"/>
      <c r="CF1044" s="13"/>
      <c r="CG1044" s="13"/>
      <c r="CH1044" s="13"/>
      <c r="CI1044" s="13"/>
      <c r="CJ1044" s="13"/>
    </row>
    <row r="1045">
      <c r="A1045" s="13"/>
      <c r="B1045" s="13"/>
      <c r="C1045" s="13"/>
      <c r="D1045" s="13"/>
      <c r="E1045" s="13"/>
      <c r="F1045" s="13"/>
      <c r="G1045" s="128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28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28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  <c r="BR1045" s="13"/>
      <c r="BS1045" s="13"/>
      <c r="BT1045" s="13"/>
      <c r="BU1045" s="13"/>
      <c r="BV1045" s="13"/>
      <c r="BW1045" s="13"/>
      <c r="BX1045" s="13"/>
      <c r="BY1045" s="13"/>
      <c r="BZ1045" s="13"/>
      <c r="CA1045" s="13"/>
      <c r="CB1045" s="13"/>
      <c r="CC1045" s="13"/>
      <c r="CD1045" s="13"/>
      <c r="CE1045" s="13"/>
      <c r="CF1045" s="13"/>
      <c r="CG1045" s="13"/>
      <c r="CH1045" s="13"/>
      <c r="CI1045" s="13"/>
      <c r="CJ1045" s="13"/>
    </row>
    <row r="1046">
      <c r="A1046" s="13"/>
      <c r="B1046" s="13"/>
      <c r="C1046" s="13"/>
      <c r="D1046" s="13"/>
      <c r="E1046" s="13"/>
      <c r="F1046" s="13"/>
      <c r="G1046" s="128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28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28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</row>
    <row r="1047">
      <c r="A1047" s="13"/>
      <c r="B1047" s="13"/>
      <c r="C1047" s="13"/>
      <c r="D1047" s="13"/>
      <c r="E1047" s="13"/>
      <c r="F1047" s="13"/>
      <c r="G1047" s="128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28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28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</row>
    <row r="1048">
      <c r="A1048" s="13"/>
      <c r="B1048" s="13"/>
      <c r="C1048" s="13"/>
      <c r="D1048" s="13"/>
      <c r="E1048" s="13"/>
      <c r="F1048" s="13"/>
      <c r="G1048" s="128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28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28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 s="13"/>
    </row>
    <row r="1049">
      <c r="A1049" s="13"/>
      <c r="B1049" s="13"/>
      <c r="C1049" s="13"/>
      <c r="D1049" s="13"/>
      <c r="E1049" s="13"/>
      <c r="F1049" s="13"/>
      <c r="G1049" s="128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28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28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  <c r="BR1049" s="13"/>
      <c r="BS1049" s="13"/>
      <c r="BT1049" s="13"/>
      <c r="BU1049" s="13"/>
      <c r="BV1049" s="13"/>
      <c r="BW1049" s="13"/>
      <c r="BX1049" s="13"/>
      <c r="BY1049" s="13"/>
      <c r="BZ1049" s="13"/>
      <c r="CA1049" s="13"/>
      <c r="CB1049" s="13"/>
      <c r="CC1049" s="13"/>
      <c r="CD1049" s="13"/>
      <c r="CE1049" s="13"/>
      <c r="CF1049" s="13"/>
      <c r="CG1049" s="13"/>
      <c r="CH1049" s="13"/>
      <c r="CI1049" s="13"/>
      <c r="CJ1049" s="13"/>
    </row>
    <row r="1050">
      <c r="A1050" s="13"/>
      <c r="B1050" s="13"/>
      <c r="C1050" s="13"/>
      <c r="D1050" s="13"/>
      <c r="E1050" s="13"/>
      <c r="F1050" s="13"/>
      <c r="G1050" s="128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28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28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</row>
    <row r="1051">
      <c r="A1051" s="13"/>
      <c r="B1051" s="13"/>
      <c r="C1051" s="13"/>
      <c r="D1051" s="13"/>
      <c r="E1051" s="13"/>
      <c r="F1051" s="13"/>
      <c r="G1051" s="128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28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28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 s="13"/>
    </row>
    <row r="1052">
      <c r="A1052" s="13"/>
      <c r="B1052" s="13"/>
      <c r="C1052" s="13"/>
      <c r="D1052" s="13"/>
      <c r="E1052" s="13"/>
      <c r="F1052" s="13"/>
      <c r="G1052" s="128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28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28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3"/>
      <c r="BX1052" s="13"/>
      <c r="BY1052" s="13"/>
      <c r="BZ1052" s="13"/>
      <c r="CA1052" s="13"/>
      <c r="CB1052" s="13"/>
      <c r="CC1052" s="13"/>
      <c r="CD1052" s="13"/>
      <c r="CE1052" s="13"/>
      <c r="CF1052" s="13"/>
      <c r="CG1052" s="13"/>
      <c r="CH1052" s="13"/>
      <c r="CI1052" s="13"/>
      <c r="CJ1052" s="13"/>
    </row>
    <row r="1053">
      <c r="A1053" s="13"/>
      <c r="B1053" s="13"/>
      <c r="C1053" s="13"/>
      <c r="D1053" s="13"/>
      <c r="E1053" s="13"/>
      <c r="F1053" s="13"/>
      <c r="G1053" s="128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28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28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  <c r="BR1053" s="13"/>
      <c r="BS1053" s="13"/>
      <c r="BT1053" s="13"/>
      <c r="BU1053" s="13"/>
      <c r="BV1053" s="13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</row>
    <row r="1054">
      <c r="A1054" s="13"/>
      <c r="B1054" s="13"/>
      <c r="C1054" s="13"/>
      <c r="D1054" s="13"/>
      <c r="E1054" s="13"/>
      <c r="F1054" s="13"/>
      <c r="G1054" s="128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28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28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</row>
    <row r="1055">
      <c r="A1055" s="13"/>
      <c r="B1055" s="13"/>
      <c r="C1055" s="13"/>
      <c r="D1055" s="13"/>
      <c r="E1055" s="13"/>
      <c r="F1055" s="13"/>
      <c r="G1055" s="128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28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28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</row>
    <row r="1056">
      <c r="A1056" s="13"/>
      <c r="B1056" s="13"/>
      <c r="C1056" s="13"/>
      <c r="D1056" s="13"/>
      <c r="E1056" s="13"/>
      <c r="F1056" s="13"/>
      <c r="G1056" s="128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28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28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/>
      <c r="BR1056" s="13"/>
      <c r="BS1056" s="13"/>
      <c r="BT1056" s="13"/>
      <c r="BU1056" s="13"/>
      <c r="BV1056" s="13"/>
      <c r="BW1056" s="13"/>
      <c r="BX1056" s="13"/>
      <c r="BY1056" s="13"/>
      <c r="BZ1056" s="13"/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 s="13"/>
    </row>
    <row r="1057">
      <c r="A1057" s="13"/>
      <c r="B1057" s="13"/>
      <c r="C1057" s="13"/>
      <c r="D1057" s="13"/>
      <c r="E1057" s="13"/>
      <c r="F1057" s="13"/>
      <c r="G1057" s="128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28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28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  <c r="BR1057" s="13"/>
      <c r="BS1057" s="13"/>
      <c r="BT1057" s="13"/>
      <c r="BU1057" s="13"/>
      <c r="BV1057" s="13"/>
      <c r="BW1057" s="13"/>
      <c r="BX1057" s="13"/>
      <c r="BY1057" s="13"/>
      <c r="BZ1057" s="13"/>
      <c r="CA1057" s="13"/>
      <c r="CB1057" s="13"/>
      <c r="CC1057" s="13"/>
      <c r="CD1057" s="13"/>
      <c r="CE1057" s="13"/>
      <c r="CF1057" s="13"/>
      <c r="CG1057" s="13"/>
      <c r="CH1057" s="13"/>
      <c r="CI1057" s="13"/>
      <c r="CJ1057" s="13"/>
    </row>
    <row r="1058">
      <c r="A1058" s="13"/>
      <c r="B1058" s="13"/>
      <c r="C1058" s="13"/>
      <c r="D1058" s="13"/>
      <c r="E1058" s="13"/>
      <c r="F1058" s="13"/>
      <c r="G1058" s="128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28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28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  <c r="BW1058" s="13"/>
      <c r="BX1058" s="13"/>
      <c r="BY1058" s="13"/>
      <c r="BZ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 s="13"/>
    </row>
    <row r="1059">
      <c r="A1059" s="13"/>
      <c r="B1059" s="13"/>
      <c r="C1059" s="13"/>
      <c r="D1059" s="13"/>
      <c r="E1059" s="13"/>
      <c r="F1059" s="13"/>
      <c r="G1059" s="128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28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28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/>
      <c r="BS1059" s="13"/>
      <c r="BT1059" s="13"/>
      <c r="BU1059" s="13"/>
      <c r="BV1059" s="13"/>
      <c r="BW1059" s="13"/>
      <c r="BX1059" s="13"/>
      <c r="BY1059" s="13"/>
      <c r="BZ1059" s="13"/>
      <c r="CA1059" s="13"/>
      <c r="CB1059" s="13"/>
      <c r="CC1059" s="13"/>
      <c r="CD1059" s="13"/>
      <c r="CE1059" s="13"/>
      <c r="CF1059" s="13"/>
      <c r="CG1059" s="13"/>
      <c r="CH1059" s="13"/>
      <c r="CI1059" s="13"/>
      <c r="CJ1059" s="13"/>
    </row>
    <row r="1060">
      <c r="A1060" s="13"/>
      <c r="B1060" s="13"/>
      <c r="C1060" s="13"/>
      <c r="D1060" s="13"/>
      <c r="E1060" s="13"/>
      <c r="F1060" s="13"/>
      <c r="G1060" s="128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28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28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/>
      <c r="CC1060" s="13"/>
      <c r="CD1060" s="13"/>
      <c r="CE1060" s="13"/>
      <c r="CF1060" s="13"/>
      <c r="CG1060" s="13"/>
      <c r="CH1060" s="13"/>
      <c r="CI1060" s="13"/>
      <c r="CJ1060" s="13"/>
    </row>
    <row r="1061">
      <c r="A1061" s="13"/>
      <c r="B1061" s="13"/>
      <c r="C1061" s="13"/>
      <c r="D1061" s="13"/>
      <c r="E1061" s="13"/>
      <c r="F1061" s="13"/>
      <c r="G1061" s="128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28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28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3"/>
      <c r="BX1061" s="13"/>
      <c r="BY1061" s="13"/>
      <c r="BZ1061" s="13"/>
      <c r="CA1061" s="13"/>
      <c r="CB1061" s="13"/>
      <c r="CC1061" s="13"/>
      <c r="CD1061" s="13"/>
      <c r="CE1061" s="13"/>
      <c r="CF1061" s="13"/>
      <c r="CG1061" s="13"/>
      <c r="CH1061" s="13"/>
      <c r="CI1061" s="13"/>
      <c r="CJ1061" s="13"/>
    </row>
    <row r="1062">
      <c r="A1062" s="13"/>
      <c r="B1062" s="13"/>
      <c r="C1062" s="13"/>
      <c r="D1062" s="13"/>
      <c r="E1062" s="13"/>
      <c r="F1062" s="13"/>
      <c r="G1062" s="128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28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28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</row>
    <row r="1063">
      <c r="A1063" s="13"/>
      <c r="B1063" s="13"/>
      <c r="C1063" s="13"/>
      <c r="D1063" s="13"/>
      <c r="E1063" s="13"/>
      <c r="F1063" s="13"/>
      <c r="G1063" s="128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28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28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</row>
    <row r="1064">
      <c r="A1064" s="13"/>
      <c r="B1064" s="13"/>
      <c r="C1064" s="13"/>
      <c r="D1064" s="13"/>
      <c r="E1064" s="13"/>
      <c r="F1064" s="13"/>
      <c r="G1064" s="128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28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28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3"/>
      <c r="BQ1064" s="13"/>
      <c r="BR1064" s="13"/>
      <c r="BS1064" s="13"/>
      <c r="BT1064" s="13"/>
      <c r="BU1064" s="13"/>
      <c r="BV1064" s="13"/>
      <c r="BW1064" s="13"/>
      <c r="BX1064" s="13"/>
      <c r="BY1064" s="13"/>
      <c r="BZ1064" s="13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 s="13"/>
    </row>
    <row r="1065">
      <c r="A1065" s="13"/>
      <c r="B1065" s="13"/>
      <c r="C1065" s="13"/>
      <c r="D1065" s="13"/>
      <c r="E1065" s="13"/>
      <c r="F1065" s="13"/>
      <c r="G1065" s="128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28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28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/>
      <c r="BS1065" s="13"/>
      <c r="BT1065" s="13"/>
      <c r="BU1065" s="13"/>
      <c r="BV1065" s="13"/>
      <c r="BW1065" s="13"/>
      <c r="BX1065" s="13"/>
      <c r="BY1065" s="13"/>
      <c r="BZ1065" s="13"/>
      <c r="CA1065" s="13"/>
      <c r="CB1065" s="13"/>
      <c r="CC1065" s="13"/>
      <c r="CD1065" s="13"/>
      <c r="CE1065" s="13"/>
      <c r="CF1065" s="13"/>
      <c r="CG1065" s="13"/>
      <c r="CH1065" s="13"/>
      <c r="CI1065" s="13"/>
      <c r="CJ1065" s="13"/>
    </row>
    <row r="1066">
      <c r="A1066" s="13"/>
      <c r="B1066" s="13"/>
      <c r="C1066" s="13"/>
      <c r="D1066" s="13"/>
      <c r="E1066" s="13"/>
      <c r="F1066" s="13"/>
      <c r="G1066" s="128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28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28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  <c r="BW1066" s="13"/>
      <c r="BX1066" s="13"/>
      <c r="BY1066" s="13"/>
      <c r="BZ1066" s="13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</row>
    <row r="1067">
      <c r="A1067" s="13"/>
      <c r="B1067" s="13"/>
      <c r="C1067" s="13"/>
      <c r="D1067" s="13"/>
      <c r="E1067" s="13"/>
      <c r="F1067" s="13"/>
      <c r="G1067" s="128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28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28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</row>
    <row r="1068">
      <c r="A1068" s="13"/>
      <c r="B1068" s="13"/>
      <c r="C1068" s="13"/>
      <c r="D1068" s="13"/>
      <c r="E1068" s="13"/>
      <c r="F1068" s="13"/>
      <c r="G1068" s="128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28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28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</row>
    <row r="1069">
      <c r="A1069" s="13"/>
      <c r="B1069" s="13"/>
      <c r="C1069" s="13"/>
      <c r="D1069" s="13"/>
      <c r="E1069" s="13"/>
      <c r="F1069" s="13"/>
      <c r="G1069" s="128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28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28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</row>
    <row r="1070">
      <c r="A1070" s="13"/>
      <c r="B1070" s="13"/>
      <c r="C1070" s="13"/>
      <c r="D1070" s="13"/>
      <c r="E1070" s="13"/>
      <c r="F1070" s="13"/>
      <c r="G1070" s="128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28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28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/>
      <c r="BZ1070" s="13"/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 s="13"/>
    </row>
    <row r="1071">
      <c r="A1071" s="13"/>
      <c r="B1071" s="13"/>
      <c r="C1071" s="13"/>
      <c r="D1071" s="13"/>
      <c r="E1071" s="13"/>
      <c r="F1071" s="13"/>
      <c r="G1071" s="128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28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28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</row>
    <row r="1072">
      <c r="A1072" s="13"/>
      <c r="B1072" s="13"/>
      <c r="C1072" s="13"/>
      <c r="D1072" s="13"/>
      <c r="E1072" s="13"/>
      <c r="F1072" s="13"/>
      <c r="G1072" s="128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28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28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</row>
    <row r="1073">
      <c r="A1073" s="13"/>
      <c r="B1073" s="13"/>
      <c r="C1073" s="13"/>
      <c r="D1073" s="13"/>
      <c r="E1073" s="13"/>
      <c r="F1073" s="13"/>
      <c r="G1073" s="128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28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28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/>
      <c r="BR1073" s="13"/>
      <c r="BS1073" s="13"/>
      <c r="BT1073" s="13"/>
      <c r="BU1073" s="13"/>
      <c r="BV1073" s="13"/>
      <c r="BW1073" s="13"/>
      <c r="BX1073" s="13"/>
      <c r="BY1073" s="13"/>
      <c r="BZ1073" s="13"/>
      <c r="CA1073" s="13"/>
      <c r="CB1073" s="13"/>
      <c r="CC1073" s="13"/>
      <c r="CD1073" s="13"/>
      <c r="CE1073" s="13"/>
      <c r="CF1073" s="13"/>
      <c r="CG1073" s="13"/>
      <c r="CH1073" s="13"/>
      <c r="CI1073" s="13"/>
      <c r="CJ1073" s="13"/>
    </row>
    <row r="1074">
      <c r="A1074" s="13"/>
      <c r="B1074" s="13"/>
      <c r="C1074" s="13"/>
      <c r="D1074" s="13"/>
      <c r="E1074" s="13"/>
      <c r="F1074" s="13"/>
      <c r="G1074" s="128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28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28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</row>
    <row r="1075">
      <c r="A1075" s="13"/>
      <c r="B1075" s="13"/>
      <c r="C1075" s="13"/>
      <c r="D1075" s="13"/>
      <c r="E1075" s="13"/>
      <c r="F1075" s="13"/>
      <c r="G1075" s="128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28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28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  <c r="CJ1075" s="13"/>
    </row>
    <row r="1076">
      <c r="A1076" s="13"/>
      <c r="B1076" s="13"/>
      <c r="C1076" s="13"/>
      <c r="D1076" s="13"/>
      <c r="E1076" s="13"/>
      <c r="F1076" s="13"/>
      <c r="G1076" s="128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28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28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/>
    </row>
    <row r="1077">
      <c r="A1077" s="13"/>
      <c r="B1077" s="13"/>
      <c r="C1077" s="13"/>
      <c r="D1077" s="13"/>
      <c r="E1077" s="13"/>
      <c r="F1077" s="13"/>
      <c r="G1077" s="128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28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28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</row>
    <row r="1078">
      <c r="A1078" s="13"/>
      <c r="B1078" s="13"/>
      <c r="C1078" s="13"/>
      <c r="D1078" s="13"/>
      <c r="E1078" s="13"/>
      <c r="F1078" s="13"/>
      <c r="G1078" s="128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28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28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 s="13"/>
    </row>
    <row r="1079">
      <c r="A1079" s="13"/>
      <c r="B1079" s="13"/>
      <c r="C1079" s="13"/>
      <c r="D1079" s="13"/>
      <c r="E1079" s="13"/>
      <c r="F1079" s="13"/>
      <c r="G1079" s="128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28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28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  <c r="BW1079" s="13"/>
      <c r="BX1079" s="13"/>
      <c r="BY1079" s="13"/>
      <c r="BZ1079" s="13"/>
      <c r="CA1079" s="13"/>
      <c r="CB1079" s="13"/>
      <c r="CC1079" s="13"/>
      <c r="CD1079" s="13"/>
      <c r="CE1079" s="13"/>
      <c r="CF1079" s="13"/>
      <c r="CG1079" s="13"/>
      <c r="CH1079" s="13"/>
      <c r="CI1079" s="13"/>
      <c r="CJ1079" s="13"/>
    </row>
    <row r="1080">
      <c r="A1080" s="13"/>
      <c r="B1080" s="13"/>
      <c r="C1080" s="13"/>
      <c r="D1080" s="13"/>
      <c r="E1080" s="13"/>
      <c r="F1080" s="13"/>
      <c r="G1080" s="128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28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28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 s="13"/>
    </row>
    <row r="1081">
      <c r="A1081" s="13"/>
      <c r="B1081" s="13"/>
      <c r="C1081" s="13"/>
      <c r="D1081" s="13"/>
      <c r="E1081" s="13"/>
      <c r="F1081" s="13"/>
      <c r="G1081" s="128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28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28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 s="13"/>
    </row>
    <row r="1082">
      <c r="A1082" s="13"/>
      <c r="B1082" s="13"/>
      <c r="C1082" s="13"/>
      <c r="D1082" s="13"/>
      <c r="E1082" s="13"/>
      <c r="F1082" s="13"/>
      <c r="G1082" s="128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28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28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  <c r="CI1082" s="13"/>
      <c r="CJ1082" s="13"/>
    </row>
    <row r="1083">
      <c r="A1083" s="13"/>
      <c r="B1083" s="13"/>
      <c r="C1083" s="13"/>
      <c r="D1083" s="13"/>
      <c r="E1083" s="13"/>
      <c r="F1083" s="13"/>
      <c r="G1083" s="128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28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28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 s="13"/>
    </row>
    <row r="1084">
      <c r="A1084" s="13"/>
      <c r="B1084" s="13"/>
      <c r="C1084" s="13"/>
      <c r="D1084" s="13"/>
      <c r="E1084" s="13"/>
      <c r="F1084" s="13"/>
      <c r="G1084" s="128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28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28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 s="13"/>
    </row>
  </sheetData>
  <mergeCells count="288">
    <mergeCell ref="M28:X28"/>
    <mergeCell ref="Y28:AJ28"/>
    <mergeCell ref="A1:L1"/>
    <mergeCell ref="M1:X1"/>
    <mergeCell ref="Y1:AJ1"/>
    <mergeCell ref="A2:L2"/>
    <mergeCell ref="M2:X2"/>
    <mergeCell ref="Y2:AJ2"/>
    <mergeCell ref="A28:L28"/>
    <mergeCell ref="M56:X56"/>
    <mergeCell ref="Y56:AJ56"/>
    <mergeCell ref="A29:L29"/>
    <mergeCell ref="M29:X29"/>
    <mergeCell ref="Y29:AJ29"/>
    <mergeCell ref="A55:L55"/>
    <mergeCell ref="M55:X55"/>
    <mergeCell ref="Y55:AJ55"/>
    <mergeCell ref="A56:L56"/>
    <mergeCell ref="M109:X109"/>
    <mergeCell ref="Y109:AJ109"/>
    <mergeCell ref="AK109:AV109"/>
    <mergeCell ref="AW109:BH109"/>
    <mergeCell ref="BI109:BT109"/>
    <mergeCell ref="A110:L110"/>
    <mergeCell ref="M110:X110"/>
    <mergeCell ref="Y110:AJ110"/>
    <mergeCell ref="AK110:AV110"/>
    <mergeCell ref="AW110:BH110"/>
    <mergeCell ref="BI110:BT110"/>
    <mergeCell ref="A82:L82"/>
    <mergeCell ref="M82:X82"/>
    <mergeCell ref="Y82:AJ82"/>
    <mergeCell ref="A83:L83"/>
    <mergeCell ref="M83:X83"/>
    <mergeCell ref="Y83:AJ83"/>
    <mergeCell ref="A109:L109"/>
    <mergeCell ref="A217:L217"/>
    <mergeCell ref="M217:X217"/>
    <mergeCell ref="Y217:AJ217"/>
    <mergeCell ref="AK217:AV217"/>
    <mergeCell ref="AW217:BH217"/>
    <mergeCell ref="BI217:BT217"/>
    <mergeCell ref="BU217:CF217"/>
    <mergeCell ref="A218:L218"/>
    <mergeCell ref="M218:X218"/>
    <mergeCell ref="Y218:AJ218"/>
    <mergeCell ref="AK218:AV218"/>
    <mergeCell ref="AW218:BH218"/>
    <mergeCell ref="BI218:BT218"/>
    <mergeCell ref="BU218:CF218"/>
    <mergeCell ref="A244:L244"/>
    <mergeCell ref="M244:X244"/>
    <mergeCell ref="Y244:AJ244"/>
    <mergeCell ref="AK244:AV244"/>
    <mergeCell ref="AW244:BH244"/>
    <mergeCell ref="BI244:BT244"/>
    <mergeCell ref="BU244:CF244"/>
    <mergeCell ref="A245:L245"/>
    <mergeCell ref="M245:X245"/>
    <mergeCell ref="Y245:AJ245"/>
    <mergeCell ref="AK245:AV245"/>
    <mergeCell ref="AW245:BH245"/>
    <mergeCell ref="BI245:BT245"/>
    <mergeCell ref="BU245:CF245"/>
    <mergeCell ref="A271:L271"/>
    <mergeCell ref="M271:X271"/>
    <mergeCell ref="Y271:AJ271"/>
    <mergeCell ref="AK271:AV271"/>
    <mergeCell ref="AW271:BH271"/>
    <mergeCell ref="BI271:BT271"/>
    <mergeCell ref="BU271:CF271"/>
    <mergeCell ref="A272:L272"/>
    <mergeCell ref="M272:X272"/>
    <mergeCell ref="Y272:AJ272"/>
    <mergeCell ref="AK272:AV272"/>
    <mergeCell ref="AW272:BH272"/>
    <mergeCell ref="BI272:BT272"/>
    <mergeCell ref="BU272:CF272"/>
    <mergeCell ref="A298:L298"/>
    <mergeCell ref="M298:X298"/>
    <mergeCell ref="Y298:AJ298"/>
    <mergeCell ref="AK298:AV298"/>
    <mergeCell ref="AW298:BH298"/>
    <mergeCell ref="BI298:BT298"/>
    <mergeCell ref="BU298:CF298"/>
    <mergeCell ref="A299:L299"/>
    <mergeCell ref="M299:X299"/>
    <mergeCell ref="Y299:AJ299"/>
    <mergeCell ref="AK299:AV299"/>
    <mergeCell ref="AW299:BH299"/>
    <mergeCell ref="BI299:BT299"/>
    <mergeCell ref="BU299:CF299"/>
    <mergeCell ref="A325:L325"/>
    <mergeCell ref="M325:X325"/>
    <mergeCell ref="Y325:AJ325"/>
    <mergeCell ref="AK325:AV325"/>
    <mergeCell ref="AW325:BH325"/>
    <mergeCell ref="BI325:BT325"/>
    <mergeCell ref="BU325:CF325"/>
    <mergeCell ref="A326:L326"/>
    <mergeCell ref="M326:X326"/>
    <mergeCell ref="Y326:AJ326"/>
    <mergeCell ref="AK326:AV326"/>
    <mergeCell ref="AW326:BH326"/>
    <mergeCell ref="BI326:BT326"/>
    <mergeCell ref="BU326:CF326"/>
    <mergeCell ref="A352:L352"/>
    <mergeCell ref="M352:X352"/>
    <mergeCell ref="Y352:AJ352"/>
    <mergeCell ref="AK352:AV352"/>
    <mergeCell ref="AW352:BH352"/>
    <mergeCell ref="BI352:BT352"/>
    <mergeCell ref="BU352:CF352"/>
    <mergeCell ref="A353:L353"/>
    <mergeCell ref="M353:X353"/>
    <mergeCell ref="Y353:AJ353"/>
    <mergeCell ref="AK353:AV353"/>
    <mergeCell ref="AW353:BH353"/>
    <mergeCell ref="BI353:BT353"/>
    <mergeCell ref="BU353:CF353"/>
    <mergeCell ref="A568:L568"/>
    <mergeCell ref="M568:X568"/>
    <mergeCell ref="Y568:AJ568"/>
    <mergeCell ref="AK568:AV568"/>
    <mergeCell ref="AW568:BH568"/>
    <mergeCell ref="BI568:BT568"/>
    <mergeCell ref="BU568:CF568"/>
    <mergeCell ref="A569:L569"/>
    <mergeCell ref="M569:X569"/>
    <mergeCell ref="Y569:AJ569"/>
    <mergeCell ref="AK569:AV569"/>
    <mergeCell ref="AW569:BH569"/>
    <mergeCell ref="BI569:BT569"/>
    <mergeCell ref="BU569:CF569"/>
    <mergeCell ref="A136:L136"/>
    <mergeCell ref="M136:X136"/>
    <mergeCell ref="Y136:AJ136"/>
    <mergeCell ref="AK136:AV136"/>
    <mergeCell ref="AW136:BH136"/>
    <mergeCell ref="BI136:BT136"/>
    <mergeCell ref="BU136:CF136"/>
    <mergeCell ref="A137:L137"/>
    <mergeCell ref="M137:X137"/>
    <mergeCell ref="Y137:AJ137"/>
    <mergeCell ref="AK137:AV137"/>
    <mergeCell ref="AW137:BH137"/>
    <mergeCell ref="BI137:BT137"/>
    <mergeCell ref="BU137:CF137"/>
    <mergeCell ref="A163:L163"/>
    <mergeCell ref="M163:X163"/>
    <mergeCell ref="Y163:AJ163"/>
    <mergeCell ref="AK163:AV163"/>
    <mergeCell ref="AW163:BH163"/>
    <mergeCell ref="BI163:BT163"/>
    <mergeCell ref="BU163:CF163"/>
    <mergeCell ref="A164:L164"/>
    <mergeCell ref="M164:X164"/>
    <mergeCell ref="Y164:AJ164"/>
    <mergeCell ref="AK164:AV164"/>
    <mergeCell ref="AW164:BH164"/>
    <mergeCell ref="BI164:BT164"/>
    <mergeCell ref="BU164:CF164"/>
    <mergeCell ref="A190:L190"/>
    <mergeCell ref="M190:X190"/>
    <mergeCell ref="Y190:AJ190"/>
    <mergeCell ref="AK190:AV190"/>
    <mergeCell ref="AW190:BH190"/>
    <mergeCell ref="BI190:BT190"/>
    <mergeCell ref="BU190:CF190"/>
    <mergeCell ref="A191:L191"/>
    <mergeCell ref="M191:X191"/>
    <mergeCell ref="Y191:AJ191"/>
    <mergeCell ref="AK191:AV191"/>
    <mergeCell ref="AW191:BH191"/>
    <mergeCell ref="BI191:BT191"/>
    <mergeCell ref="BU191:CF191"/>
    <mergeCell ref="A596:L596"/>
    <mergeCell ref="M596:X596"/>
    <mergeCell ref="Y596:AJ596"/>
    <mergeCell ref="AK596:AV596"/>
    <mergeCell ref="AW596:BH596"/>
    <mergeCell ref="BI596:BT596"/>
    <mergeCell ref="BU596:CF596"/>
    <mergeCell ref="A595:L595"/>
    <mergeCell ref="M595:X595"/>
    <mergeCell ref="Y595:AJ595"/>
    <mergeCell ref="AK595:AV595"/>
    <mergeCell ref="AW595:BH595"/>
    <mergeCell ref="BI595:BT595"/>
    <mergeCell ref="BU595:CF595"/>
    <mergeCell ref="A379:L379"/>
    <mergeCell ref="M379:X379"/>
    <mergeCell ref="Y379:AJ379"/>
    <mergeCell ref="AK379:AV379"/>
    <mergeCell ref="AW379:BH379"/>
    <mergeCell ref="BI379:BT379"/>
    <mergeCell ref="BU379:CF379"/>
    <mergeCell ref="A380:L380"/>
    <mergeCell ref="M380:X380"/>
    <mergeCell ref="Y380:AJ380"/>
    <mergeCell ref="AK380:AV380"/>
    <mergeCell ref="AW380:BH380"/>
    <mergeCell ref="BI380:BT380"/>
    <mergeCell ref="BU380:CF380"/>
    <mergeCell ref="A406:L406"/>
    <mergeCell ref="M406:X406"/>
    <mergeCell ref="Y406:AJ406"/>
    <mergeCell ref="AK406:AV406"/>
    <mergeCell ref="AW406:BH406"/>
    <mergeCell ref="BI406:BT406"/>
    <mergeCell ref="BU406:CF406"/>
    <mergeCell ref="A407:L407"/>
    <mergeCell ref="M407:X407"/>
    <mergeCell ref="Y407:AJ407"/>
    <mergeCell ref="AK407:AV407"/>
    <mergeCell ref="AW407:BH407"/>
    <mergeCell ref="BI407:BT407"/>
    <mergeCell ref="BU407:CF407"/>
    <mergeCell ref="A433:L433"/>
    <mergeCell ref="M433:X433"/>
    <mergeCell ref="Y433:AJ433"/>
    <mergeCell ref="AK433:AV433"/>
    <mergeCell ref="AW433:BH433"/>
    <mergeCell ref="BI433:BT433"/>
    <mergeCell ref="BU433:CF433"/>
    <mergeCell ref="A434:L434"/>
    <mergeCell ref="M434:X434"/>
    <mergeCell ref="Y434:AJ434"/>
    <mergeCell ref="AK434:AV434"/>
    <mergeCell ref="AW434:BH434"/>
    <mergeCell ref="BI434:BT434"/>
    <mergeCell ref="BU434:CF434"/>
    <mergeCell ref="A460:L460"/>
    <mergeCell ref="M460:X460"/>
    <mergeCell ref="Y460:AJ460"/>
    <mergeCell ref="AK460:AV460"/>
    <mergeCell ref="AW460:BH460"/>
    <mergeCell ref="BI460:BT460"/>
    <mergeCell ref="BU460:CF460"/>
    <mergeCell ref="A461:L461"/>
    <mergeCell ref="M461:X461"/>
    <mergeCell ref="Y461:AJ461"/>
    <mergeCell ref="AK461:AV461"/>
    <mergeCell ref="AW461:BH461"/>
    <mergeCell ref="BI461:BT461"/>
    <mergeCell ref="BU461:CF461"/>
    <mergeCell ref="A487:L487"/>
    <mergeCell ref="M487:X487"/>
    <mergeCell ref="Y487:AJ487"/>
    <mergeCell ref="AK487:AV487"/>
    <mergeCell ref="AW487:BH487"/>
    <mergeCell ref="BI487:BT487"/>
    <mergeCell ref="BU487:CF487"/>
    <mergeCell ref="A488:L488"/>
    <mergeCell ref="M488:X488"/>
    <mergeCell ref="Y488:AJ488"/>
    <mergeCell ref="AK488:AV488"/>
    <mergeCell ref="AW488:BH488"/>
    <mergeCell ref="BI488:BT488"/>
    <mergeCell ref="BU488:CF488"/>
    <mergeCell ref="A514:L514"/>
    <mergeCell ref="M514:X514"/>
    <mergeCell ref="Y514:AJ514"/>
    <mergeCell ref="AK514:AV514"/>
    <mergeCell ref="AW514:BH514"/>
    <mergeCell ref="BI514:BT514"/>
    <mergeCell ref="BU514:CF514"/>
    <mergeCell ref="A515:L515"/>
    <mergeCell ref="M515:X515"/>
    <mergeCell ref="Y515:AJ515"/>
    <mergeCell ref="AK515:AV515"/>
    <mergeCell ref="AW515:BH515"/>
    <mergeCell ref="BI515:BT515"/>
    <mergeCell ref="BU515:CF515"/>
    <mergeCell ref="A541:L541"/>
    <mergeCell ref="M541:X541"/>
    <mergeCell ref="Y541:AJ541"/>
    <mergeCell ref="AK541:AV541"/>
    <mergeCell ref="AW541:BH541"/>
    <mergeCell ref="BI541:BT541"/>
    <mergeCell ref="BU541:CF541"/>
    <mergeCell ref="A542:L542"/>
    <mergeCell ref="M542:X542"/>
    <mergeCell ref="Y542:AJ542"/>
    <mergeCell ref="AK542:AV542"/>
    <mergeCell ref="AW542:BH542"/>
    <mergeCell ref="BI542:BT542"/>
    <mergeCell ref="BU542:CF542"/>
  </mergeCells>
  <drawing r:id="rId1"/>
</worksheet>
</file>