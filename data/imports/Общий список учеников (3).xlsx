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bilis" sheetId="1" r:id="rId5"/>
    <sheet state="visible" name="Курсы" sheetId="2" r:id="rId6"/>
    <sheet state="visible" name="IELTS часы" sheetId="3" r:id="rId7"/>
  </sheets>
  <definedNames>
    <definedName hidden="1" localSheetId="0" name="_xlnm._FilterDatabase">Nobilis!$A$1:$Q$115</definedName>
  </definedNames>
  <calcPr/>
</workbook>
</file>

<file path=xl/sharedStrings.xml><?xml version="1.0" encoding="utf-8"?>
<sst xmlns="http://schemas.openxmlformats.org/spreadsheetml/2006/main" count="2197" uniqueCount="888">
  <si>
    <t>аа</t>
  </si>
  <si>
    <t>№ договора</t>
  </si>
  <si>
    <t>ФИО Родителя</t>
  </si>
  <si>
    <t>ФИО ребенка</t>
  </si>
  <si>
    <t>Менеджер</t>
  </si>
  <si>
    <t>Дата заключение договора</t>
  </si>
  <si>
    <t>условия</t>
  </si>
  <si>
    <t>Обучение с/до</t>
  </si>
  <si>
    <t>Общ сумма</t>
  </si>
  <si>
    <t>Оплачено</t>
  </si>
  <si>
    <t>Как оплчено нал/рассрочка</t>
  </si>
  <si>
    <t>условие оплаты</t>
  </si>
  <si>
    <t>ссылка на битрикс</t>
  </si>
  <si>
    <t>комментарии</t>
  </si>
  <si>
    <t>Дата начала</t>
  </si>
  <si>
    <t>Дата окончания</t>
  </si>
  <si>
    <t>Всего недель</t>
  </si>
  <si>
    <t>количество занятий в неделю</t>
  </si>
  <si>
    <t>часов за занятие</t>
  </si>
  <si>
    <t>Общ Часов обучения</t>
  </si>
  <si>
    <t>Дней прошло</t>
  </si>
  <si>
    <t>Недель прошло</t>
  </si>
  <si>
    <t>Проведено часов</t>
  </si>
  <si>
    <t>Осталось часов</t>
  </si>
  <si>
    <t>Цена за 1 час</t>
  </si>
  <si>
    <t>Краузе-Жакупбекова Инна</t>
  </si>
  <si>
    <t>Жакупбекова Дарина</t>
  </si>
  <si>
    <t>Мадияр</t>
  </si>
  <si>
    <t>Обучение+Сопровод</t>
  </si>
  <si>
    <t>17.06.2024 - 17.03.2025</t>
  </si>
  <si>
    <t>?</t>
  </si>
  <si>
    <t>https://nobilis.bitrix24.kz/crm/deal/details/1163/</t>
  </si>
  <si>
    <t>есть договор, на след год</t>
  </si>
  <si>
    <t>Иргалиев Талгат Базаргалиевич</t>
  </si>
  <si>
    <t>Иргалиев Аян Талгатович</t>
  </si>
  <si>
    <t>11.06.2024-01.03.2025</t>
  </si>
  <si>
    <t>https://nobilis.bitrix24.kz/crm/deal/details/16221/</t>
  </si>
  <si>
    <t>на след год нет договора</t>
  </si>
  <si>
    <t>Тулегенова Батима</t>
  </si>
  <si>
    <t>Амангалиева Камила</t>
  </si>
  <si>
    <t>Сопровождение</t>
  </si>
  <si>
    <t>до 31.02.2025</t>
  </si>
  <si>
    <t>полная оплата</t>
  </si>
  <si>
    <t>https://nobilis.bitrix24.kz/crm/deal/details/1161/</t>
  </si>
  <si>
    <t>онлайн Алмата</t>
  </si>
  <si>
    <t>поступила</t>
  </si>
  <si>
    <t>нет договора</t>
  </si>
  <si>
    <t>Жакупов Азамат Асетович</t>
  </si>
  <si>
    <t>Әсет Фараби Азаматұлы</t>
  </si>
  <si>
    <t>500 при подписании остаток 1,1млн(оплатил 27авг) до 31.08.2024</t>
  </si>
  <si>
    <t>https://nobilis.bitrix24.kz/crm/deal/details/6223/</t>
  </si>
  <si>
    <t>есть договор, в процессе</t>
  </si>
  <si>
    <t>Нургалиев Марат Искакович</t>
  </si>
  <si>
    <t>Нургалиев Аслан</t>
  </si>
  <si>
    <t>20.06.2024-20.03.2025</t>
  </si>
  <si>
    <t>https://nobilis.bitrix24.kz/crm/deal/details/1159/</t>
  </si>
  <si>
    <t>Кеулимжаева Сауле Куантхановна</t>
  </si>
  <si>
    <t>Куантханов Алихан Серикович</t>
  </si>
  <si>
    <t xml:space="preserve">Мадина </t>
  </si>
  <si>
    <t>24.06.2024-24.04.2025</t>
  </si>
  <si>
    <t>https://nobilis.bitrix24.kz/crm/deal/details/1157/</t>
  </si>
  <si>
    <t>Митанова Айнур</t>
  </si>
  <si>
    <t>Анель</t>
  </si>
  <si>
    <t>01.08.2024-01.05.2025</t>
  </si>
  <si>
    <t>рассрочка другое ИП</t>
  </si>
  <si>
    <t>https://nobilis.bitrix24.kz/crm/deal/details/1453/</t>
  </si>
  <si>
    <t xml:space="preserve">800000 возврат за сопровод передумала поступать </t>
  </si>
  <si>
    <t>Канафин Марат Аканович</t>
  </si>
  <si>
    <t>Акан Алмат Маратович</t>
  </si>
  <si>
    <t>01.07.2024-01.04.2025</t>
  </si>
  <si>
    <t>https://nobilis.bitrix24.kz/crm/deal/details/2485/</t>
  </si>
  <si>
    <t>отец не хотел потому что развелись</t>
  </si>
  <si>
    <t>есть договор</t>
  </si>
  <si>
    <t>Оразбек Ляйля Сагиевна</t>
  </si>
  <si>
    <t>Оразбек Жигер Дидарулы</t>
  </si>
  <si>
    <t>https://nobilis.bitrix24.kz/crm/deal/details/3355/</t>
  </si>
  <si>
    <t>есть договор, поступил</t>
  </si>
  <si>
    <t>Темиргалиева Аида Маратовна</t>
  </si>
  <si>
    <t>Идрисова Дайана Айбековна</t>
  </si>
  <si>
    <t>купила 30.06</t>
  </si>
  <si>
    <t>https://nobilis.bitrix24.kz/crm/deal/details/1457/</t>
  </si>
  <si>
    <t>ПРОБНЫЙ МЕСЯЦ</t>
  </si>
  <si>
    <t>Байжанова Гульмира Фархадовна</t>
  </si>
  <si>
    <t>Тулеметов Эльдар Халмуратович</t>
  </si>
  <si>
    <t>03.07.2024-03.04.2025</t>
  </si>
  <si>
    <t>Kaspi Gold</t>
  </si>
  <si>
    <t>110 при подписании остаток 1.490 до 15.08.2024</t>
  </si>
  <si>
    <t>https://nobilis.bitrix24.kz/crm/deal/details/627/</t>
  </si>
  <si>
    <t>Обновил СРМ</t>
  </si>
  <si>
    <t>Кожахметова Нургуль Нурлановна</t>
  </si>
  <si>
    <t>Байдурина Меруерт Болатовна</t>
  </si>
  <si>
    <t>08.07.2024-08.04.2025</t>
  </si>
  <si>
    <t>https://nobilis.bitrix24.kz/crm/deal/details/2487/</t>
  </si>
  <si>
    <t>Тажибаева Феруза Мамыровна</t>
  </si>
  <si>
    <t>Байлепесова Нурай Көбболсынқызы</t>
  </si>
  <si>
    <t>10.07.2024-10.04.2025</t>
  </si>
  <si>
    <t>https://nobilis.bitrix24.kz/crm/deal/details/4551/</t>
  </si>
  <si>
    <t>200 возврат передумала поступать</t>
  </si>
  <si>
    <t>Жусина Т Б</t>
  </si>
  <si>
    <t>Кызылтаева Адия Идеяткызы</t>
  </si>
  <si>
    <t>08.07.2024-01.01.2025</t>
  </si>
  <si>
    <t>https://nobilis.bitrix24.kz/crm/deal/details/185/?any=details%2F185%2F</t>
  </si>
  <si>
    <t>Есть договор, в процессе</t>
  </si>
  <si>
    <t>Аубакирова Самал Кабдодловна</t>
  </si>
  <si>
    <t xml:space="preserve">Кенесова Гульсизим Жараскызы </t>
  </si>
  <si>
    <t>https://nobilis.bitrix24.kz/crm/deal/details/1601/?any=details%2F1601%2F</t>
  </si>
  <si>
    <t>Нуркенова Галия Жанатовна</t>
  </si>
  <si>
    <t>Нуркенова Толкын Сырымовна</t>
  </si>
  <si>
    <t>17.07.2024-17.04.2025 (пр 17.02.2026)</t>
  </si>
  <si>
    <t>https://nobilis.bitrix24.kz/crm/deal/details/29539/</t>
  </si>
  <si>
    <t>Обновил СРМ, взяла академ 20.12.24 до 10.2025, 07.10.25 возобновила обучение</t>
  </si>
  <si>
    <t>Сабыржанов Бауыржан</t>
  </si>
  <si>
    <t>Сабыржан Айсұлтан Бауыржанұлы</t>
  </si>
  <si>
    <t>Обучение+Сопровод+Нует</t>
  </si>
  <si>
    <t>02.09.2024-02.05.2025</t>
  </si>
  <si>
    <t>https://nobilis.bitrix24.kz/crm/deal/details/4913/</t>
  </si>
  <si>
    <t>Маулешова Жанна Нуркебаевна</t>
  </si>
  <si>
    <t>Маулешов Дияр Мадиярович</t>
  </si>
  <si>
    <t>22.07.2024-22.03.2025</t>
  </si>
  <si>
    <t>https://nobilis.bitrix24.kz/crm/deal/details/4555/</t>
  </si>
  <si>
    <t>Агеева Дарья Сергеевна</t>
  </si>
  <si>
    <t>Скосарева Лиана Дмитриевна</t>
  </si>
  <si>
    <t>05.08.2024-05.04.2025</t>
  </si>
  <si>
    <t>200 пробн, 1,5млн (5 сент)</t>
  </si>
  <si>
    <t>https://nobilis.bitrix24.kz/crm/deal/details/8767/</t>
  </si>
  <si>
    <t>Бектай Эльнур Бектайқызы</t>
  </si>
  <si>
    <t>Сәлімқызы Сая</t>
  </si>
  <si>
    <t>30.07.2024-30.04.2025</t>
  </si>
  <si>
    <t>https://nobilis.bitrix24.kz/crm/deal/details/3943/</t>
  </si>
  <si>
    <t>Кульжанова Лейла Болатовна</t>
  </si>
  <si>
    <t>Ертай Мансур Жанатович</t>
  </si>
  <si>
    <t>05.08.2024-05.05.2025</t>
  </si>
  <si>
    <t>Kaspi Kredit</t>
  </si>
  <si>
    <t>https://nobilis.bitrix24.kz/crm/deal/details/4915/</t>
  </si>
  <si>
    <t>есть договор, передумал поступать</t>
  </si>
  <si>
    <t>Капаров Худайберген</t>
  </si>
  <si>
    <t>Капаров Биарыс Худайбергенұлы</t>
  </si>
  <si>
    <t>https://nobilis.bitrix24.kz/crm/deal/details/21099/?any=details%2F21099%2F</t>
  </si>
  <si>
    <t>Телешова Айгуль Нигметуллаеввна</t>
  </si>
  <si>
    <t>Аншыбай Бексултан Болатұлы</t>
  </si>
  <si>
    <t>17.07.2024-17.03.2025</t>
  </si>
  <si>
    <t>1.390 при подписании, остаток 210к до 31.12.2024</t>
  </si>
  <si>
    <t>https://nobilis.bitrix24.kz/crm/deal/details/29555/</t>
  </si>
  <si>
    <t>Иралимова Гулсум Сейлханова</t>
  </si>
  <si>
    <t>Иралимова Томирис Батырханқызы</t>
  </si>
  <si>
    <t>https://nobilis.bitrix24.kz/crm/deal/details/4201/</t>
  </si>
  <si>
    <t>Исмуканова З М</t>
  </si>
  <si>
    <t>Жакин Альмухаммед Олжасулы</t>
  </si>
  <si>
    <t>14.08.2024-01.02.2026</t>
  </si>
  <si>
    <t>https://nobilis.bitrix24.kz/crm/deal/details/31495/</t>
  </si>
  <si>
    <t>Ержанова Айжан Нурлановна</t>
  </si>
  <si>
    <t>Козайдар Мадина Маратқызы</t>
  </si>
  <si>
    <t>09.09.2024-09.05.2025</t>
  </si>
  <si>
    <t>https://nobilis.bitrix24.kz/crm/deal/details/6169/</t>
  </si>
  <si>
    <t>есть договор, не поступил</t>
  </si>
  <si>
    <t>Әміржанұлы Сұлтан</t>
  </si>
  <si>
    <t>26.08.2024-26.10.2025</t>
  </si>
  <si>
    <t>https://nobilis.bitrix24.kz/crm/deal/details/6167/</t>
  </si>
  <si>
    <t xml:space="preserve">Федорян Юлия </t>
  </si>
  <si>
    <t>Микитчик Дмитрий Александрович</t>
  </si>
  <si>
    <t>23.08.2024-23.12.2024</t>
  </si>
  <si>
    <t>https://nobilis.bitrix24.kz/crm/deal/details/21107/?any=details%2F21107%2F</t>
  </si>
  <si>
    <t>Нурсеитова Галия Амирханова</t>
  </si>
  <si>
    <t>Дауыл Думан</t>
  </si>
  <si>
    <t>27.08.2024-27.03.2024</t>
  </si>
  <si>
    <t>рассрочка</t>
  </si>
  <si>
    <t>https://nobilis.bitrix24.kz/crm/deal/details/5861/</t>
  </si>
  <si>
    <t>645000 выозврат</t>
  </si>
  <si>
    <t>Есть договор</t>
  </si>
  <si>
    <t>Нухаев Канат Бауыржанович</t>
  </si>
  <si>
    <t>Бауыржан Асель Канатқызы</t>
  </si>
  <si>
    <t>06.09.2024-06.06.2024</t>
  </si>
  <si>
    <t>https://nobilis.bitrix24.kz/crm/deal/details/21209/?any=details%2F21209%2F</t>
  </si>
  <si>
    <t>Скосарев Даниил Дмитриевич</t>
  </si>
  <si>
    <t>01.09.2024-01.06.2024</t>
  </si>
  <si>
    <t>200 пробный (4 сент)</t>
  </si>
  <si>
    <t>https://nobilis.bitrix24.kz/crm/deal/details/21211/</t>
  </si>
  <si>
    <t>Ахметжанова Алия</t>
  </si>
  <si>
    <t>Ахметжан Алтынай</t>
  </si>
  <si>
    <t>02.09.2024-02.05.2024</t>
  </si>
  <si>
    <t>раздельными</t>
  </si>
  <si>
    <t>150 при подписании 300 ежемес</t>
  </si>
  <si>
    <t>https://nobilis.bitrix24.kz/crm/deal/details/6625/</t>
  </si>
  <si>
    <t>Нугуманова Асем Кайраткызы</t>
  </si>
  <si>
    <t>03.09.2024-31.03.2025</t>
  </si>
  <si>
    <t>https://nobilis.bitrix24.kz/crm/deal/details/6693/</t>
  </si>
  <si>
    <t>Барлыбаев Саян Серикович</t>
  </si>
  <si>
    <t>Барлыбаева Дария Саяновна</t>
  </si>
  <si>
    <t>05.09.2024-05.05.2025</t>
  </si>
  <si>
    <t>800 нал</t>
  </si>
  <si>
    <t>800к приподписании 1млн до 31.09</t>
  </si>
  <si>
    <t>https://nobilis.bitrix24.kz/crm/deal/details/8779/</t>
  </si>
  <si>
    <t>Сабитова З.Р</t>
  </si>
  <si>
    <t>Кенжебай Айша Олжабакызы</t>
  </si>
  <si>
    <t>09.09.2024-09.06.2025</t>
  </si>
  <si>
    <t>https://nobilis.bitrix24.kz/crm/deal/details/6913/</t>
  </si>
  <si>
    <t>Жумагатов Кайрат Сатыбалды</t>
  </si>
  <si>
    <t>Сатыбалды Алинур Кайратулы</t>
  </si>
  <si>
    <t>11.09.2024-11.06.2025</t>
  </si>
  <si>
    <t>Эйрба 24 мес</t>
  </si>
  <si>
    <t>https://nobilis.bitrix24.kz/crm/deal/details/7297/</t>
  </si>
  <si>
    <t>Исенова Шайзат Темирхановна</t>
  </si>
  <si>
    <t>Тургумбаев Санжар Нурланович</t>
  </si>
  <si>
    <t>https://nobilis.bitrix24.kz/crm/deal/details/7355/</t>
  </si>
  <si>
    <t>Ануарбеккызы Гульбадан</t>
  </si>
  <si>
    <t>Менкин Мансур</t>
  </si>
  <si>
    <t>17.09.2024-17.06.2025</t>
  </si>
  <si>
    <t>https://nobilis.bitrix24.kz/crm/deal/details/7857/</t>
  </si>
  <si>
    <t>Кайсанова Мереке Асылбековна</t>
  </si>
  <si>
    <t>Сманжан Рахат Бакытканулы</t>
  </si>
  <si>
    <t>16.09.2024-16.08.2025</t>
  </si>
  <si>
    <t>https://nobilis.bitrix24.kz/crm/deal/details/7859/</t>
  </si>
  <si>
    <t>есть договор, не непоступит</t>
  </si>
  <si>
    <t>Назаров Катталбек Оразбекович</t>
  </si>
  <si>
    <t>Назарова Малика Катталбековна</t>
  </si>
  <si>
    <t>17.09.2024-30.01.2025</t>
  </si>
  <si>
    <t>350 голд</t>
  </si>
  <si>
    <t>при оформ 450 остакток950 до 31.10 (сделали возврат 150)</t>
  </si>
  <si>
    <t>https://nobilis.bitrix24.kz/crm/deal/details/15615/</t>
  </si>
  <si>
    <t>есть договор, не непоступил</t>
  </si>
  <si>
    <t>Сокжанова Марфуга Кошкинбаевна</t>
  </si>
  <si>
    <t>Нурпеисов Эмир Рахимжанов</t>
  </si>
  <si>
    <t>18.09.2024-18.06.2025</t>
  </si>
  <si>
    <t>https://nobilis.bitrix24.kz/crm/deal/details/21225/</t>
  </si>
  <si>
    <t>Искендирова Т М</t>
  </si>
  <si>
    <t>Ернурулы Нуразим</t>
  </si>
  <si>
    <t>23.09.2024-23.06.2025</t>
  </si>
  <si>
    <t>860 эйрба 1140 рассрочк</t>
  </si>
  <si>
    <t>https://nobilis.bitrix24.kz/crm/deal/details/8221/</t>
  </si>
  <si>
    <t>Джамалова Захида</t>
  </si>
  <si>
    <t>Мыңжасарова Оразгул Ахметқызы</t>
  </si>
  <si>
    <t>1450 рассрочка при оформлении</t>
  </si>
  <si>
    <t>https://nobilis.bitrix24.kz/crm/deal/details/8219/</t>
  </si>
  <si>
    <t xml:space="preserve"> Нет договора,дела  остаток 550 на 9 месяцев по 61000 тг</t>
  </si>
  <si>
    <t>Тугунбаева Жибек</t>
  </si>
  <si>
    <t>Тугунбаева Малика Бейбутовна</t>
  </si>
  <si>
    <t>1,8 рассрочк 200 рассрочк</t>
  </si>
  <si>
    <t>https://nobilis.bitrix24.kz/crm/deal/details/8323/</t>
  </si>
  <si>
    <t>Дюсенова Мунира</t>
  </si>
  <si>
    <t>Ерхатқызы Айбибі</t>
  </si>
  <si>
    <t>02.10.2024-02.07.2025</t>
  </si>
  <si>
    <t>600 рассрочк при оформлении 1,2 до 20 дек</t>
  </si>
  <si>
    <t>https://nobilis.bitrix24.kz/crm/deal/details/8325/</t>
  </si>
  <si>
    <t>отказ нет доплаты не было денег</t>
  </si>
  <si>
    <t>Колташева Елена Владиславовна</t>
  </si>
  <si>
    <t>Колташев Дмитрий Максимович</t>
  </si>
  <si>
    <t>24.09.2024-24.06.2025</t>
  </si>
  <si>
    <t>наличка</t>
  </si>
  <si>
    <t>https://nobilis.bitrix24.kz/crm/deal/details/8777/</t>
  </si>
  <si>
    <t>Унайбаев Серик Уралович</t>
  </si>
  <si>
    <t>Унайбаева Жанна Сериковна</t>
  </si>
  <si>
    <t>800 и 1,2 рассрочка</t>
  </si>
  <si>
    <t>https://nobilis.bitrix24.kz/crm/deal/details/8537/</t>
  </si>
  <si>
    <t>Магира</t>
  </si>
  <si>
    <t>Нұрбек Жансая</t>
  </si>
  <si>
    <t>сопровод</t>
  </si>
  <si>
    <t>Gold</t>
  </si>
  <si>
    <t>50 и 450. 26.09</t>
  </si>
  <si>
    <t>https://nobilis.bitrix24.kz/crm/deal/details/7413/</t>
  </si>
  <si>
    <t>нет договора и дела</t>
  </si>
  <si>
    <t>возврат</t>
  </si>
  <si>
    <t>Сатмуханбетова</t>
  </si>
  <si>
    <t>Оспанова Жанна Тулебаевна</t>
  </si>
  <si>
    <t>30.09.2024-30.06.2025</t>
  </si>
  <si>
    <t>Airbapay</t>
  </si>
  <si>
    <t>https://nobilis.bitrix24.kz/crm/deal/details/8827/</t>
  </si>
  <si>
    <t>Кульжанова Сауле Максутовна</t>
  </si>
  <si>
    <t>Максутов Жандос Амирбекович</t>
  </si>
  <si>
    <t>01.10.2024-01.07.2025</t>
  </si>
  <si>
    <t>https://nobilis.bitrix24.kz/crm/deal/details/8805/</t>
  </si>
  <si>
    <t>Манарова Зенебе</t>
  </si>
  <si>
    <t>Вэнь Жушуан</t>
  </si>
  <si>
    <t>https://nobilis.bitrix24.kz/crm/deal/details/21259/</t>
  </si>
  <si>
    <t>750 возврат</t>
  </si>
  <si>
    <t>Давренбекова Айсулу Муратовна</t>
  </si>
  <si>
    <t>Давренбекова Жазира Медеткызы</t>
  </si>
  <si>
    <t>03.10.2024-03.07.2025</t>
  </si>
  <si>
    <t xml:space="preserve">полная оплата </t>
  </si>
  <si>
    <t>https://nobilis.bitrix24.kz/crm/deal/details/29565/</t>
  </si>
  <si>
    <t>Әміртайй Азаматхан Сайлаулы</t>
  </si>
  <si>
    <t>Әміртай Әлимарғұлан Азаматханұлы</t>
  </si>
  <si>
    <t>07.10.2024 - 07.07.2025</t>
  </si>
  <si>
    <t>https://nobilis.bitrix24.kz/crm/deal/details/9217/</t>
  </si>
  <si>
    <t>Возврат 850</t>
  </si>
  <si>
    <t>Шалдыбаева Диана Ахметовна</t>
  </si>
  <si>
    <t>Байділда Діңмұхаммед Науанұлы</t>
  </si>
  <si>
    <t xml:space="preserve">рассрочка </t>
  </si>
  <si>
    <t>https://nobilis.bitrix24.kz/crm/deal/details/29599/</t>
  </si>
  <si>
    <t>Тугаева Айгуль Сапашевна</t>
  </si>
  <si>
    <t xml:space="preserve">Тугаева Алия Абдуалиевна </t>
  </si>
  <si>
    <t>Мадина</t>
  </si>
  <si>
    <t>https://nobilis.bitrix24.kz/crm/deal/details/29601/</t>
  </si>
  <si>
    <t>Тапалова Каракоз Тузеловна</t>
  </si>
  <si>
    <t>Булатов Алихан Даулетович</t>
  </si>
  <si>
    <t>10.10.2024 - 10.07.2025</t>
  </si>
  <si>
    <t>https://nobilis.bitrix24.kz/crm/deal/details/29603/</t>
  </si>
  <si>
    <t>Тулейбаева Асель</t>
  </si>
  <si>
    <t>Борамбаева Адель Руслановна</t>
  </si>
  <si>
    <t>21.10.2024 - 21.07.2025</t>
  </si>
  <si>
    <t>https://nobilis.bitrix24.kz/crm/deal/details/29607/</t>
  </si>
  <si>
    <t>Мадигалиева Гульвира</t>
  </si>
  <si>
    <t>Сакып Батухан</t>
  </si>
  <si>
    <t>Айбиниша летчик</t>
  </si>
  <si>
    <t>9.10.2024 - 9.07.2025</t>
  </si>
  <si>
    <t>960000 рассрочкой, в декабре 540000 нал</t>
  </si>
  <si>
    <t>нал-рассрочка</t>
  </si>
  <si>
    <t>https://nobilis.bitrix24.kz/crm/deal/details/19939/?any=details%2F19939%2F</t>
  </si>
  <si>
    <t>договора нет</t>
  </si>
  <si>
    <t>нет договора, поступил</t>
  </si>
  <si>
    <t xml:space="preserve">                                                                                </t>
  </si>
  <si>
    <t>Алиханова Алтын Куанышовна</t>
  </si>
  <si>
    <t>Куаныш Даниал</t>
  </si>
  <si>
    <t>https://nobilis.bitrix24.kz/crm/deal/details/10469/</t>
  </si>
  <si>
    <t>Базгенова Майкен</t>
  </si>
  <si>
    <t>Назенов Алишер Рашитулы</t>
  </si>
  <si>
    <t>22.10.2024 - 22.07.2025</t>
  </si>
  <si>
    <t>https://nobilis.bitrix24.kz/crm/deal/details/29609/</t>
  </si>
  <si>
    <t>Наурызбаева Айнел Елеуовна</t>
  </si>
  <si>
    <t>Дәулетқан Ажар Әділетқызы</t>
  </si>
  <si>
    <t>Динара</t>
  </si>
  <si>
    <t>28.10.2024 - 28.07.2025</t>
  </si>
  <si>
    <t>наличкой</t>
  </si>
  <si>
    <t>1 млн при подписании.4 месяца по 250000</t>
  </si>
  <si>
    <t>https://nobilis.bitrix24.kz/crm/deal/details/29613/</t>
  </si>
  <si>
    <t xml:space="preserve">Ескиндиров Марат Жумабаевич </t>
  </si>
  <si>
    <t>Ескендиров Арсен Маратулы</t>
  </si>
  <si>
    <t>23.10.2024 - 23.10.2025 (пр 30.10.25)</t>
  </si>
  <si>
    <t>голд</t>
  </si>
  <si>
    <t>1 млн при подписании, ежем по 500000</t>
  </si>
  <si>
    <t>https://nobilis.bitrix24.kz/crm/deal/details/29617/</t>
  </si>
  <si>
    <t>Карабаева Жанат Ержигитовна</t>
  </si>
  <si>
    <t>Карабай Алдияр</t>
  </si>
  <si>
    <t>1490000+500000</t>
  </si>
  <si>
    <t>1490 при подп 510 11.03.25</t>
  </si>
  <si>
    <t>https://nobilis.bitrix24.kz/crm/deal/details/11159/</t>
  </si>
  <si>
    <t>Ауталипова Анара Магжановна</t>
  </si>
  <si>
    <t xml:space="preserve">Кудреватых Данияр Евгеньевич </t>
  </si>
  <si>
    <t>2 млн про подписании, в конц нояб 250 000</t>
  </si>
  <si>
    <t>https://nobilis.bitrix24.kz/crm/deal/details/11357/</t>
  </si>
  <si>
    <t>Салжанова Акгуль Тауыпбековна</t>
  </si>
  <si>
    <t>Салжанов Тамерлан Арысланович</t>
  </si>
  <si>
    <t>онлайн Обучение+Сопровод</t>
  </si>
  <si>
    <t>29.10.2024 - 29.07.2025</t>
  </si>
  <si>
    <t>https://nobilis.bitrix24.kz/crm/deal/details/11783/</t>
  </si>
  <si>
    <t>Салжанов Асылбек Каирович</t>
  </si>
  <si>
    <t xml:space="preserve">Каиров Милас </t>
  </si>
  <si>
    <t>Онлайн обучение+Сопровод</t>
  </si>
  <si>
    <t>23.10.2024 - 31.08.2025</t>
  </si>
  <si>
    <t>нал</t>
  </si>
  <si>
    <t>https://nobilis.bitrix24.kz/crm/deal/details/11057/</t>
  </si>
  <si>
    <t>есть договор, 2027</t>
  </si>
  <si>
    <t>Джумадылов Нурлан Бакдавлетович</t>
  </si>
  <si>
    <t>Бакдаулет Даурен Нурланович</t>
  </si>
  <si>
    <t>30.10.2024 - 30.08.2025</t>
  </si>
  <si>
    <t>100000 голд, 1700000 нал</t>
  </si>
  <si>
    <t>https://nobilis.bitrix24.kz/crm/deal/details/13311/</t>
  </si>
  <si>
    <t>Оспанова Айгерим Нуралиевна</t>
  </si>
  <si>
    <t>Рсбай Чингиз Маликулы</t>
  </si>
  <si>
    <t>Обучение</t>
  </si>
  <si>
    <t>11.11.2024 - 30.08.2025</t>
  </si>
  <si>
    <t>750 при оформ остаток до конца дек</t>
  </si>
  <si>
    <t>https://nobilis.bitrix24.kz/crm/deal/details/13309/</t>
  </si>
  <si>
    <t>Ашимова Зухра Далеловна</t>
  </si>
  <si>
    <t>Әлихан Әшим</t>
  </si>
  <si>
    <t>04.11.2024-04.08.2025</t>
  </si>
  <si>
    <t>1,4 при оформлении 600 в январе еще не оплатил</t>
  </si>
  <si>
    <t>https://nobilis.bitrix24.kz/crm/deal/details/8125/</t>
  </si>
  <si>
    <t>1,4 внес, 600к не доплатил еще, т.к. Научная работа не дописана еще</t>
  </si>
  <si>
    <t>договор есть</t>
  </si>
  <si>
    <t>Канапина Алияна Кошибаевна</t>
  </si>
  <si>
    <t>Канапина Милана</t>
  </si>
  <si>
    <t>Обучение+Сопровод(без сат)</t>
  </si>
  <si>
    <t>15.11.2024 - 22.11.2025</t>
  </si>
  <si>
    <t xml:space="preserve">наличка 1млн </t>
  </si>
  <si>
    <t>1млн при оформлении остаток 29 450к и 30 350к ноября</t>
  </si>
  <si>
    <t>https://nobilis.bitrix24.kz/crm/deal/details/15799/</t>
  </si>
  <si>
    <t>Есть договор, на след год</t>
  </si>
  <si>
    <t>Махамбетова Динара Омиртайкызы</t>
  </si>
  <si>
    <t>Гайсенова Ясмина Маратовна</t>
  </si>
  <si>
    <t>25.11.2024 - 25.04.2025</t>
  </si>
  <si>
    <t>эйрба</t>
  </si>
  <si>
    <t>https://nobilis.bitrix24.kz/crm/deal/details/14569/</t>
  </si>
  <si>
    <t>Бектурова Айжан Едильбаевна</t>
  </si>
  <si>
    <t>Кадырали Мухамеджан Бауыржанулы</t>
  </si>
  <si>
    <t>https://nobilis.bitrix24.kz/crm/deal/details/15109/</t>
  </si>
  <si>
    <t>Жакупова Гульбакыт Багашаровна</t>
  </si>
  <si>
    <t>Аскар</t>
  </si>
  <si>
    <t xml:space="preserve">сопровождение </t>
  </si>
  <si>
    <t>https://nobilis.bitrix24.kz/crm/deal/details/21271/</t>
  </si>
  <si>
    <t>Анель Нысанбаева</t>
  </si>
  <si>
    <t>https://nobilis.bitrix24.kz/crm/deal/details/15099/</t>
  </si>
  <si>
    <t>возрат купила и через час передумала</t>
  </si>
  <si>
    <t>Утегенова Алия Мухамеджанова</t>
  </si>
  <si>
    <t>Адильбек Мухамеджан</t>
  </si>
  <si>
    <t>Дианара</t>
  </si>
  <si>
    <t>до 31.05.2026</t>
  </si>
  <si>
    <t>наличными</t>
  </si>
  <si>
    <t>https://nobilis.bitrix24.kz/crm/deal/details/15681/</t>
  </si>
  <si>
    <t>Мерсагатова Жанар Кайратовна</t>
  </si>
  <si>
    <t>Мерсагатова Аруниса Газизхановна</t>
  </si>
  <si>
    <t>Гульнар</t>
  </si>
  <si>
    <t>IELTS+Сопровод</t>
  </si>
  <si>
    <t>02.12.2024 - 02.05.2025</t>
  </si>
  <si>
    <t>https://nobilis.bitrix24.kz/crm/deal/details/15791/</t>
  </si>
  <si>
    <t>Абишева Салтанат Калиоловна</t>
  </si>
  <si>
    <t>Берекпол Әділмансур</t>
  </si>
  <si>
    <t>200 при оформлении 1,8- 07.12</t>
  </si>
  <si>
    <t>https://nobilis.bitrix24.kz/crm/deal/details/18883/</t>
  </si>
  <si>
    <t xml:space="preserve">нет договора </t>
  </si>
  <si>
    <t>нет договора, на след год</t>
  </si>
  <si>
    <t xml:space="preserve">Тажиева Гульзира Советбековна </t>
  </si>
  <si>
    <t>Наманбек Адия рустемкызы</t>
  </si>
  <si>
    <t>02.12.2024 - 02.09.2025 (пр 02.11.25)</t>
  </si>
  <si>
    <t>голд и нал</t>
  </si>
  <si>
    <t>200 при оформлении, 1,8 до 5 декабря</t>
  </si>
  <si>
    <t>https://nobilis.bitrix24.kz/crm/deal/details/16197/</t>
  </si>
  <si>
    <t>Жакишева Жулдызай Кадыровна</t>
  </si>
  <si>
    <t>Жакишев Мансур Талгатулы</t>
  </si>
  <si>
    <t>02.12.2024 - 02.09.2025</t>
  </si>
  <si>
    <t>https://nobilis.bitrix24.kz/crm/deal/details/16067/</t>
  </si>
  <si>
    <t>есть договор, не поступают</t>
  </si>
  <si>
    <t>Илюбаева Айгуль Куанышевна</t>
  </si>
  <si>
    <t>Мусеркегенов Динмухамед Нагметович</t>
  </si>
  <si>
    <t>айлтс+ сопровод</t>
  </si>
  <si>
    <t>17.12.2025-17.06.2025</t>
  </si>
  <si>
    <t>500000 опл 17 дек, 14 января 500000, 28 января 400000</t>
  </si>
  <si>
    <t>https://nobilis.bitrix24.kz/crm/deal/details/16593/</t>
  </si>
  <si>
    <t>нет договора, отцу не понравились универы, отказывается доплачивать, пока что не трогают чтобы не потребовал возврат</t>
  </si>
  <si>
    <t>нет договора, поступили</t>
  </si>
  <si>
    <t>Жармухаметова Мухаббат Смагуловна</t>
  </si>
  <si>
    <t>Кожмухаметова Дильназ Динмухаметқызы</t>
  </si>
  <si>
    <t>23.12.2024 - 07.10.2025</t>
  </si>
  <si>
    <t>1800000 рассрочка каспий, 350000 нал голд</t>
  </si>
  <si>
    <t>при оформлении 1,8 , 350 на след день</t>
  </si>
  <si>
    <t>https://nobilis.bitrix24.kz/crm/deal/details/18911/</t>
  </si>
  <si>
    <t>Шакенова Жанна Мырхахановна</t>
  </si>
  <si>
    <t>Туркия Шыңғыс Жеңісұлы</t>
  </si>
  <si>
    <t>750000 при подписании, 750000 до 31 марта</t>
  </si>
  <si>
    <t>https://nobilis.bitrix24.kz/crm/deal/details/20729/</t>
  </si>
  <si>
    <t>нет догвора</t>
  </si>
  <si>
    <t>нет договора, в процессе</t>
  </si>
  <si>
    <t>Омарова Мадина Нуржановна</t>
  </si>
  <si>
    <t>Каирбаев Алишер Нуржанович</t>
  </si>
  <si>
    <t>Полный пакет IELTS, SAT + сопровод</t>
  </si>
  <si>
    <t>21.1.2025 - 21.10.2025</t>
  </si>
  <si>
    <t>рассрочка+голд</t>
  </si>
  <si>
    <t>1250.000 рассрочка и 500.000 нал</t>
  </si>
  <si>
    <t>https://nobilis.bitrix24.kz/crm/deal/details/29621/</t>
  </si>
  <si>
    <t>Акпарова Зауре Иливхановна</t>
  </si>
  <si>
    <t>Муратов Амир Ержанулы</t>
  </si>
  <si>
    <t>05.02.2025 - 05.11.2025 (сат до 23 декабря)</t>
  </si>
  <si>
    <t>https://nobilis.bitrix24.kz/crm/deal/details/21895/</t>
  </si>
  <si>
    <t>Ибраев Максат Максутович</t>
  </si>
  <si>
    <t>Максут Динмухаммед Максатович</t>
  </si>
  <si>
    <t>06.02.2025 - 06.11.2025</t>
  </si>
  <si>
    <t>https://nobilis.bitrix24.kz/crm/deal/details/21905/</t>
  </si>
  <si>
    <t>Кажгумарова Айгуль Сулейменовна</t>
  </si>
  <si>
    <t>Абай Елжан Ренатулы</t>
  </si>
  <si>
    <t>10.02.2025 - 10.11.2025</t>
  </si>
  <si>
    <t>https://nobilis.bitrix24.kz/crm/deal/details/22121/</t>
  </si>
  <si>
    <t>Есенжолова Асель Канышевна</t>
  </si>
  <si>
    <t>Сегизбай Айтуар Саматович</t>
  </si>
  <si>
    <t>https://nobilis.bitrix24.kz/crm/deal/details/22129/</t>
  </si>
  <si>
    <t>Жаксылык Гулсара Алтынбеккызы</t>
  </si>
  <si>
    <t>Асылхан Зангар</t>
  </si>
  <si>
    <t>IELTS, SAT</t>
  </si>
  <si>
    <t>21.01.2025 - 30.10.2025</t>
  </si>
  <si>
    <t>https://nobilis.bitrix24.kz/crm/deal/details/20731/</t>
  </si>
  <si>
    <t>договор есть на курсы</t>
  </si>
  <si>
    <t>Жапарова Акбота Ермековна</t>
  </si>
  <si>
    <t>Каратаева Айдана Амангельдиевна</t>
  </si>
  <si>
    <t>IELTS + SAT+сопровод (SAT отказались)</t>
  </si>
  <si>
    <t>12.12.2025-12.09.2026</t>
  </si>
  <si>
    <t>1000000 до 21.10.2025, 1500000 до 21.07.2026</t>
  </si>
  <si>
    <t>https://nobilis.bitrix24.kz/crm/deal/details/32815/</t>
  </si>
  <si>
    <t>договор есть, на 2027 год</t>
  </si>
  <si>
    <t>Смаилов Ерик Дюсенович</t>
  </si>
  <si>
    <t>Дуйсен Мейрам Ерикулы</t>
  </si>
  <si>
    <t>19.02.2025 - 19.11.2025</t>
  </si>
  <si>
    <t>https://nobilis.bitrix24.kz/crm/deal/details/22531/</t>
  </si>
  <si>
    <t>есть догвор, на след год</t>
  </si>
  <si>
    <t>Мукушнва Айгуль Жайсанбаевна</t>
  </si>
  <si>
    <t>Асланова Амина Асланова</t>
  </si>
  <si>
    <t>17.02.2025 - 17.11.2025</t>
  </si>
  <si>
    <t>Турсынбаева Балжан Абдихалиевна</t>
  </si>
  <si>
    <t>Шабанова Инжу Ренатовна</t>
  </si>
  <si>
    <t>31.03.2025-31.12.2025</t>
  </si>
  <si>
    <t>лям при оформлении 475 май 475 июнь / полная оплата</t>
  </si>
  <si>
    <t>https://nobilis.bitrix24.kz/crm/deal/details/28733/</t>
  </si>
  <si>
    <t>Тлегенова Рахила Туребаева</t>
  </si>
  <si>
    <t>Зайров Изтилеу Тлепбергенович</t>
  </si>
  <si>
    <t>IELTS, SAT + сопровод</t>
  </si>
  <si>
    <t>26.02.2025-26.11.2025</t>
  </si>
  <si>
    <t>https://nobilis.bitrix24.kz/crm/deal/details/29631/</t>
  </si>
  <si>
    <t>Ансатова Куралай Сабиевна</t>
  </si>
  <si>
    <t>Мажит Назерке Дарханкызы</t>
  </si>
  <si>
    <t>https://nobilis.bitrix24.kz/crm/deal/details/23621/</t>
  </si>
  <si>
    <t>Халмуратов Бегалы Оразалиев</t>
  </si>
  <si>
    <t>Оразалы Аружан 10 класс 2026</t>
  </si>
  <si>
    <t>03.03.2025-03.12.2025</t>
  </si>
  <si>
    <t>https://nobilis.bitrix24.kz/crm/deal/details/23183/</t>
  </si>
  <si>
    <t>есть договор, 2028</t>
  </si>
  <si>
    <t>Ержекенова Самал Нурлановна</t>
  </si>
  <si>
    <t>Калабай Нурбек Аманжолулы</t>
  </si>
  <si>
    <t>12.03.2025-12.12.2025</t>
  </si>
  <si>
    <t>лям и до 31.03 остаток / полная оплата</t>
  </si>
  <si>
    <t>https://nobilis.bitrix24.kz/crm/deal/details/32765/</t>
  </si>
  <si>
    <t>Кондыбаева Асель Тасымовна</t>
  </si>
  <si>
    <t>Оразбаева Аида</t>
  </si>
  <si>
    <t>1мес IELTS+Сопровод 6 вуз</t>
  </si>
  <si>
    <t>15.03.2025-31.08.2025</t>
  </si>
  <si>
    <t>https://nobilis.bitrix24.kz/crm/deal/details/32761/</t>
  </si>
  <si>
    <t>Зиенгалиева Самал Туралиевна</t>
  </si>
  <si>
    <t>Зиенгалиев Санжар</t>
  </si>
  <si>
    <t>iIELTS 1 мес индивид + сопровод 3 вуза</t>
  </si>
  <si>
    <t>https://nobilis.bitrix24.kz/crm/deal/details/24479/</t>
  </si>
  <si>
    <t>Мустапин Ринат Анатольевич</t>
  </si>
  <si>
    <t>Мустапина Айгерим Ринаткызы</t>
  </si>
  <si>
    <t>01.04.2025-01.12.2025</t>
  </si>
  <si>
    <t>голдё</t>
  </si>
  <si>
    <t>100 пред опл 1,5 30.04, 1,450 30.05</t>
  </si>
  <si>
    <t>https://nobilis.bitrix24.kz/crm/deal/details/24723/</t>
  </si>
  <si>
    <t>есть договор 2026</t>
  </si>
  <si>
    <t>Турмаханбетова Назиля Мадибековна</t>
  </si>
  <si>
    <t>Амантай Әмина</t>
  </si>
  <si>
    <t>Сопровод 6 ВУЗ</t>
  </si>
  <si>
    <t>03.04.2025-31.08.2025</t>
  </si>
  <si>
    <t>100 карта 375 рассрочк</t>
  </si>
  <si>
    <t>https://nobilis.bitrix24.kz/crm/deal/details/25151/</t>
  </si>
  <si>
    <t>есть договор, поступила но отказалась</t>
  </si>
  <si>
    <t>Керимбекова Алия Бекболатовна</t>
  </si>
  <si>
    <t>Алимбекова Милат Ерлановна</t>
  </si>
  <si>
    <t>1мес IELTS+Сопровод 3 вуз</t>
  </si>
  <si>
    <t>07.04.2025-31.08.2026</t>
  </si>
  <si>
    <t>Сакишева Эльвира Жамаловна</t>
  </si>
  <si>
    <t>Бактыбай Жансая Орлханкызы</t>
  </si>
  <si>
    <t>100 пред опл 200 30.05, 1295 30.06 / полная оплата</t>
  </si>
  <si>
    <t>https://nobilis.bitrix24.kz/crm/deal/details/24955/</t>
  </si>
  <si>
    <t>Салтанат</t>
  </si>
  <si>
    <t>Оракеев Артур</t>
  </si>
  <si>
    <t>10.03.2025-10.12.2025</t>
  </si>
  <si>
    <t>Нуркен</t>
  </si>
  <si>
    <t>Торебек Махамбет</t>
  </si>
  <si>
    <t>сопровод+IELTS 3 мес</t>
  </si>
  <si>
    <t>18.03.2025-18.06.2925</t>
  </si>
  <si>
    <t>нал голд</t>
  </si>
  <si>
    <t>Ильяс Серикбаев</t>
  </si>
  <si>
    <t>Госман Али</t>
  </si>
  <si>
    <t>Тайрова Жаухар Берхайровна</t>
  </si>
  <si>
    <t>Бекешов Ыбырай Асыланович</t>
  </si>
  <si>
    <t>сопровод + SAT</t>
  </si>
  <si>
    <t>20.01.2025-20.09.2025</t>
  </si>
  <si>
    <t>Адильхан Кайрат</t>
  </si>
  <si>
    <t>Нурекенова Ляйля Турсынкановна</t>
  </si>
  <si>
    <t>Дарханкызы Енлик</t>
  </si>
  <si>
    <t>сопровод + SAT, IELTS</t>
  </si>
  <si>
    <t>27.05.2025-27.02.2026</t>
  </si>
  <si>
    <t>обучение:</t>
  </si>
  <si>
    <t>Апишов Байсалбек</t>
  </si>
  <si>
    <t>Апишова Гульвира Байсалбековна</t>
  </si>
  <si>
    <t>6 мес IELTS + сопровод</t>
  </si>
  <si>
    <t>02.06.2025 - 02.11.2025</t>
  </si>
  <si>
    <t>рассрочка каспий</t>
  </si>
  <si>
    <t>https://nobilis.bitrix24.kz/crm/deal/details/29307/</t>
  </si>
  <si>
    <t>поступление 2026 год</t>
  </si>
  <si>
    <t>Сарсенова Самал Есенамановна</t>
  </si>
  <si>
    <t>Ерсаинова Мира Кадыржановна</t>
  </si>
  <si>
    <t>Али</t>
  </si>
  <si>
    <t>сопровод, 9 ВУЗов в штаты, 1 фаунд в Малайзию</t>
  </si>
  <si>
    <t>рассрочка хоум</t>
  </si>
  <si>
    <t>https://nobilis.bitrix24.kz/crm/deal/details/29313/</t>
  </si>
  <si>
    <t>Далабаева Алия Урумбаевна</t>
  </si>
  <si>
    <t>Далабаева Ясмина Ринатовна</t>
  </si>
  <si>
    <t>IELTS + сопровод</t>
  </si>
  <si>
    <t>02.06.2025 - 02.03.2026</t>
  </si>
  <si>
    <t>100000 до 30.07.25, 100000 до 30.08.25, 1200000 до 30.09.25 / полная оплата</t>
  </si>
  <si>
    <t>https://nobilis.bitrix24.kz/crm/deal/details/30193/</t>
  </si>
  <si>
    <t>Әбілжан Серікбай</t>
  </si>
  <si>
    <t>Серікбай Ұлпан</t>
  </si>
  <si>
    <t>Сопровод бак и фаунд</t>
  </si>
  <si>
    <t>400000 нал, 500000 рассрочка каспий</t>
  </si>
  <si>
    <t>https://nobilis.bitrix24.kz/crm/deal/details/30949/</t>
  </si>
  <si>
    <t>на 2025</t>
  </si>
  <si>
    <t>Бисимбаева Алия Кабиевна</t>
  </si>
  <si>
    <t>Рахимов Джалиль Тимурович</t>
  </si>
  <si>
    <t>Сопровод + SAT, IELTS</t>
  </si>
  <si>
    <t>16.07.2025-16.04.2026</t>
  </si>
  <si>
    <t>нал, голд</t>
  </si>
  <si>
    <t>остаток 500000 после первого приглашения в ВУЗ</t>
  </si>
  <si>
    <t>https://nobilis.bitrix24.kz/crm/deal/details/31519/</t>
  </si>
  <si>
    <t>на 2026</t>
  </si>
  <si>
    <t>Этмахамбетова Алуаш Әділгерейқызы</t>
  </si>
  <si>
    <t>Этмахамбетова Адия Тимуровна</t>
  </si>
  <si>
    <t>23.07.2025-23.04.2026 (с 05.11 заморозка САТ, Заморозка 01.02-09.02)</t>
  </si>
  <si>
    <t>нал (96865 хоум, 1803010 голд, 125 голд)</t>
  </si>
  <si>
    <t>https://nobilis.bitrix24.kz/crm/deal/details/32305/</t>
  </si>
  <si>
    <t>Жолмуханова Салтанат Наримановна</t>
  </si>
  <si>
    <t>Қырғи Аиша Есқалиқызы</t>
  </si>
  <si>
    <t>сопровод + IELTS, NUET</t>
  </si>
  <si>
    <t>24.07.2025-24.04.2026</t>
  </si>
  <si>
    <t>https://nobilis.bitrix24.kz/crm/deal/details/32029/</t>
  </si>
  <si>
    <t>Кенжебаев Елдос Закиржанович</t>
  </si>
  <si>
    <t>Закіржан Нұрия Елдосқызы</t>
  </si>
  <si>
    <t>04.08.2025-08.05.2026</t>
  </si>
  <si>
    <t>1170000 рассрочка каспий, 130000 голд</t>
  </si>
  <si>
    <t>500000 после приглашения первого в универ</t>
  </si>
  <si>
    <t>https://nobilis.bitrix24.kz/crm/deal/details/32513/</t>
  </si>
  <si>
    <t>Колупаева Ольга Алексеевна</t>
  </si>
  <si>
    <t>Колупаева Агафья Борисовна</t>
  </si>
  <si>
    <t>сопровод + IELTS онайлн</t>
  </si>
  <si>
    <t>https://nobilis.bitrix24.kz/crm/deal/details/32509/</t>
  </si>
  <si>
    <t>Әлім Меруерт Жәметқызы</t>
  </si>
  <si>
    <t>Әлім Лаура Жеңісқызы</t>
  </si>
  <si>
    <t>сопровод + IELTS онлайн</t>
  </si>
  <si>
    <t>09.08.2025-09.05.2026</t>
  </si>
  <si>
    <t>https://nobilis.bitrix24.kz/crm/deal/details/32913/</t>
  </si>
  <si>
    <t>возврат 100.000</t>
  </si>
  <si>
    <t>Шайгозова Нургуль Шакармановна</t>
  </si>
  <si>
    <t>Мақсұт Әлихан Мәуленұлы</t>
  </si>
  <si>
    <t>сопровод 10 ВУЗов</t>
  </si>
  <si>
    <t>236 нал голд, 764000 рассрочка каспий</t>
  </si>
  <si>
    <t>https://nobilis.bitrix24.kz/crm/deal/details/33113/</t>
  </si>
  <si>
    <t>Закирова Гулшаир Мамаевна</t>
  </si>
  <si>
    <t>Нурдинова Айдана Нургазыевна</t>
  </si>
  <si>
    <t>сопровод+IELTS</t>
  </si>
  <si>
    <t>18.08.2025-18.05.2026</t>
  </si>
  <si>
    <t>https://nobilis.bitrix24.kz/crm/deal/details/33371/</t>
  </si>
  <si>
    <t>Куванова Асем Дженисовна</t>
  </si>
  <si>
    <t xml:space="preserve">Куванов </t>
  </si>
  <si>
    <t>сопровод + IELTS</t>
  </si>
  <si>
    <t>18.08.2025 - 18.05.2026</t>
  </si>
  <si>
    <t>https://nobilis.bitrix24.kz/crm/deal/details/33221/</t>
  </si>
  <si>
    <t>Музапаров Марат Омирбекович</t>
  </si>
  <si>
    <t>Омирбекова Акерке Мараткызы</t>
  </si>
  <si>
    <t>сопровод + IELTS, SAT онлайн</t>
  </si>
  <si>
    <t>01.09.2025-01.06.2026</t>
  </si>
  <si>
    <t>2000000 рассрочка каспий, 1000000 нал голд</t>
  </si>
  <si>
    <t>https://nobilis.bitrix24.kz/crm/deal/details/33437/</t>
  </si>
  <si>
    <t>Атамбозова Айгуль Карасаевна</t>
  </si>
  <si>
    <t>Есберген Аселхан Жексенғалиқызы</t>
  </si>
  <si>
    <t>сопровод + IELTS, SAT онлайн в НУ</t>
  </si>
  <si>
    <t>29.08.2025-29.07.2026</t>
  </si>
  <si>
    <t>https://nobilis.bitrix24.kz/crm/deal/details/33743/</t>
  </si>
  <si>
    <t>возврат 1260000</t>
  </si>
  <si>
    <t>Рахимжанова Гульден Серикбаевна</t>
  </si>
  <si>
    <t>Заремба Ева Денисовна</t>
  </si>
  <si>
    <t>рассрочка Хоум</t>
  </si>
  <si>
    <t>https://nobilis.bitrix24.kz/crm/deal/details/34001/</t>
  </si>
  <si>
    <t>Кажмуратова Айнур Халилулаевна</t>
  </si>
  <si>
    <t>Кажмуратова Назерке Мадиевна</t>
  </si>
  <si>
    <t>сопровод+IELTS, SAT</t>
  </si>
  <si>
    <t>29.08.2025-29.05.2026</t>
  </si>
  <si>
    <t>остаток 1800000 до конца августа/ полная оплата</t>
  </si>
  <si>
    <t>https://nobilis.bitrix24.kz/crm/deal/details/33761/</t>
  </si>
  <si>
    <t>Култаева Дильбар Токтахунова</t>
  </si>
  <si>
    <t>Кулибаев Бекнур Бауржанович</t>
  </si>
  <si>
    <t>сопровод+IELTS, SAT (с 30.09)</t>
  </si>
  <si>
    <t>05.09.2025-05.06.2026</t>
  </si>
  <si>
    <t>https://nobilis.bitrix24.kz/crm/deal/details/36055/</t>
  </si>
  <si>
    <t>Камалиева Бакыткуль Иманалиевна</t>
  </si>
  <si>
    <t>Камали Алуа Мерейкызы</t>
  </si>
  <si>
    <t>сопровод + IELTS, SAT</t>
  </si>
  <si>
    <t>06.09.2025-06.06.2026</t>
  </si>
  <si>
    <t>https://nobilis.bitrix24.kz/crm/deal/details/34295/</t>
  </si>
  <si>
    <t>Рахимова Галия Бейсеновна</t>
  </si>
  <si>
    <t>Муслимова Адия Адилевна</t>
  </si>
  <si>
    <t>08.09.2025-08.06.2026</t>
  </si>
  <si>
    <t>https://nobilis.bitrix24.kz/crm/deal/details/34303/</t>
  </si>
  <si>
    <t>Мамбеталиева Рано Сабитовна</t>
  </si>
  <si>
    <t>Абдукаримов Мадияр Санжарович</t>
  </si>
  <si>
    <t>15.09.2025-15.06.2026</t>
  </si>
  <si>
    <t>1000000 нал голд, 500000 нал</t>
  </si>
  <si>
    <t>500000 после первой приглашки</t>
  </si>
  <si>
    <t>https://nobilis.bitrix24.kz/crm/deal/details/35401/</t>
  </si>
  <si>
    <t>De Bode Stella</t>
  </si>
  <si>
    <t>Sasha De Bode</t>
  </si>
  <si>
    <t>до 31.08.2026</t>
  </si>
  <si>
    <t>300000 после первой приглашки</t>
  </si>
  <si>
    <t>https://nobilis.bitrix24.kz/crm/deal/details/35361/</t>
  </si>
  <si>
    <t>Петенев Вадим Анатольевич</t>
  </si>
  <si>
    <t>Петенев Максим Вадимович</t>
  </si>
  <si>
    <t>18.09.2025-18.06.2026</t>
  </si>
  <si>
    <t>https://nobilis.bitrix24.kz/crm/deal/details/35631/</t>
  </si>
  <si>
    <t>Бердалина Айжан Нурбековна</t>
  </si>
  <si>
    <t>Бердалина Адэль Ардаққызы</t>
  </si>
  <si>
    <t>22.09.2025-22.06.2026</t>
  </si>
  <si>
    <t>1220000 голд, 200000 нал</t>
  </si>
  <si>
    <t>https://nobilis.bitrix24.kz/crm/deal/details/36057/</t>
  </si>
  <si>
    <t>Бекмурзиева Гульвира Сергеевна</t>
  </si>
  <si>
    <t>Айтжан Айбар Серікұлы</t>
  </si>
  <si>
    <t>ежемесячная оплата по 155000 каждого 20 числа до 20.05.2026</t>
  </si>
  <si>
    <t>https://nobilis.bitrix24.kz/crm/deal/details/36045/</t>
  </si>
  <si>
    <t>оплатили за декабрь</t>
  </si>
  <si>
    <t>Раимова Ольга Анатольевна</t>
  </si>
  <si>
    <t>Беймуратова Амина Маратовна</t>
  </si>
  <si>
    <t>до 1 сентября 2027</t>
  </si>
  <si>
    <t>https://nobilis.bitrix24.kz/crm/deal/details/36043/</t>
  </si>
  <si>
    <t>Айтжанов Аманбай Муталович</t>
  </si>
  <si>
    <t>Айтжан Торехан Айтбайулы</t>
  </si>
  <si>
    <t>сопровод + IELTS инд по 1.5ч, 3 раза в нед</t>
  </si>
  <si>
    <t>25.09.2025-25.12.2025</t>
  </si>
  <si>
    <t>500000 нал голд, 500000 нал</t>
  </si>
  <si>
    <t>500000 до 05.10.2025/ полная оплата</t>
  </si>
  <si>
    <t>https://nobilis.bitrix24.kz/crm/deal/details/36169/</t>
  </si>
  <si>
    <t>Имангазиева Асель Сагынгалиевна</t>
  </si>
  <si>
    <t>Есенбек Айша Муратовна</t>
  </si>
  <si>
    <t>сопровод в 10 ВУЗов</t>
  </si>
  <si>
    <t>https://nobilis.bitrix24.kz/crm/deal/details/36415/</t>
  </si>
  <si>
    <t>Каренеева Асель Клышжановна</t>
  </si>
  <si>
    <t>Каренеева Таира Бахтияровна</t>
  </si>
  <si>
    <t>30.09.2025-30.06.2026</t>
  </si>
  <si>
    <t>https://nobilis.bitrix24.kz/crm/deal/details/36587/</t>
  </si>
  <si>
    <t>Панакулова Асель Гдыршаевна</t>
  </si>
  <si>
    <t>Есен Арайлым Аманқызы</t>
  </si>
  <si>
    <t>07.10.2025-07.07.2026</t>
  </si>
  <si>
    <t>1350000 рассрочка каспий, 150000 нал</t>
  </si>
  <si>
    <t>500000 после приглашки</t>
  </si>
  <si>
    <t>https://nobilis.bitrix24.kz/crm/deal/details/37475/</t>
  </si>
  <si>
    <t>Елюбаев Ауэз Жагипарбекович</t>
  </si>
  <si>
    <t>Елюбай Шернияз Әуэзұлы</t>
  </si>
  <si>
    <t>08.10.2025-08.07.2026</t>
  </si>
  <si>
    <t>https://nobilis.bitrix24.kz/crm/deal/details/37573/</t>
  </si>
  <si>
    <t>Сабирбай Махаббат Шыныкулкызы</t>
  </si>
  <si>
    <t>1000000 после приглашки</t>
  </si>
  <si>
    <t>https://nobilis.bitrix24.kz/crm/deal/details/37581/</t>
  </si>
  <si>
    <t>догоор есть</t>
  </si>
  <si>
    <t>Мырзабаева Кунсулу Мырзабаевна</t>
  </si>
  <si>
    <t>Мырзабаева Азиза</t>
  </si>
  <si>
    <t>сопровод 10 ВУЗов (IELTS 1 мес)</t>
  </si>
  <si>
    <t>09.10.2025-09.11.2025</t>
  </si>
  <si>
    <t>https://nobilis.bitrix24.kz/crm/deal/details/37585/</t>
  </si>
  <si>
    <t>Куралбек Маржан Куралбеккызы</t>
  </si>
  <si>
    <t>Қоңыратбай Сымбат Махсатқызы</t>
  </si>
  <si>
    <t>13.09.2025-13.06.2026</t>
  </si>
  <si>
    <t>300000 до 30.10.2025, 500000 после приглашки</t>
  </si>
  <si>
    <t>https://nobilis.bitrix24.kz/crm/deal/details/38063/</t>
  </si>
  <si>
    <t>Исканова Жанар Морзагалиевна</t>
  </si>
  <si>
    <t>Толегенова Альбина</t>
  </si>
  <si>
    <t>14.10.2025-14.07.2026</t>
  </si>
  <si>
    <t>980000 до 10.01.26, 500000 после прииглашки
500 оплатила осталось 500 до 10 февраля</t>
  </si>
  <si>
    <t>https://nobilis.bitrix24.kz/crm/deal/details/38241/</t>
  </si>
  <si>
    <t>200К оплаата</t>
  </si>
  <si>
    <t>Бердалина Дина Ибрагимовна</t>
  </si>
  <si>
    <t>Есен Абдурахман Саянұлы</t>
  </si>
  <si>
    <t>сопровод +IELTS</t>
  </si>
  <si>
    <t>860 рассрочка +320 рассрочка</t>
  </si>
  <si>
    <t>320000 до 06.12.25, 500000 после приглашки</t>
  </si>
  <si>
    <t>https://nobilis.bitrix24.kz/crm/deal/details/38267/</t>
  </si>
  <si>
    <t>Утеулиев Жантемир Кеулимжанович</t>
  </si>
  <si>
    <t>Кеулимжанов  Имангали Жантемирович</t>
  </si>
  <si>
    <t>сопровод+IELTS SAT</t>
  </si>
  <si>
    <t>22.10.2025-22.07.2026</t>
  </si>
  <si>
    <t>https://nobilis.bitrix24.kz/crm/deal/details/38787/</t>
  </si>
  <si>
    <t>Тогобицкая Юлия Юрьевна</t>
  </si>
  <si>
    <t>Тогобицкий Иван</t>
  </si>
  <si>
    <t>500000 до 10.01.26, остаток 500000 после приглашки</t>
  </si>
  <si>
    <t>https://nobilis.bitrix24.kz/crm/deal/details/40301/</t>
  </si>
  <si>
    <t>Султанова Элина Гарипуллаевна</t>
  </si>
  <si>
    <t>500000 после приглашки(оплатили)</t>
  </si>
  <si>
    <t>https://nobilis.bitrix24.kz/crm/deal/details/40973/</t>
  </si>
  <si>
    <t>Абдугалиева Асия Аскаровна</t>
  </si>
  <si>
    <t>Абдугалиев Алидар Ануарович</t>
  </si>
  <si>
    <t>сопровод+SAT IELTS</t>
  </si>
  <si>
    <t>05.11.2025-05.08.2026</t>
  </si>
  <si>
    <t>1200000 голд, 600000 нал</t>
  </si>
  <si>
    <t>1500000 до 15.11.2025, 500000 после приглашки</t>
  </si>
  <si>
    <t>https://nobilis.bitrix24.kz/crm/deal/details/40189/</t>
  </si>
  <si>
    <t>Сабдыбаева Тахмина Апеновна</t>
  </si>
  <si>
    <t>Байгабулова Аружан Сабитовна</t>
  </si>
  <si>
    <t>сопровод +IELTS онлайн</t>
  </si>
  <si>
    <t>24.11.2025-24.08.2026</t>
  </si>
  <si>
    <t>1340000 рассрочка каспий, 160000 нал голд</t>
  </si>
  <si>
    <t>Тайтулина Галина Кайржановна</t>
  </si>
  <si>
    <t>Болекбай Камила Айбаркызы</t>
  </si>
  <si>
    <t>IELTS, SAT online</t>
  </si>
  <si>
    <t>500000 до 08.2026</t>
  </si>
  <si>
    <t>https://nobilis.bitrix24.kz/crm/deal/details/42457/</t>
  </si>
  <si>
    <t>Султанова Мерханум Мусагалиевна</t>
  </si>
  <si>
    <t>Султанов Артур-Тамерлан Гарипуллаевич</t>
  </si>
  <si>
    <t>сопровод  10 ВУЗов</t>
  </si>
  <si>
    <t>500000 после приглашки (оплатили)</t>
  </si>
  <si>
    <t>https://nobilis.bitrix24.kz/crm/deal/details/42317/</t>
  </si>
  <si>
    <t>поступил</t>
  </si>
  <si>
    <t xml:space="preserve">договор есть </t>
  </si>
  <si>
    <t>Гуртовенко Юлия Александровна</t>
  </si>
  <si>
    <t>Гуртовенко Максим Андреевич</t>
  </si>
  <si>
    <t>01.12.2025-01.12.2026</t>
  </si>
  <si>
    <t>https://nobilis.bitrix24.kz/crm/deal/details/42313/</t>
  </si>
  <si>
    <t>Разбекова Ольга Юрьевна</t>
  </si>
  <si>
    <t>Разбекова Амина Арнуровна</t>
  </si>
  <si>
    <t>сопровод+IELTS, SAT онлайн</t>
  </si>
  <si>
    <t>05.01.2026-05.09.2026</t>
  </si>
  <si>
    <t>https://nobilis.bitrix24.kz/crm/deal/details/44103/</t>
  </si>
  <si>
    <t>Медведева Мира Решатовна</t>
  </si>
  <si>
    <t>Медведева Адеми Мауленовна</t>
  </si>
  <si>
    <t>24.12.2025-24.09.2026</t>
  </si>
  <si>
    <t>https://nobilis.bitrix24.kz/crm/deal/details/44091/</t>
  </si>
  <si>
    <t>150/2</t>
  </si>
  <si>
    <t>Жунусова Гульжан Сейдуалиевна</t>
  </si>
  <si>
    <t>Ермеков Абзал</t>
  </si>
  <si>
    <t>Джуманбаева Айгуль Талгатовна</t>
  </si>
  <si>
    <t>Саяжанова Айганым Темирбаевна</t>
  </si>
  <si>
    <t xml:space="preserve">сопровод </t>
  </si>
  <si>
    <t>https://nobilis.bitrix24.kz/crm/deal/details/44085/</t>
  </si>
  <si>
    <t>Ся-Тун-Чин. Мария Владимировна</t>
  </si>
  <si>
    <t>Рудниченко Арина Сергеевна</t>
  </si>
  <si>
    <t>05.01.2026-05.10.2026 (сат заморозка на месяц, начнет с 05.02, с 16.01.26 полная заморозка обучения)</t>
  </si>
  <si>
    <t>https://nobilis.bitrix24.kz/crm/deal/details/43941/</t>
  </si>
  <si>
    <t>Пак Евгений Георгиевич</t>
  </si>
  <si>
    <t>Пак Михаил</t>
  </si>
  <si>
    <t>05.01.2026 - 05.10.2026</t>
  </si>
  <si>
    <t>500000 до 03.02.2026, 500000 после приглашки</t>
  </si>
  <si>
    <t>https://nobilis.bitrix24.kz/crm/deal/details/44079/</t>
  </si>
  <si>
    <t xml:space="preserve">Хасенова Асия Бексаинова </t>
  </si>
  <si>
    <t>Хасенов Алим Адилевич</t>
  </si>
  <si>
    <t>06.01.2026-06.10.2026</t>
  </si>
  <si>
    <t>850000 до 10.01.2026, 500000 после приглашки</t>
  </si>
  <si>
    <t>https://nobilis.bitrix24.kz/crm/deal/details/45297/</t>
  </si>
  <si>
    <t>Ыдырышев Айдынбек Кенесханулы</t>
  </si>
  <si>
    <t>Кенесхан Магжан Айдынбекулы</t>
  </si>
  <si>
    <t>https://nobilis.bitrix24.kz/crm/deal/details/45137/</t>
  </si>
  <si>
    <t xml:space="preserve">Утембеков Кайролла Джумабаевич </t>
  </si>
  <si>
    <t>Жумабай Амирлан Кайроллаулы</t>
  </si>
  <si>
    <t>Нуртлеу</t>
  </si>
  <si>
    <t>https://nobilis.bitrix24.kz/crm/deal/details/44931/</t>
  </si>
  <si>
    <t>Альмухамедова Эльвира Равильевна</t>
  </si>
  <si>
    <t xml:space="preserve">Куянгузов Алан Аныбекович
</t>
  </si>
  <si>
    <t>сопровод (Китай) + IELTS (оффлайн)</t>
  </si>
  <si>
    <t>15.02.2026 - 15.11.2026</t>
  </si>
  <si>
    <t>Мукушева Анара Елемесовна</t>
  </si>
  <si>
    <t>Рахмет Алихан Ренатулы</t>
  </si>
  <si>
    <t>21.02.2026 - 21.11.2026</t>
  </si>
  <si>
    <t xml:space="preserve"> 500000 после приглашки</t>
  </si>
  <si>
    <t>Утимбекова Вера Владимировна</t>
  </si>
  <si>
    <t>Утимбеков Санжар Гарифоллаевич</t>
  </si>
  <si>
    <t>Cопровод (Италия) + IELTS   (1 месяц онлайн)</t>
  </si>
  <si>
    <t>23.02.2026-23.02.2026</t>
  </si>
  <si>
    <t>Муслимов Асет</t>
  </si>
  <si>
    <t>SAT в группе</t>
  </si>
  <si>
    <t>06.10.2025-06.11.2025</t>
  </si>
  <si>
    <t>120000 ежемес</t>
  </si>
  <si>
    <t>окончил</t>
  </si>
  <si>
    <t>IELTS, SAT individual online</t>
  </si>
  <si>
    <t>05.11.2025-05.12.2025 (IELTS заморозка с 19.11)</t>
  </si>
  <si>
    <t>IELTS group</t>
  </si>
  <si>
    <t>17.10.2025-17.12.2025</t>
  </si>
  <si>
    <t>окончила</t>
  </si>
  <si>
    <t>IELTS individual Dilyara</t>
  </si>
  <si>
    <t>24.09.2025-24.12.2025</t>
  </si>
  <si>
    <t>19.11.2025-19.02.2025</t>
  </si>
  <si>
    <t>Калжигитова Алсу</t>
  </si>
  <si>
    <t>24.11.2025-24.02.2025</t>
  </si>
  <si>
    <t>https://nobilis.bitrix24.kz/crm/deal/details/41579/</t>
  </si>
  <si>
    <t>IELTS individual Ilona</t>
  </si>
  <si>
    <t>01.09.2025-30.12.2025</t>
  </si>
  <si>
    <t xml:space="preserve">нал  </t>
  </si>
  <si>
    <t>Байзаков Адиль Маратович</t>
  </si>
  <si>
    <t>IELTS individual Vanessa</t>
  </si>
  <si>
    <t>14.11.1015-20.01.2025</t>
  </si>
  <si>
    <t>Болекбай Камила</t>
  </si>
  <si>
    <t>IELTS, SAT group online</t>
  </si>
  <si>
    <t>Сырлыбек Бекнар Куанышолы</t>
  </si>
  <si>
    <t>Дарина</t>
  </si>
  <si>
    <t>03.12.2025-15.02.2026</t>
  </si>
  <si>
    <t>Умбет Асел Бакыткызы</t>
  </si>
  <si>
    <t>до 07.03.2026</t>
  </si>
  <si>
    <t>07.01.2026-07.02.2026</t>
  </si>
  <si>
    <t>еще не оплатил</t>
  </si>
  <si>
    <t>02.02-02.03</t>
  </si>
  <si>
    <t>Ахтанова Айдана Мадияровна</t>
  </si>
  <si>
    <t>IELTS, SAT group</t>
  </si>
  <si>
    <t>№</t>
  </si>
  <si>
    <t>Остаток суммы</t>
  </si>
  <si>
    <t>27.08.2024-27.03.2025</t>
  </si>
  <si>
    <t>06.09.2024-06.06.2025</t>
  </si>
  <si>
    <t>01.09.2024-01.06.2025</t>
  </si>
  <si>
    <t>23.10.2024 -  30.10.2025</t>
  </si>
  <si>
    <t>02.12.2024 -  02.11.2025</t>
  </si>
  <si>
    <t>17.12.2024-17.06.2025</t>
  </si>
  <si>
    <t xml:space="preserve">05.02.2025 - 05.11.2025 </t>
  </si>
  <si>
    <t>IELTS + SAT+сопровод</t>
  </si>
  <si>
    <t xml:space="preserve">22.01.2025 - 22.08.2026 </t>
  </si>
  <si>
    <t>27.03.2025-27.04.2025</t>
  </si>
  <si>
    <t>18.03.2025-18.06.2025</t>
  </si>
  <si>
    <t>Бекешов Ыбырай</t>
  </si>
  <si>
    <t xml:space="preserve">23.07.2025-23.04.2026 </t>
  </si>
  <si>
    <t>Куванов Альтаир</t>
  </si>
  <si>
    <t>сопровод+IELTS SAT (за сат тоже считаю)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</si>
</sst>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.yyyy"/>
    <numFmt numFmtId="166" formatCode="dd.mm"/>
  </numFmts>
  <fonts count="32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color theme="1"/>
      <name val="Arial"/>
      <scheme val="minor"/>
    </font>
    <font>
      <sz val="10.0"/>
      <color rgb="FF333333"/>
      <name val="System-ui"/>
    </font>
    <font>
      <u/>
      <sz val="10.0"/>
      <color rgb="FF0000FF"/>
    </font>
    <font>
      <u/>
      <color rgb="FF1155CC"/>
      <name val="Arial"/>
    </font>
    <font>
      <sz val="10.0"/>
      <color rgb="FF161616"/>
      <name val="System-ui"/>
    </font>
    <font>
      <sz val="10.0"/>
      <color rgb="FF333333"/>
      <name val="Arial"/>
    </font>
    <font>
      <sz val="10.0"/>
      <color rgb="FF333333"/>
      <name val="Inherit"/>
    </font>
    <font>
      <u/>
      <sz val="10.0"/>
      <color rgb="FF0000FF"/>
    </font>
    <font>
      <u/>
      <sz val="10.0"/>
      <color rgb="FF0000FF"/>
    </font>
    <font>
      <u/>
      <color rgb="FF1155CC"/>
      <name val="Arial"/>
    </font>
    <font>
      <sz val="10.0"/>
      <color rgb="FF161616"/>
      <name val="Arial"/>
    </font>
    <font>
      <u/>
      <sz val="10.0"/>
      <color rgb="FF0000FF"/>
    </font>
    <font>
      <sz val="10.0"/>
      <color rgb="FF000000"/>
      <name val="Arial"/>
    </font>
    <font>
      <u/>
      <sz val="10.0"/>
      <color rgb="FF0000FF"/>
    </font>
    <font>
      <sz val="12.0"/>
      <color theme="1"/>
      <name val="&quot;Times New Roman&quot;"/>
    </font>
    <font>
      <color theme="1"/>
      <name val="Arial"/>
    </font>
    <font>
      <u/>
      <color rgb="FF0000FF"/>
      <name val="Arial"/>
    </font>
    <font>
      <u/>
      <sz val="10.0"/>
      <color rgb="FF0000FF"/>
    </font>
    <font>
      <sz val="10.0"/>
      <color rgb="FF000000"/>
      <name val="System-ui"/>
    </font>
    <font>
      <u/>
      <sz val="10.0"/>
      <color rgb="FF0000FF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color rgb="FF1155CC"/>
      <name val="Arial"/>
    </font>
    <font>
      <u/>
      <sz val="10.0"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FAFDED"/>
        <bgColor rgb="FFFAFDED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 shrinkToFit="0" wrapText="1"/>
    </xf>
    <xf borderId="0" fillId="3" fontId="3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5" numFmtId="0" xfId="0" applyFont="1"/>
    <xf borderId="0" fillId="4" fontId="6" numFmtId="0" xfId="0" applyAlignment="1" applyFill="1" applyFont="1">
      <alignment horizontal="center" readingOrder="0" shrinkToFit="0" wrapText="1"/>
    </xf>
    <xf borderId="0" fillId="5" fontId="3" numFmtId="0" xfId="0" applyAlignment="1" applyFill="1" applyFont="1">
      <alignment horizontal="center" readingOrder="0" shrinkToFit="0" wrapText="1"/>
    </xf>
    <xf borderId="0" fillId="3" fontId="3" numFmtId="164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shrinkToFit="0" wrapText="1"/>
    </xf>
    <xf borderId="0" fillId="3" fontId="3" numFmtId="0" xfId="0" applyAlignment="1" applyFont="1">
      <alignment horizontal="center"/>
    </xf>
    <xf borderId="0" fillId="3" fontId="6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shrinkToFit="0" wrapText="1"/>
    </xf>
    <xf borderId="0" fillId="3" fontId="8" numFmtId="0" xfId="0" applyAlignment="1" applyFont="1">
      <alignment horizontal="center" readingOrder="0" shrinkToFit="0" vertical="bottom" wrapText="1"/>
    </xf>
    <xf borderId="0" fillId="6" fontId="3" numFmtId="0" xfId="0" applyAlignment="1" applyFill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4" fontId="10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3" fontId="13" numFmtId="0" xfId="0" applyAlignment="1" applyFont="1">
      <alignment horizontal="center" readingOrder="0" shrinkToFit="0" wrapText="1"/>
    </xf>
    <xf borderId="0" fillId="3" fontId="10" numFmtId="0" xfId="0" applyAlignment="1" applyFont="1">
      <alignment horizontal="center" readingOrder="0" shrinkToFit="0" wrapText="1"/>
    </xf>
    <xf borderId="0" fillId="7" fontId="10" numFmtId="0" xfId="0" applyAlignment="1" applyFill="1" applyFont="1">
      <alignment horizontal="center" readingOrder="0" shrinkToFit="0" wrapText="1"/>
    </xf>
    <xf borderId="0" fillId="0" fontId="14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shrinkToFit="0" wrapText="1"/>
    </xf>
    <xf borderId="0" fillId="7" fontId="6" numFmtId="0" xfId="0" applyAlignment="1" applyFont="1">
      <alignment horizontal="center" readingOrder="0" shrinkToFit="0" wrapText="1"/>
    </xf>
    <xf borderId="0" fillId="0" fontId="3" numFmtId="165" xfId="0" applyAlignment="1" applyFont="1" applyNumberFormat="1">
      <alignment horizontal="center" readingOrder="0" shrinkToFit="0" wrapText="1"/>
    </xf>
    <xf borderId="0" fillId="0" fontId="15" numFmtId="0" xfId="0" applyAlignment="1" applyFont="1">
      <alignment horizontal="center" readingOrder="0" shrinkToFit="0" wrapText="1"/>
    </xf>
    <xf borderId="0" fillId="8" fontId="3" numFmtId="0" xfId="0" applyAlignment="1" applyFill="1" applyFont="1">
      <alignment horizontal="center" readingOrder="0" shrinkToFit="0" wrapText="1"/>
    </xf>
    <xf borderId="0" fillId="4" fontId="3" numFmtId="0" xfId="0" applyAlignment="1" applyFont="1">
      <alignment horizontal="center" readingOrder="0" shrinkToFit="0" wrapText="1"/>
    </xf>
    <xf borderId="0" fillId="4" fontId="6" numFmtId="0" xfId="0" applyAlignment="1" applyFont="1">
      <alignment horizontal="center" readingOrder="0" shrinkToFit="0" wrapText="1"/>
    </xf>
    <xf borderId="0" fillId="4" fontId="3" numFmtId="165" xfId="0" applyAlignment="1" applyFont="1" applyNumberFormat="1">
      <alignment horizontal="center" readingOrder="0" shrinkToFit="0" wrapText="1"/>
    </xf>
    <xf borderId="0" fillId="4" fontId="3" numFmtId="0" xfId="0" applyAlignment="1" applyFont="1">
      <alignment horizontal="center" shrinkToFit="0" wrapText="1"/>
    </xf>
    <xf borderId="0" fillId="4" fontId="16" numFmtId="0" xfId="0" applyAlignment="1" applyFont="1">
      <alignment horizontal="center" readingOrder="0" shrinkToFit="0" wrapText="1"/>
    </xf>
    <xf borderId="0" fillId="4" fontId="3" numFmtId="0" xfId="0" applyAlignment="1" applyFont="1">
      <alignment horizontal="center"/>
    </xf>
    <xf borderId="0" fillId="3" fontId="3" numFmtId="165" xfId="0" applyAlignment="1" applyFont="1" applyNumberFormat="1">
      <alignment horizontal="center" readingOrder="0" shrinkToFit="0" wrapText="1"/>
    </xf>
    <xf borderId="0" fillId="4" fontId="17" numFmtId="0" xfId="0" applyAlignment="1" applyFont="1">
      <alignment horizontal="center" readingOrder="0" shrinkToFit="0" wrapText="1"/>
    </xf>
    <xf borderId="0" fillId="9" fontId="18" numFmtId="0" xfId="0" applyAlignment="1" applyFill="1" applyFont="1">
      <alignment horizontal="center" readingOrder="0" shrinkToFit="0" wrapText="1"/>
    </xf>
    <xf borderId="0" fillId="9" fontId="3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center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/>
    </xf>
    <xf borderId="0" fillId="0" fontId="20" numFmtId="0" xfId="0" applyAlignment="1" applyFont="1">
      <alignment horizontal="center" shrinkToFit="0" vertical="bottom" wrapText="1"/>
    </xf>
    <xf borderId="0" fillId="3" fontId="3" numFmtId="0" xfId="0" applyAlignment="1" applyFont="1">
      <alignment horizontal="center" readingOrder="0"/>
    </xf>
    <xf borderId="0" fillId="3" fontId="5" numFmtId="0" xfId="0" applyFont="1"/>
    <xf borderId="0" fillId="0" fontId="20" numFmtId="0" xfId="0" applyAlignment="1" applyFont="1">
      <alignment horizontal="center" shrinkToFit="0" vertical="bottom" wrapText="1"/>
    </xf>
    <xf borderId="0" fillId="0" fontId="20" numFmtId="164" xfId="0" applyAlignment="1" applyFont="1" applyNumberFormat="1">
      <alignment horizontal="center" shrinkToFit="0" vertical="bottom" wrapText="1"/>
    </xf>
    <xf borderId="0" fillId="2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readingOrder="0" shrinkToFit="0" vertical="bottom" wrapText="1"/>
    </xf>
    <xf borderId="0" fillId="0" fontId="20" numFmtId="0" xfId="0" applyAlignment="1" applyFont="1">
      <alignment vertical="bottom"/>
    </xf>
    <xf borderId="0" fillId="0" fontId="20" numFmtId="0" xfId="0" applyAlignment="1" applyFont="1">
      <alignment horizontal="center" readingOrder="0" shrinkToFit="0" vertical="bottom" wrapText="1"/>
    </xf>
    <xf borderId="0" fillId="0" fontId="20" numFmtId="164" xfId="0" applyAlignment="1" applyFont="1" applyNumberFormat="1">
      <alignment horizontal="center" readingOrder="0" shrinkToFit="0" vertical="bottom" wrapText="1"/>
    </xf>
    <xf borderId="0" fillId="0" fontId="5" numFmtId="0" xfId="0" applyAlignment="1" applyFont="1">
      <alignment horizontal="center" shrinkToFit="0" wrapText="1"/>
    </xf>
    <xf borderId="0" fillId="10" fontId="3" numFmtId="0" xfId="0" applyAlignment="1" applyFill="1" applyFont="1">
      <alignment horizontal="center" shrinkToFit="0" wrapText="1"/>
    </xf>
    <xf borderId="0" fillId="10" fontId="3" numFmtId="0" xfId="0" applyAlignment="1" applyFont="1">
      <alignment horizontal="center" readingOrder="0" shrinkToFit="0" wrapText="1"/>
    </xf>
    <xf borderId="0" fillId="10" fontId="3" numFmtId="164" xfId="0" applyAlignment="1" applyFont="1" applyNumberFormat="1">
      <alignment horizontal="center" readingOrder="0" shrinkToFit="0" wrapText="1"/>
    </xf>
    <xf borderId="0" fillId="10" fontId="22" numFmtId="0" xfId="0" applyAlignment="1" applyFont="1">
      <alignment horizontal="center" readingOrder="0" shrinkToFit="0" wrapText="1"/>
    </xf>
    <xf borderId="0" fillId="10" fontId="3" numFmtId="0" xfId="0" applyAlignment="1" applyFont="1">
      <alignment horizontal="center" readingOrder="0"/>
    </xf>
    <xf borderId="0" fillId="10" fontId="3" numFmtId="0" xfId="0" applyAlignment="1" applyFont="1">
      <alignment horizontal="center"/>
    </xf>
    <xf borderId="0" fillId="10" fontId="5" numFmtId="0" xfId="0" applyFont="1"/>
    <xf borderId="0" fillId="3" fontId="2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/>
    </xf>
    <xf borderId="0" fillId="0" fontId="24" numFmtId="0" xfId="0" applyAlignment="1" applyFon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0" fillId="3" fontId="25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26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8" fontId="3" numFmtId="0" xfId="0" applyAlignment="1" applyFont="1">
      <alignment horizontal="center" readingOrder="0"/>
    </xf>
    <xf borderId="0" fillId="0" fontId="27" numFmtId="0" xfId="0" applyAlignment="1" applyFont="1">
      <alignment readingOrder="0"/>
    </xf>
    <xf borderId="0" fillId="2" fontId="3" numFmtId="164" xfId="0" applyAlignment="1" applyFont="1" applyNumberFormat="1">
      <alignment horizontal="center" readingOrder="0"/>
    </xf>
    <xf borderId="0" fillId="2" fontId="10" numFmtId="0" xfId="0" applyAlignment="1" applyFont="1">
      <alignment horizontal="center" readingOrder="0"/>
    </xf>
    <xf borderId="0" fillId="2" fontId="28" numFmtId="0" xfId="0" applyAlignment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1" fontId="3" numFmtId="164" xfId="0" applyAlignment="1" applyFont="1" applyNumberFormat="1">
      <alignment horizontal="center" readingOrder="0"/>
    </xf>
    <xf borderId="0" fillId="11" fontId="3" numFmtId="0" xfId="0" applyAlignment="1" applyFont="1">
      <alignment horizontal="center"/>
    </xf>
    <xf borderId="0" fillId="2" fontId="9" numFmtId="0" xfId="0" applyAlignment="1" applyFont="1">
      <alignment horizontal="center" readingOrder="0"/>
    </xf>
    <xf borderId="0" fillId="3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2" fontId="3" numFmtId="164" xfId="0" applyAlignment="1" applyFont="1" applyNumberFormat="1">
      <alignment horizontal="center" readingOrder="0" shrinkToFit="0" wrapText="1"/>
    </xf>
    <xf borderId="0" fillId="2" fontId="29" numFmtId="0" xfId="0" applyAlignment="1" applyFont="1">
      <alignment horizontal="center" readingOrder="0" shrinkToFit="0" wrapText="1"/>
    </xf>
    <xf borderId="0" fillId="2" fontId="5" numFmtId="0" xfId="0" applyFont="1"/>
    <xf borderId="0" fillId="2" fontId="6" numFmtId="0" xfId="0" applyAlignment="1" applyFont="1">
      <alignment horizontal="center" readingOrder="0" shrinkToFit="0" wrapText="1"/>
    </xf>
    <xf borderId="0" fillId="2" fontId="30" numFmtId="0" xfId="0" applyAlignment="1" applyFont="1">
      <alignment horizontal="center" readingOrder="0" shrinkToFit="0" vertical="bottom" wrapText="1"/>
    </xf>
    <xf borderId="0" fillId="2" fontId="9" numFmtId="0" xfId="0" applyAlignment="1" applyFont="1">
      <alignment horizontal="center" readingOrder="0" shrinkToFit="0" wrapText="1"/>
    </xf>
    <xf borderId="0" fillId="2" fontId="15" numFmtId="0" xfId="0" applyAlignment="1" applyFont="1">
      <alignment horizontal="center" readingOrder="0" shrinkToFit="0" wrapText="1"/>
    </xf>
    <xf borderId="0" fillId="2" fontId="10" numFmtId="0" xfId="0" applyAlignment="1" applyFont="1">
      <alignment horizontal="center" readingOrder="0" shrinkToFit="0" wrapText="1"/>
    </xf>
    <xf borderId="0" fillId="2" fontId="11" numFmtId="0" xfId="0" applyAlignment="1" applyFont="1">
      <alignment horizontal="center" readingOrder="0" shrinkToFit="0" wrapText="1"/>
    </xf>
    <xf borderId="0" fillId="2" fontId="31" numFmtId="0" xfId="0" applyAlignment="1" applyFont="1">
      <alignment horizontal="center" readingOrder="0" shrinkToFit="0" wrapText="1"/>
    </xf>
    <xf borderId="0" fillId="2" fontId="3" numFmtId="165" xfId="0" applyAlignment="1" applyFont="1" applyNumberFormat="1">
      <alignment horizontal="center" readingOrder="0" shrinkToFit="0" wrapText="1"/>
    </xf>
    <xf borderId="0" fillId="2" fontId="17" numFmtId="0" xfId="0" applyAlignment="1" applyFont="1">
      <alignment horizontal="center" readingOrder="0" shrinkToFit="0" wrapText="1"/>
    </xf>
    <xf borderId="0" fillId="9" fontId="3" numFmtId="164" xfId="0" applyAlignment="1" applyFont="1" applyNumberFormat="1">
      <alignment horizontal="center" readingOrder="0" shrinkToFit="0" wrapText="1"/>
    </xf>
    <xf borderId="0" fillId="2" fontId="3" numFmtId="166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obilis.bitrix24.kz/crm/deal/details/15615/" TargetMode="External"/><Relationship Id="rId42" Type="http://schemas.openxmlformats.org/officeDocument/2006/relationships/hyperlink" Target="https://nobilis.bitrix24.kz/crm/deal/details/8221/" TargetMode="External"/><Relationship Id="rId41" Type="http://schemas.openxmlformats.org/officeDocument/2006/relationships/hyperlink" Target="https://nobilis.bitrix24.kz/crm/deal/details/21225/" TargetMode="External"/><Relationship Id="rId44" Type="http://schemas.openxmlformats.org/officeDocument/2006/relationships/hyperlink" Target="https://nobilis.bitrix24.kz/crm/deal/details/8323/" TargetMode="External"/><Relationship Id="rId43" Type="http://schemas.openxmlformats.org/officeDocument/2006/relationships/hyperlink" Target="https://nobilis.bitrix24.kz/crm/deal/details/8219/" TargetMode="External"/><Relationship Id="rId46" Type="http://schemas.openxmlformats.org/officeDocument/2006/relationships/hyperlink" Target="https://nobilis.bitrix24.kz/crm/deal/details/8777/" TargetMode="External"/><Relationship Id="rId45" Type="http://schemas.openxmlformats.org/officeDocument/2006/relationships/hyperlink" Target="https://nobilis.bitrix24.kz/crm/deal/details/8325/" TargetMode="External"/><Relationship Id="rId107" Type="http://schemas.openxmlformats.org/officeDocument/2006/relationships/hyperlink" Target="https://nobilis.bitrix24.kz/crm/deal/details/32029/" TargetMode="External"/><Relationship Id="rId106" Type="http://schemas.openxmlformats.org/officeDocument/2006/relationships/hyperlink" Target="https://nobilis.bitrix24.kz/crm/deal/details/32305/" TargetMode="External"/><Relationship Id="rId105" Type="http://schemas.openxmlformats.org/officeDocument/2006/relationships/hyperlink" Target="https://nobilis.bitrix24.kz/crm/deal/details/31519/" TargetMode="External"/><Relationship Id="rId104" Type="http://schemas.openxmlformats.org/officeDocument/2006/relationships/hyperlink" Target="https://nobilis.bitrix24.kz/crm/deal/details/30949/" TargetMode="External"/><Relationship Id="rId109" Type="http://schemas.openxmlformats.org/officeDocument/2006/relationships/hyperlink" Target="https://nobilis.bitrix24.kz/crm/deal/details/32509/" TargetMode="External"/><Relationship Id="rId108" Type="http://schemas.openxmlformats.org/officeDocument/2006/relationships/hyperlink" Target="https://nobilis.bitrix24.kz/crm/deal/details/32513/" TargetMode="External"/><Relationship Id="rId48" Type="http://schemas.openxmlformats.org/officeDocument/2006/relationships/hyperlink" Target="https://nobilis.bitrix24.kz/crm/deal/details/7413/" TargetMode="External"/><Relationship Id="rId47" Type="http://schemas.openxmlformats.org/officeDocument/2006/relationships/hyperlink" Target="https://nobilis.bitrix24.kz/crm/deal/details/8537/" TargetMode="External"/><Relationship Id="rId49" Type="http://schemas.openxmlformats.org/officeDocument/2006/relationships/hyperlink" Target="https://nobilis.bitrix24.kz/crm/deal/details/8827/" TargetMode="External"/><Relationship Id="rId103" Type="http://schemas.openxmlformats.org/officeDocument/2006/relationships/hyperlink" Target="https://nobilis.bitrix24.kz/crm/deal/details/30193/" TargetMode="External"/><Relationship Id="rId102" Type="http://schemas.openxmlformats.org/officeDocument/2006/relationships/hyperlink" Target="https://nobilis.bitrix24.kz/crm/deal/details/29313/" TargetMode="External"/><Relationship Id="rId101" Type="http://schemas.openxmlformats.org/officeDocument/2006/relationships/hyperlink" Target="https://nobilis.bitrix24.kz/crm/deal/details/29307/" TargetMode="External"/><Relationship Id="rId100" Type="http://schemas.openxmlformats.org/officeDocument/2006/relationships/hyperlink" Target="https://nobilis.bitrix24.kz/crm/deal/details/24955/" TargetMode="External"/><Relationship Id="rId31" Type="http://schemas.openxmlformats.org/officeDocument/2006/relationships/hyperlink" Target="https://nobilis.bitrix24.kz/crm/deal/details/21211/" TargetMode="External"/><Relationship Id="rId30" Type="http://schemas.openxmlformats.org/officeDocument/2006/relationships/hyperlink" Target="https://nobilis.bitrix24.kz/crm/deal/details/21209/?any=details%2F21209%2F" TargetMode="External"/><Relationship Id="rId33" Type="http://schemas.openxmlformats.org/officeDocument/2006/relationships/hyperlink" Target="https://nobilis.bitrix24.kz/crm/deal/details/6693/" TargetMode="External"/><Relationship Id="rId32" Type="http://schemas.openxmlformats.org/officeDocument/2006/relationships/hyperlink" Target="https://nobilis.bitrix24.kz/crm/deal/details/6625/" TargetMode="External"/><Relationship Id="rId35" Type="http://schemas.openxmlformats.org/officeDocument/2006/relationships/hyperlink" Target="https://nobilis.bitrix24.kz/crm/deal/details/6913/" TargetMode="External"/><Relationship Id="rId34" Type="http://schemas.openxmlformats.org/officeDocument/2006/relationships/hyperlink" Target="https://nobilis.bitrix24.kz/crm/deal/details/8779/" TargetMode="External"/><Relationship Id="rId37" Type="http://schemas.openxmlformats.org/officeDocument/2006/relationships/hyperlink" Target="https://nobilis.bitrix24.kz/crm/deal/details/7355/" TargetMode="External"/><Relationship Id="rId36" Type="http://schemas.openxmlformats.org/officeDocument/2006/relationships/hyperlink" Target="https://nobilis.bitrix24.kz/crm/deal/details/7297/" TargetMode="External"/><Relationship Id="rId39" Type="http://schemas.openxmlformats.org/officeDocument/2006/relationships/hyperlink" Target="https://nobilis.bitrix24.kz/crm/deal/details/7859/" TargetMode="External"/><Relationship Id="rId38" Type="http://schemas.openxmlformats.org/officeDocument/2006/relationships/hyperlink" Target="https://nobilis.bitrix24.kz/crm/deal/details/7857/" TargetMode="External"/><Relationship Id="rId20" Type="http://schemas.openxmlformats.org/officeDocument/2006/relationships/hyperlink" Target="https://nobilis.bitrix24.kz/crm/deal/details/3943/" TargetMode="External"/><Relationship Id="rId22" Type="http://schemas.openxmlformats.org/officeDocument/2006/relationships/hyperlink" Target="https://nobilis.bitrix24.kz/crm/deal/details/21099/?any=details%2F21099%2F" TargetMode="External"/><Relationship Id="rId21" Type="http://schemas.openxmlformats.org/officeDocument/2006/relationships/hyperlink" Target="https://nobilis.bitrix24.kz/crm/deal/details/4915/" TargetMode="External"/><Relationship Id="rId24" Type="http://schemas.openxmlformats.org/officeDocument/2006/relationships/hyperlink" Target="https://nobilis.bitrix24.kz/crm/deal/details/4201/" TargetMode="External"/><Relationship Id="rId23" Type="http://schemas.openxmlformats.org/officeDocument/2006/relationships/hyperlink" Target="https://nobilis.bitrix24.kz/crm/deal/details/29555/" TargetMode="External"/><Relationship Id="rId129" Type="http://schemas.openxmlformats.org/officeDocument/2006/relationships/hyperlink" Target="https://nobilis.bitrix24.kz/crm/deal/details/36587/" TargetMode="External"/><Relationship Id="rId128" Type="http://schemas.openxmlformats.org/officeDocument/2006/relationships/hyperlink" Target="https://nobilis.bitrix24.kz/crm/deal/details/36415/" TargetMode="External"/><Relationship Id="rId127" Type="http://schemas.openxmlformats.org/officeDocument/2006/relationships/hyperlink" Target="https://nobilis.bitrix24.kz/crm/deal/details/36169/" TargetMode="External"/><Relationship Id="rId126" Type="http://schemas.openxmlformats.org/officeDocument/2006/relationships/hyperlink" Target="https://nobilis.bitrix24.kz/crm/deal/details/36043/" TargetMode="External"/><Relationship Id="rId26" Type="http://schemas.openxmlformats.org/officeDocument/2006/relationships/hyperlink" Target="https://nobilis.bitrix24.kz/crm/deal/details/6169/" TargetMode="External"/><Relationship Id="rId121" Type="http://schemas.openxmlformats.org/officeDocument/2006/relationships/hyperlink" Target="https://nobilis.bitrix24.kz/crm/deal/details/35401/" TargetMode="External"/><Relationship Id="rId25" Type="http://schemas.openxmlformats.org/officeDocument/2006/relationships/hyperlink" Target="https://nobilis.bitrix24.kz/crm/deal/details/31495/" TargetMode="External"/><Relationship Id="rId120" Type="http://schemas.openxmlformats.org/officeDocument/2006/relationships/hyperlink" Target="https://nobilis.bitrix24.kz/crm/deal/details/34303/" TargetMode="External"/><Relationship Id="rId28" Type="http://schemas.openxmlformats.org/officeDocument/2006/relationships/hyperlink" Target="https://nobilis.bitrix24.kz/crm/deal/details/21107/?any=details%2F21107%2F" TargetMode="External"/><Relationship Id="rId27" Type="http://schemas.openxmlformats.org/officeDocument/2006/relationships/hyperlink" Target="https://nobilis.bitrix24.kz/crm/deal/details/6167/" TargetMode="External"/><Relationship Id="rId125" Type="http://schemas.openxmlformats.org/officeDocument/2006/relationships/hyperlink" Target="https://nobilis.bitrix24.kz/crm/deal/details/36045/" TargetMode="External"/><Relationship Id="rId29" Type="http://schemas.openxmlformats.org/officeDocument/2006/relationships/hyperlink" Target="https://nobilis.bitrix24.kz/crm/deal/details/5861/" TargetMode="External"/><Relationship Id="rId124" Type="http://schemas.openxmlformats.org/officeDocument/2006/relationships/hyperlink" Target="https://nobilis.bitrix24.kz/crm/deal/details/36057/" TargetMode="External"/><Relationship Id="rId123" Type="http://schemas.openxmlformats.org/officeDocument/2006/relationships/hyperlink" Target="https://nobilis.bitrix24.kz/crm/deal/details/35631/" TargetMode="External"/><Relationship Id="rId122" Type="http://schemas.openxmlformats.org/officeDocument/2006/relationships/hyperlink" Target="https://nobilis.bitrix24.kz/crm/deal/details/35361/" TargetMode="External"/><Relationship Id="rId95" Type="http://schemas.openxmlformats.org/officeDocument/2006/relationships/hyperlink" Target="https://nobilis.bitrix24.kz/crm/deal/details/32765/" TargetMode="External"/><Relationship Id="rId94" Type="http://schemas.openxmlformats.org/officeDocument/2006/relationships/hyperlink" Target="https://nobilis.bitrix24.kz/crm/deal/details/23183/" TargetMode="External"/><Relationship Id="rId97" Type="http://schemas.openxmlformats.org/officeDocument/2006/relationships/hyperlink" Target="https://nobilis.bitrix24.kz/crm/deal/details/24479/" TargetMode="External"/><Relationship Id="rId96" Type="http://schemas.openxmlformats.org/officeDocument/2006/relationships/hyperlink" Target="https://nobilis.bitrix24.kz/crm/deal/details/32761/" TargetMode="External"/><Relationship Id="rId11" Type="http://schemas.openxmlformats.org/officeDocument/2006/relationships/hyperlink" Target="https://nobilis.bitrix24.kz/crm/deal/details/627/" TargetMode="External"/><Relationship Id="rId99" Type="http://schemas.openxmlformats.org/officeDocument/2006/relationships/hyperlink" Target="https://nobilis.bitrix24.kz/crm/deal/details/25151/" TargetMode="External"/><Relationship Id="rId10" Type="http://schemas.openxmlformats.org/officeDocument/2006/relationships/hyperlink" Target="https://nobilis.bitrix24.kz/crm/deal/details/1457/" TargetMode="External"/><Relationship Id="rId98" Type="http://schemas.openxmlformats.org/officeDocument/2006/relationships/hyperlink" Target="https://nobilis.bitrix24.kz/crm/deal/details/24723/" TargetMode="External"/><Relationship Id="rId13" Type="http://schemas.openxmlformats.org/officeDocument/2006/relationships/hyperlink" Target="https://nobilis.bitrix24.kz/crm/deal/details/4551/" TargetMode="External"/><Relationship Id="rId12" Type="http://schemas.openxmlformats.org/officeDocument/2006/relationships/hyperlink" Target="https://nobilis.bitrix24.kz/crm/deal/details/2487/" TargetMode="External"/><Relationship Id="rId91" Type="http://schemas.openxmlformats.org/officeDocument/2006/relationships/hyperlink" Target="https://nobilis.bitrix24.kz/crm/deal/details/28733/" TargetMode="External"/><Relationship Id="rId90" Type="http://schemas.openxmlformats.org/officeDocument/2006/relationships/hyperlink" Target="https://nobilis.bitrix24.kz/crm/deal/details/22531/" TargetMode="External"/><Relationship Id="rId93" Type="http://schemas.openxmlformats.org/officeDocument/2006/relationships/hyperlink" Target="https://nobilis.bitrix24.kz/crm/deal/details/23621/" TargetMode="External"/><Relationship Id="rId92" Type="http://schemas.openxmlformats.org/officeDocument/2006/relationships/hyperlink" Target="https://nobilis.bitrix24.kz/crm/deal/details/29631/" TargetMode="External"/><Relationship Id="rId118" Type="http://schemas.openxmlformats.org/officeDocument/2006/relationships/hyperlink" Target="https://nobilis.bitrix24.kz/crm/deal/details/36055/" TargetMode="External"/><Relationship Id="rId117" Type="http://schemas.openxmlformats.org/officeDocument/2006/relationships/hyperlink" Target="https://nobilis.bitrix24.kz/crm/deal/details/33761/" TargetMode="External"/><Relationship Id="rId116" Type="http://schemas.openxmlformats.org/officeDocument/2006/relationships/hyperlink" Target="https://nobilis.bitrix24.kz/crm/deal/details/34001/" TargetMode="External"/><Relationship Id="rId115" Type="http://schemas.openxmlformats.org/officeDocument/2006/relationships/hyperlink" Target="https://nobilis.bitrix24.kz/crm/deal/details/33743/" TargetMode="External"/><Relationship Id="rId119" Type="http://schemas.openxmlformats.org/officeDocument/2006/relationships/hyperlink" Target="https://nobilis.bitrix24.kz/crm/deal/details/34295/" TargetMode="External"/><Relationship Id="rId15" Type="http://schemas.openxmlformats.org/officeDocument/2006/relationships/hyperlink" Target="https://nobilis.bitrix24.kz/crm/deal/details/1601/?any=details%2F1601%2F" TargetMode="External"/><Relationship Id="rId110" Type="http://schemas.openxmlformats.org/officeDocument/2006/relationships/hyperlink" Target="https://nobilis.bitrix24.kz/crm/deal/details/32913/" TargetMode="External"/><Relationship Id="rId14" Type="http://schemas.openxmlformats.org/officeDocument/2006/relationships/hyperlink" Target="https://nobilis.bitrix24.kz/crm/deal/details/185/?any=details%2F185%2F" TargetMode="External"/><Relationship Id="rId17" Type="http://schemas.openxmlformats.org/officeDocument/2006/relationships/hyperlink" Target="https://nobilis.bitrix24.kz/crm/deal/details/4913/" TargetMode="External"/><Relationship Id="rId16" Type="http://schemas.openxmlformats.org/officeDocument/2006/relationships/hyperlink" Target="https://nobilis.bitrix24.kz/crm/deal/details/29539/" TargetMode="External"/><Relationship Id="rId19" Type="http://schemas.openxmlformats.org/officeDocument/2006/relationships/hyperlink" Target="https://nobilis.bitrix24.kz/crm/deal/details/8767/" TargetMode="External"/><Relationship Id="rId114" Type="http://schemas.openxmlformats.org/officeDocument/2006/relationships/hyperlink" Target="https://nobilis.bitrix24.kz/crm/deal/details/33437/" TargetMode="External"/><Relationship Id="rId18" Type="http://schemas.openxmlformats.org/officeDocument/2006/relationships/hyperlink" Target="https://nobilis.bitrix24.kz/crm/deal/details/4555/" TargetMode="External"/><Relationship Id="rId113" Type="http://schemas.openxmlformats.org/officeDocument/2006/relationships/hyperlink" Target="https://nobilis.bitrix24.kz/crm/deal/details/33221/" TargetMode="External"/><Relationship Id="rId112" Type="http://schemas.openxmlformats.org/officeDocument/2006/relationships/hyperlink" Target="https://nobilis.bitrix24.kz/crm/deal/details/33371/" TargetMode="External"/><Relationship Id="rId111" Type="http://schemas.openxmlformats.org/officeDocument/2006/relationships/hyperlink" Target="https://nobilis.bitrix24.kz/crm/deal/details/33113/" TargetMode="External"/><Relationship Id="rId84" Type="http://schemas.openxmlformats.org/officeDocument/2006/relationships/hyperlink" Target="https://nobilis.bitrix24.kz/crm/deal/details/21895/" TargetMode="External"/><Relationship Id="rId83" Type="http://schemas.openxmlformats.org/officeDocument/2006/relationships/hyperlink" Target="https://nobilis.bitrix24.kz/crm/deal/details/29621/" TargetMode="External"/><Relationship Id="rId86" Type="http://schemas.openxmlformats.org/officeDocument/2006/relationships/hyperlink" Target="https://nobilis.bitrix24.kz/crm/deal/details/22121/" TargetMode="External"/><Relationship Id="rId85" Type="http://schemas.openxmlformats.org/officeDocument/2006/relationships/hyperlink" Target="https://nobilis.bitrix24.kz/crm/deal/details/21905/" TargetMode="External"/><Relationship Id="rId88" Type="http://schemas.openxmlformats.org/officeDocument/2006/relationships/hyperlink" Target="https://nobilis.bitrix24.kz/crm/deal/details/20731/" TargetMode="External"/><Relationship Id="rId150" Type="http://schemas.openxmlformats.org/officeDocument/2006/relationships/hyperlink" Target="https://nobilis.bitrix24.kz/crm/deal/details/45137/" TargetMode="External"/><Relationship Id="rId87" Type="http://schemas.openxmlformats.org/officeDocument/2006/relationships/hyperlink" Target="https://nobilis.bitrix24.kz/crm/deal/details/22129/" TargetMode="External"/><Relationship Id="rId89" Type="http://schemas.openxmlformats.org/officeDocument/2006/relationships/hyperlink" Target="https://nobilis.bitrix24.kz/crm/deal/details/32815/" TargetMode="External"/><Relationship Id="rId80" Type="http://schemas.openxmlformats.org/officeDocument/2006/relationships/hyperlink" Target="https://nobilis.bitrix24.kz/crm/deal/details/16593/" TargetMode="External"/><Relationship Id="rId82" Type="http://schemas.openxmlformats.org/officeDocument/2006/relationships/hyperlink" Target="https://nobilis.bitrix24.kz/crm/deal/details/20729/" TargetMode="External"/><Relationship Id="rId81" Type="http://schemas.openxmlformats.org/officeDocument/2006/relationships/hyperlink" Target="https://nobilis.bitrix24.kz/crm/deal/details/18911/" TargetMode="External"/><Relationship Id="rId1" Type="http://schemas.openxmlformats.org/officeDocument/2006/relationships/hyperlink" Target="https://nobilis.bitrix24.kz/crm/deal/details/1163/" TargetMode="External"/><Relationship Id="rId2" Type="http://schemas.openxmlformats.org/officeDocument/2006/relationships/hyperlink" Target="https://nobilis.bitrix24.kz/crm/deal/details/16221/" TargetMode="External"/><Relationship Id="rId3" Type="http://schemas.openxmlformats.org/officeDocument/2006/relationships/hyperlink" Target="https://nobilis.bitrix24.kz/crm/deal/details/1161/" TargetMode="External"/><Relationship Id="rId149" Type="http://schemas.openxmlformats.org/officeDocument/2006/relationships/hyperlink" Target="https://nobilis.bitrix24.kz/crm/deal/details/45297/" TargetMode="External"/><Relationship Id="rId4" Type="http://schemas.openxmlformats.org/officeDocument/2006/relationships/hyperlink" Target="https://nobilis.bitrix24.kz/crm/deal/details/6223/" TargetMode="External"/><Relationship Id="rId148" Type="http://schemas.openxmlformats.org/officeDocument/2006/relationships/hyperlink" Target="https://nobilis.bitrix24.kz/crm/deal/details/44079/" TargetMode="External"/><Relationship Id="rId9" Type="http://schemas.openxmlformats.org/officeDocument/2006/relationships/hyperlink" Target="https://nobilis.bitrix24.kz/crm/deal/details/3355/" TargetMode="External"/><Relationship Id="rId143" Type="http://schemas.openxmlformats.org/officeDocument/2006/relationships/hyperlink" Target="https://nobilis.bitrix24.kz/crm/deal/details/42313/" TargetMode="External"/><Relationship Id="rId142" Type="http://schemas.openxmlformats.org/officeDocument/2006/relationships/hyperlink" Target="https://nobilis.bitrix24.kz/crm/deal/details/42317/" TargetMode="External"/><Relationship Id="rId141" Type="http://schemas.openxmlformats.org/officeDocument/2006/relationships/hyperlink" Target="https://nobilis.bitrix24.kz/crm/deal/details/42457/" TargetMode="External"/><Relationship Id="rId140" Type="http://schemas.openxmlformats.org/officeDocument/2006/relationships/hyperlink" Target="https://nobilis.bitrix24.kz/crm/deal/details/40189/" TargetMode="External"/><Relationship Id="rId5" Type="http://schemas.openxmlformats.org/officeDocument/2006/relationships/hyperlink" Target="https://nobilis.bitrix24.kz/crm/deal/details/1159/" TargetMode="External"/><Relationship Id="rId147" Type="http://schemas.openxmlformats.org/officeDocument/2006/relationships/hyperlink" Target="https://nobilis.bitrix24.kz/crm/deal/details/43941/" TargetMode="External"/><Relationship Id="rId6" Type="http://schemas.openxmlformats.org/officeDocument/2006/relationships/hyperlink" Target="https://nobilis.bitrix24.kz/crm/deal/details/1157/" TargetMode="External"/><Relationship Id="rId146" Type="http://schemas.openxmlformats.org/officeDocument/2006/relationships/hyperlink" Target="https://nobilis.bitrix24.kz/crm/deal/details/44085/" TargetMode="External"/><Relationship Id="rId7" Type="http://schemas.openxmlformats.org/officeDocument/2006/relationships/hyperlink" Target="https://nobilis.bitrix24.kz/crm/deal/details/1453/" TargetMode="External"/><Relationship Id="rId145" Type="http://schemas.openxmlformats.org/officeDocument/2006/relationships/hyperlink" Target="https://nobilis.bitrix24.kz/crm/deal/details/44091/" TargetMode="External"/><Relationship Id="rId8" Type="http://schemas.openxmlformats.org/officeDocument/2006/relationships/hyperlink" Target="https://nobilis.bitrix24.kz/crm/deal/details/2485/" TargetMode="External"/><Relationship Id="rId144" Type="http://schemas.openxmlformats.org/officeDocument/2006/relationships/hyperlink" Target="https://nobilis.bitrix24.kz/crm/deal/details/44103/" TargetMode="External"/><Relationship Id="rId73" Type="http://schemas.openxmlformats.org/officeDocument/2006/relationships/hyperlink" Target="https://nobilis.bitrix24.kz/crm/deal/details/21271/" TargetMode="External"/><Relationship Id="rId72" Type="http://schemas.openxmlformats.org/officeDocument/2006/relationships/hyperlink" Target="https://nobilis.bitrix24.kz/crm/deal/details/15109/" TargetMode="External"/><Relationship Id="rId75" Type="http://schemas.openxmlformats.org/officeDocument/2006/relationships/hyperlink" Target="https://nobilis.bitrix24.kz/crm/deal/details/15681/" TargetMode="External"/><Relationship Id="rId74" Type="http://schemas.openxmlformats.org/officeDocument/2006/relationships/hyperlink" Target="https://nobilis.bitrix24.kz/crm/deal/details/15099/" TargetMode="External"/><Relationship Id="rId77" Type="http://schemas.openxmlformats.org/officeDocument/2006/relationships/hyperlink" Target="https://nobilis.bitrix24.kz/crm/deal/details/18883/" TargetMode="External"/><Relationship Id="rId76" Type="http://schemas.openxmlformats.org/officeDocument/2006/relationships/hyperlink" Target="https://nobilis.bitrix24.kz/crm/deal/details/15791/" TargetMode="External"/><Relationship Id="rId79" Type="http://schemas.openxmlformats.org/officeDocument/2006/relationships/hyperlink" Target="https://nobilis.bitrix24.kz/crm/deal/details/16067/" TargetMode="External"/><Relationship Id="rId78" Type="http://schemas.openxmlformats.org/officeDocument/2006/relationships/hyperlink" Target="https://nobilis.bitrix24.kz/crm/deal/details/16197/" TargetMode="External"/><Relationship Id="rId71" Type="http://schemas.openxmlformats.org/officeDocument/2006/relationships/hyperlink" Target="https://nobilis.bitrix24.kz/crm/deal/details/14569/" TargetMode="External"/><Relationship Id="rId70" Type="http://schemas.openxmlformats.org/officeDocument/2006/relationships/hyperlink" Target="https://nobilis.bitrix24.kz/crm/deal/details/15799/" TargetMode="External"/><Relationship Id="rId139" Type="http://schemas.openxmlformats.org/officeDocument/2006/relationships/hyperlink" Target="https://nobilis.bitrix24.kz/crm/deal/details/40973/" TargetMode="External"/><Relationship Id="rId138" Type="http://schemas.openxmlformats.org/officeDocument/2006/relationships/hyperlink" Target="https://nobilis.bitrix24.kz/crm/deal/details/40301/" TargetMode="External"/><Relationship Id="rId137" Type="http://schemas.openxmlformats.org/officeDocument/2006/relationships/hyperlink" Target="https://nobilis.bitrix24.kz/crm/deal/details/38787/" TargetMode="External"/><Relationship Id="rId132" Type="http://schemas.openxmlformats.org/officeDocument/2006/relationships/hyperlink" Target="https://nobilis.bitrix24.kz/crm/deal/details/37581/" TargetMode="External"/><Relationship Id="rId131" Type="http://schemas.openxmlformats.org/officeDocument/2006/relationships/hyperlink" Target="https://nobilis.bitrix24.kz/crm/deal/details/37573/" TargetMode="External"/><Relationship Id="rId130" Type="http://schemas.openxmlformats.org/officeDocument/2006/relationships/hyperlink" Target="https://nobilis.bitrix24.kz/crm/deal/details/37475/" TargetMode="External"/><Relationship Id="rId136" Type="http://schemas.openxmlformats.org/officeDocument/2006/relationships/hyperlink" Target="https://nobilis.bitrix24.kz/crm/deal/details/38267/" TargetMode="External"/><Relationship Id="rId135" Type="http://schemas.openxmlformats.org/officeDocument/2006/relationships/hyperlink" Target="https://nobilis.bitrix24.kz/crm/deal/details/38241/" TargetMode="External"/><Relationship Id="rId134" Type="http://schemas.openxmlformats.org/officeDocument/2006/relationships/hyperlink" Target="https://nobilis.bitrix24.kz/crm/deal/details/38063/" TargetMode="External"/><Relationship Id="rId133" Type="http://schemas.openxmlformats.org/officeDocument/2006/relationships/hyperlink" Target="https://nobilis.bitrix24.kz/crm/deal/details/37585/" TargetMode="External"/><Relationship Id="rId62" Type="http://schemas.openxmlformats.org/officeDocument/2006/relationships/hyperlink" Target="https://nobilis.bitrix24.kz/crm/deal/details/29617/" TargetMode="External"/><Relationship Id="rId61" Type="http://schemas.openxmlformats.org/officeDocument/2006/relationships/hyperlink" Target="https://nobilis.bitrix24.kz/crm/deal/details/29613/" TargetMode="External"/><Relationship Id="rId64" Type="http://schemas.openxmlformats.org/officeDocument/2006/relationships/hyperlink" Target="https://nobilis.bitrix24.kz/crm/deal/details/11357/" TargetMode="External"/><Relationship Id="rId63" Type="http://schemas.openxmlformats.org/officeDocument/2006/relationships/hyperlink" Target="https://nobilis.bitrix24.kz/crm/deal/details/11159/" TargetMode="External"/><Relationship Id="rId66" Type="http://schemas.openxmlformats.org/officeDocument/2006/relationships/hyperlink" Target="https://nobilis.bitrix24.kz/crm/deal/details/11057/" TargetMode="External"/><Relationship Id="rId65" Type="http://schemas.openxmlformats.org/officeDocument/2006/relationships/hyperlink" Target="https://nobilis.bitrix24.kz/crm/deal/details/11783/" TargetMode="External"/><Relationship Id="rId68" Type="http://schemas.openxmlformats.org/officeDocument/2006/relationships/hyperlink" Target="https://nobilis.bitrix24.kz/crm/deal/details/13309/" TargetMode="External"/><Relationship Id="rId67" Type="http://schemas.openxmlformats.org/officeDocument/2006/relationships/hyperlink" Target="https://nobilis.bitrix24.kz/crm/deal/details/13311/" TargetMode="External"/><Relationship Id="rId60" Type="http://schemas.openxmlformats.org/officeDocument/2006/relationships/hyperlink" Target="https://nobilis.bitrix24.kz/crm/deal/details/29609/" TargetMode="External"/><Relationship Id="rId69" Type="http://schemas.openxmlformats.org/officeDocument/2006/relationships/hyperlink" Target="https://nobilis.bitrix24.kz/crm/deal/details/8125/" TargetMode="External"/><Relationship Id="rId51" Type="http://schemas.openxmlformats.org/officeDocument/2006/relationships/hyperlink" Target="https://nobilis.bitrix24.kz/crm/deal/details/21259/" TargetMode="External"/><Relationship Id="rId50" Type="http://schemas.openxmlformats.org/officeDocument/2006/relationships/hyperlink" Target="https://nobilis.bitrix24.kz/crm/deal/details/8805/" TargetMode="External"/><Relationship Id="rId53" Type="http://schemas.openxmlformats.org/officeDocument/2006/relationships/hyperlink" Target="https://nobilis.bitrix24.kz/crm/deal/details/9217/" TargetMode="External"/><Relationship Id="rId52" Type="http://schemas.openxmlformats.org/officeDocument/2006/relationships/hyperlink" Target="https://nobilis.bitrix24.kz/crm/deal/details/29565/" TargetMode="External"/><Relationship Id="rId55" Type="http://schemas.openxmlformats.org/officeDocument/2006/relationships/hyperlink" Target="https://nobilis.bitrix24.kz/crm/deal/details/29601/" TargetMode="External"/><Relationship Id="rId54" Type="http://schemas.openxmlformats.org/officeDocument/2006/relationships/hyperlink" Target="https://nobilis.bitrix24.kz/crm/deal/details/29599/" TargetMode="External"/><Relationship Id="rId57" Type="http://schemas.openxmlformats.org/officeDocument/2006/relationships/hyperlink" Target="https://nobilis.bitrix24.kz/crm/deal/details/29607/" TargetMode="External"/><Relationship Id="rId56" Type="http://schemas.openxmlformats.org/officeDocument/2006/relationships/hyperlink" Target="https://nobilis.bitrix24.kz/crm/deal/details/29603/" TargetMode="External"/><Relationship Id="rId59" Type="http://schemas.openxmlformats.org/officeDocument/2006/relationships/hyperlink" Target="https://nobilis.bitrix24.kz/crm/deal/details/10469/" TargetMode="External"/><Relationship Id="rId58" Type="http://schemas.openxmlformats.org/officeDocument/2006/relationships/hyperlink" Target="https://nobilis.bitrix24.kz/crm/deal/details/19939/?any=details%2F19939%2F" TargetMode="External"/><Relationship Id="rId152" Type="http://schemas.openxmlformats.org/officeDocument/2006/relationships/drawing" Target="../drawings/drawing1.xml"/><Relationship Id="rId151" Type="http://schemas.openxmlformats.org/officeDocument/2006/relationships/hyperlink" Target="https://nobilis.bitrix24.kz/crm/deal/details/44931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obilis.bitrix24.kz/crm/deal/details/37581/" TargetMode="External"/><Relationship Id="rId2" Type="http://schemas.openxmlformats.org/officeDocument/2006/relationships/hyperlink" Target="https://nobilis.bitrix24.kz/crm/deal/details/41579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nobilis.bitrix24.kz/crm/deal/details/8219/" TargetMode="External"/><Relationship Id="rId42" Type="http://schemas.openxmlformats.org/officeDocument/2006/relationships/hyperlink" Target="https://nobilis.bitrix24.kz/crm/deal/details/8777/" TargetMode="External"/><Relationship Id="rId41" Type="http://schemas.openxmlformats.org/officeDocument/2006/relationships/hyperlink" Target="https://nobilis.bitrix24.kz/crm/deal/details/8323/" TargetMode="External"/><Relationship Id="rId44" Type="http://schemas.openxmlformats.org/officeDocument/2006/relationships/hyperlink" Target="https://nobilis.bitrix24.kz/crm/deal/details/8827/" TargetMode="External"/><Relationship Id="rId43" Type="http://schemas.openxmlformats.org/officeDocument/2006/relationships/hyperlink" Target="https://nobilis.bitrix24.kz/crm/deal/details/8537/" TargetMode="External"/><Relationship Id="rId46" Type="http://schemas.openxmlformats.org/officeDocument/2006/relationships/hyperlink" Target="https://nobilis.bitrix24.kz/crm/deal/details/21259/" TargetMode="External"/><Relationship Id="rId45" Type="http://schemas.openxmlformats.org/officeDocument/2006/relationships/hyperlink" Target="https://nobilis.bitrix24.kz/crm/deal/details/8805/" TargetMode="External"/><Relationship Id="rId107" Type="http://schemas.openxmlformats.org/officeDocument/2006/relationships/hyperlink" Target="https://nobilis.bitrix24.kz/crm/deal/details/35401/" TargetMode="External"/><Relationship Id="rId106" Type="http://schemas.openxmlformats.org/officeDocument/2006/relationships/hyperlink" Target="https://nobilis.bitrix24.kz/crm/deal/details/34303/" TargetMode="External"/><Relationship Id="rId105" Type="http://schemas.openxmlformats.org/officeDocument/2006/relationships/hyperlink" Target="https://nobilis.bitrix24.kz/crm/deal/details/34295/" TargetMode="External"/><Relationship Id="rId104" Type="http://schemas.openxmlformats.org/officeDocument/2006/relationships/hyperlink" Target="https://nobilis.bitrix24.kz/crm/deal/details/36055/" TargetMode="External"/><Relationship Id="rId109" Type="http://schemas.openxmlformats.org/officeDocument/2006/relationships/hyperlink" Target="https://nobilis.bitrix24.kz/crm/deal/details/36057/" TargetMode="External"/><Relationship Id="rId108" Type="http://schemas.openxmlformats.org/officeDocument/2006/relationships/hyperlink" Target="https://nobilis.bitrix24.kz/crm/deal/details/35631/" TargetMode="External"/><Relationship Id="rId48" Type="http://schemas.openxmlformats.org/officeDocument/2006/relationships/hyperlink" Target="https://nobilis.bitrix24.kz/crm/deal/details/9217/" TargetMode="External"/><Relationship Id="rId47" Type="http://schemas.openxmlformats.org/officeDocument/2006/relationships/hyperlink" Target="https://nobilis.bitrix24.kz/crm/deal/details/29565/" TargetMode="External"/><Relationship Id="rId49" Type="http://schemas.openxmlformats.org/officeDocument/2006/relationships/hyperlink" Target="https://nobilis.bitrix24.kz/crm/deal/details/29599/" TargetMode="External"/><Relationship Id="rId103" Type="http://schemas.openxmlformats.org/officeDocument/2006/relationships/hyperlink" Target="https://nobilis.bitrix24.kz/crm/deal/details/33761/" TargetMode="External"/><Relationship Id="rId102" Type="http://schemas.openxmlformats.org/officeDocument/2006/relationships/hyperlink" Target="https://nobilis.bitrix24.kz/crm/deal/details/33743/" TargetMode="External"/><Relationship Id="rId101" Type="http://schemas.openxmlformats.org/officeDocument/2006/relationships/hyperlink" Target="https://nobilis.bitrix24.kz/crm/deal/details/33437/" TargetMode="External"/><Relationship Id="rId100" Type="http://schemas.openxmlformats.org/officeDocument/2006/relationships/hyperlink" Target="https://nobilis.bitrix24.kz/crm/deal/details/33221/" TargetMode="External"/><Relationship Id="rId31" Type="http://schemas.openxmlformats.org/officeDocument/2006/relationships/hyperlink" Target="https://nobilis.bitrix24.kz/crm/deal/details/8779/" TargetMode="External"/><Relationship Id="rId30" Type="http://schemas.openxmlformats.org/officeDocument/2006/relationships/hyperlink" Target="https://nobilis.bitrix24.kz/crm/deal/details/6625/" TargetMode="External"/><Relationship Id="rId33" Type="http://schemas.openxmlformats.org/officeDocument/2006/relationships/hyperlink" Target="https://nobilis.bitrix24.kz/crm/deal/details/7297/" TargetMode="External"/><Relationship Id="rId32" Type="http://schemas.openxmlformats.org/officeDocument/2006/relationships/hyperlink" Target="https://nobilis.bitrix24.kz/crm/deal/details/6913/" TargetMode="External"/><Relationship Id="rId35" Type="http://schemas.openxmlformats.org/officeDocument/2006/relationships/hyperlink" Target="https://nobilis.bitrix24.kz/crm/deal/details/7857/" TargetMode="External"/><Relationship Id="rId34" Type="http://schemas.openxmlformats.org/officeDocument/2006/relationships/hyperlink" Target="https://nobilis.bitrix24.kz/crm/deal/details/7355/" TargetMode="External"/><Relationship Id="rId37" Type="http://schemas.openxmlformats.org/officeDocument/2006/relationships/hyperlink" Target="https://nobilis.bitrix24.kz/crm/deal/details/15615/" TargetMode="External"/><Relationship Id="rId36" Type="http://schemas.openxmlformats.org/officeDocument/2006/relationships/hyperlink" Target="https://nobilis.bitrix24.kz/crm/deal/details/7859/" TargetMode="External"/><Relationship Id="rId39" Type="http://schemas.openxmlformats.org/officeDocument/2006/relationships/hyperlink" Target="https://nobilis.bitrix24.kz/crm/deal/details/8221/" TargetMode="External"/><Relationship Id="rId38" Type="http://schemas.openxmlformats.org/officeDocument/2006/relationships/hyperlink" Target="https://nobilis.bitrix24.kz/crm/deal/details/21225/" TargetMode="External"/><Relationship Id="rId20" Type="http://schemas.openxmlformats.org/officeDocument/2006/relationships/hyperlink" Target="https://nobilis.bitrix24.kz/crm/deal/details/21099/?any=details%2F21099%2F" TargetMode="External"/><Relationship Id="rId22" Type="http://schemas.openxmlformats.org/officeDocument/2006/relationships/hyperlink" Target="https://nobilis.bitrix24.kz/crm/deal/details/4201/" TargetMode="External"/><Relationship Id="rId21" Type="http://schemas.openxmlformats.org/officeDocument/2006/relationships/hyperlink" Target="https://nobilis.bitrix24.kz/crm/deal/details/29555/" TargetMode="External"/><Relationship Id="rId24" Type="http://schemas.openxmlformats.org/officeDocument/2006/relationships/hyperlink" Target="https://nobilis.bitrix24.kz/crm/deal/details/6169/" TargetMode="External"/><Relationship Id="rId23" Type="http://schemas.openxmlformats.org/officeDocument/2006/relationships/hyperlink" Target="https://nobilis.bitrix24.kz/crm/deal/details/31495/" TargetMode="External"/><Relationship Id="rId26" Type="http://schemas.openxmlformats.org/officeDocument/2006/relationships/hyperlink" Target="https://nobilis.bitrix24.kz/crm/deal/details/21107/?any=details%2F21107%2F" TargetMode="External"/><Relationship Id="rId25" Type="http://schemas.openxmlformats.org/officeDocument/2006/relationships/hyperlink" Target="https://nobilis.bitrix24.kz/crm/deal/details/6167/" TargetMode="External"/><Relationship Id="rId28" Type="http://schemas.openxmlformats.org/officeDocument/2006/relationships/hyperlink" Target="https://nobilis.bitrix24.kz/crm/deal/details/21209/?any=details%2F21209%2F" TargetMode="External"/><Relationship Id="rId27" Type="http://schemas.openxmlformats.org/officeDocument/2006/relationships/hyperlink" Target="https://nobilis.bitrix24.kz/crm/deal/details/5861/" TargetMode="External"/><Relationship Id="rId29" Type="http://schemas.openxmlformats.org/officeDocument/2006/relationships/hyperlink" Target="https://nobilis.bitrix24.kz/crm/deal/details/21211/" TargetMode="External"/><Relationship Id="rId95" Type="http://schemas.openxmlformats.org/officeDocument/2006/relationships/hyperlink" Target="https://nobilis.bitrix24.kz/crm/deal/details/32029/" TargetMode="External"/><Relationship Id="rId94" Type="http://schemas.openxmlformats.org/officeDocument/2006/relationships/hyperlink" Target="https://nobilis.bitrix24.kz/crm/deal/details/32305/" TargetMode="External"/><Relationship Id="rId97" Type="http://schemas.openxmlformats.org/officeDocument/2006/relationships/hyperlink" Target="https://nobilis.bitrix24.kz/crm/deal/details/32509/" TargetMode="External"/><Relationship Id="rId96" Type="http://schemas.openxmlformats.org/officeDocument/2006/relationships/hyperlink" Target="https://nobilis.bitrix24.kz/crm/deal/details/32513/" TargetMode="External"/><Relationship Id="rId11" Type="http://schemas.openxmlformats.org/officeDocument/2006/relationships/hyperlink" Target="https://nobilis.bitrix24.kz/crm/deal/details/4551/" TargetMode="External"/><Relationship Id="rId99" Type="http://schemas.openxmlformats.org/officeDocument/2006/relationships/hyperlink" Target="https://nobilis.bitrix24.kz/crm/deal/details/33371/" TargetMode="External"/><Relationship Id="rId10" Type="http://schemas.openxmlformats.org/officeDocument/2006/relationships/hyperlink" Target="https://nobilis.bitrix24.kz/crm/deal/details/2487/" TargetMode="External"/><Relationship Id="rId98" Type="http://schemas.openxmlformats.org/officeDocument/2006/relationships/hyperlink" Target="https://nobilis.bitrix24.kz/crm/deal/details/32913/" TargetMode="External"/><Relationship Id="rId13" Type="http://schemas.openxmlformats.org/officeDocument/2006/relationships/hyperlink" Target="https://nobilis.bitrix24.kz/crm/deal/details/1601/?any=details%2F1601%2F" TargetMode="External"/><Relationship Id="rId12" Type="http://schemas.openxmlformats.org/officeDocument/2006/relationships/hyperlink" Target="https://nobilis.bitrix24.kz/crm/deal/details/185/?any=details%2F185%2F" TargetMode="External"/><Relationship Id="rId91" Type="http://schemas.openxmlformats.org/officeDocument/2006/relationships/hyperlink" Target="https://nobilis.bitrix24.kz/crm/deal/details/29307/" TargetMode="External"/><Relationship Id="rId90" Type="http://schemas.openxmlformats.org/officeDocument/2006/relationships/hyperlink" Target="https://nobilis.bitrix24.kz/crm/deal/details/24955/" TargetMode="External"/><Relationship Id="rId93" Type="http://schemas.openxmlformats.org/officeDocument/2006/relationships/hyperlink" Target="https://nobilis.bitrix24.kz/crm/deal/details/31519/" TargetMode="External"/><Relationship Id="rId92" Type="http://schemas.openxmlformats.org/officeDocument/2006/relationships/hyperlink" Target="https://nobilis.bitrix24.kz/crm/deal/details/30193/" TargetMode="External"/><Relationship Id="rId118" Type="http://schemas.openxmlformats.org/officeDocument/2006/relationships/hyperlink" Target="https://nobilis.bitrix24.kz/crm/deal/details/38787/" TargetMode="External"/><Relationship Id="rId117" Type="http://schemas.openxmlformats.org/officeDocument/2006/relationships/hyperlink" Target="https://nobilis.bitrix24.kz/crm/deal/details/38267/" TargetMode="External"/><Relationship Id="rId116" Type="http://schemas.openxmlformats.org/officeDocument/2006/relationships/hyperlink" Target="https://nobilis.bitrix24.kz/crm/deal/details/38241/" TargetMode="External"/><Relationship Id="rId115" Type="http://schemas.openxmlformats.org/officeDocument/2006/relationships/hyperlink" Target="https://nobilis.bitrix24.kz/crm/deal/details/38063/" TargetMode="External"/><Relationship Id="rId119" Type="http://schemas.openxmlformats.org/officeDocument/2006/relationships/drawing" Target="../drawings/drawing3.xml"/><Relationship Id="rId15" Type="http://schemas.openxmlformats.org/officeDocument/2006/relationships/hyperlink" Target="https://nobilis.bitrix24.kz/crm/deal/details/4913/" TargetMode="External"/><Relationship Id="rId110" Type="http://schemas.openxmlformats.org/officeDocument/2006/relationships/hyperlink" Target="https://nobilis.bitrix24.kz/crm/deal/details/36045/" TargetMode="External"/><Relationship Id="rId14" Type="http://schemas.openxmlformats.org/officeDocument/2006/relationships/hyperlink" Target="https://nobilis.bitrix24.kz/crm/deal/details/29539/" TargetMode="External"/><Relationship Id="rId17" Type="http://schemas.openxmlformats.org/officeDocument/2006/relationships/hyperlink" Target="https://nobilis.bitrix24.kz/crm/deal/details/8767/" TargetMode="External"/><Relationship Id="rId16" Type="http://schemas.openxmlformats.org/officeDocument/2006/relationships/hyperlink" Target="https://nobilis.bitrix24.kz/crm/deal/details/4555/" TargetMode="External"/><Relationship Id="rId19" Type="http://schemas.openxmlformats.org/officeDocument/2006/relationships/hyperlink" Target="https://nobilis.bitrix24.kz/crm/deal/details/4915/" TargetMode="External"/><Relationship Id="rId114" Type="http://schemas.openxmlformats.org/officeDocument/2006/relationships/hyperlink" Target="https://nobilis.bitrix24.kz/crm/deal/details/37585/" TargetMode="External"/><Relationship Id="rId18" Type="http://schemas.openxmlformats.org/officeDocument/2006/relationships/hyperlink" Target="https://nobilis.bitrix24.kz/crm/deal/details/3943/" TargetMode="External"/><Relationship Id="rId113" Type="http://schemas.openxmlformats.org/officeDocument/2006/relationships/hyperlink" Target="https://nobilis.bitrix24.kz/crm/deal/details/37573/" TargetMode="External"/><Relationship Id="rId112" Type="http://schemas.openxmlformats.org/officeDocument/2006/relationships/hyperlink" Target="https://nobilis.bitrix24.kz/crm/deal/details/37475/" TargetMode="External"/><Relationship Id="rId111" Type="http://schemas.openxmlformats.org/officeDocument/2006/relationships/hyperlink" Target="https://nobilis.bitrix24.kz/crm/deal/details/36169/" TargetMode="External"/><Relationship Id="rId84" Type="http://schemas.openxmlformats.org/officeDocument/2006/relationships/hyperlink" Target="https://nobilis.bitrix24.kz/crm/deal/details/23621/" TargetMode="External"/><Relationship Id="rId83" Type="http://schemas.openxmlformats.org/officeDocument/2006/relationships/hyperlink" Target="https://nobilis.bitrix24.kz/crm/deal/details/29631/" TargetMode="External"/><Relationship Id="rId86" Type="http://schemas.openxmlformats.org/officeDocument/2006/relationships/hyperlink" Target="https://nobilis.bitrix24.kz/crm/deal/details/32765/" TargetMode="External"/><Relationship Id="rId85" Type="http://schemas.openxmlformats.org/officeDocument/2006/relationships/hyperlink" Target="https://nobilis.bitrix24.kz/crm/deal/details/23183/" TargetMode="External"/><Relationship Id="rId88" Type="http://schemas.openxmlformats.org/officeDocument/2006/relationships/hyperlink" Target="https://nobilis.bitrix24.kz/crm/deal/details/24479/" TargetMode="External"/><Relationship Id="rId87" Type="http://schemas.openxmlformats.org/officeDocument/2006/relationships/hyperlink" Target="https://nobilis.bitrix24.kz/crm/deal/details/32761/" TargetMode="External"/><Relationship Id="rId89" Type="http://schemas.openxmlformats.org/officeDocument/2006/relationships/hyperlink" Target="https://nobilis.bitrix24.kz/crm/deal/details/24723/" TargetMode="External"/><Relationship Id="rId80" Type="http://schemas.openxmlformats.org/officeDocument/2006/relationships/hyperlink" Target="https://nobilis.bitrix24.kz/crm/deal/details/32815/" TargetMode="External"/><Relationship Id="rId82" Type="http://schemas.openxmlformats.org/officeDocument/2006/relationships/hyperlink" Target="https://nobilis.bitrix24.kz/crm/deal/details/28733/" TargetMode="External"/><Relationship Id="rId81" Type="http://schemas.openxmlformats.org/officeDocument/2006/relationships/hyperlink" Target="https://nobilis.bitrix24.kz/crm/deal/details/22531/" TargetMode="External"/><Relationship Id="rId1" Type="http://schemas.openxmlformats.org/officeDocument/2006/relationships/hyperlink" Target="https://nobilis.bitrix24.kz/crm/deal/details/1163/" TargetMode="External"/><Relationship Id="rId2" Type="http://schemas.openxmlformats.org/officeDocument/2006/relationships/hyperlink" Target="https://nobilis.bitrix24.kz/crm/deal/details/16221/" TargetMode="External"/><Relationship Id="rId3" Type="http://schemas.openxmlformats.org/officeDocument/2006/relationships/hyperlink" Target="https://nobilis.bitrix24.kz/crm/deal/details/6223/" TargetMode="External"/><Relationship Id="rId4" Type="http://schemas.openxmlformats.org/officeDocument/2006/relationships/hyperlink" Target="https://nobilis.bitrix24.kz/crm/deal/details/1159/" TargetMode="External"/><Relationship Id="rId9" Type="http://schemas.openxmlformats.org/officeDocument/2006/relationships/hyperlink" Target="https://nobilis.bitrix24.kz/crm/deal/details/627/" TargetMode="External"/><Relationship Id="rId5" Type="http://schemas.openxmlformats.org/officeDocument/2006/relationships/hyperlink" Target="https://nobilis.bitrix24.kz/crm/deal/details/1157/" TargetMode="External"/><Relationship Id="rId6" Type="http://schemas.openxmlformats.org/officeDocument/2006/relationships/hyperlink" Target="https://nobilis.bitrix24.kz/crm/deal/details/1453/" TargetMode="External"/><Relationship Id="rId7" Type="http://schemas.openxmlformats.org/officeDocument/2006/relationships/hyperlink" Target="https://nobilis.bitrix24.kz/crm/deal/details/2485/" TargetMode="External"/><Relationship Id="rId8" Type="http://schemas.openxmlformats.org/officeDocument/2006/relationships/hyperlink" Target="https://nobilis.bitrix24.kz/crm/deal/details/3355/" TargetMode="External"/><Relationship Id="rId73" Type="http://schemas.openxmlformats.org/officeDocument/2006/relationships/hyperlink" Target="https://nobilis.bitrix24.kz/crm/deal/details/18911/" TargetMode="External"/><Relationship Id="rId72" Type="http://schemas.openxmlformats.org/officeDocument/2006/relationships/hyperlink" Target="https://nobilis.bitrix24.kz/crm/deal/details/16593/" TargetMode="External"/><Relationship Id="rId75" Type="http://schemas.openxmlformats.org/officeDocument/2006/relationships/hyperlink" Target="https://nobilis.bitrix24.kz/crm/deal/details/21895/" TargetMode="External"/><Relationship Id="rId74" Type="http://schemas.openxmlformats.org/officeDocument/2006/relationships/hyperlink" Target="https://nobilis.bitrix24.kz/crm/deal/details/29621/" TargetMode="External"/><Relationship Id="rId77" Type="http://schemas.openxmlformats.org/officeDocument/2006/relationships/hyperlink" Target="https://nobilis.bitrix24.kz/crm/deal/details/22121/" TargetMode="External"/><Relationship Id="rId76" Type="http://schemas.openxmlformats.org/officeDocument/2006/relationships/hyperlink" Target="https://nobilis.bitrix24.kz/crm/deal/details/21905/" TargetMode="External"/><Relationship Id="rId79" Type="http://schemas.openxmlformats.org/officeDocument/2006/relationships/hyperlink" Target="https://nobilis.bitrix24.kz/crm/deal/details/20731/" TargetMode="External"/><Relationship Id="rId78" Type="http://schemas.openxmlformats.org/officeDocument/2006/relationships/hyperlink" Target="https://nobilis.bitrix24.kz/crm/deal/details/22129/" TargetMode="External"/><Relationship Id="rId71" Type="http://schemas.openxmlformats.org/officeDocument/2006/relationships/hyperlink" Target="https://nobilis.bitrix24.kz/crm/deal/details/16067/" TargetMode="External"/><Relationship Id="rId70" Type="http://schemas.openxmlformats.org/officeDocument/2006/relationships/hyperlink" Target="https://nobilis.bitrix24.kz/crm/deal/details/16197/" TargetMode="External"/><Relationship Id="rId62" Type="http://schemas.openxmlformats.org/officeDocument/2006/relationships/hyperlink" Target="https://nobilis.bitrix24.kz/crm/deal/details/13311/" TargetMode="External"/><Relationship Id="rId61" Type="http://schemas.openxmlformats.org/officeDocument/2006/relationships/hyperlink" Target="https://nobilis.bitrix24.kz/crm/deal/details/11057/" TargetMode="External"/><Relationship Id="rId64" Type="http://schemas.openxmlformats.org/officeDocument/2006/relationships/hyperlink" Target="https://nobilis.bitrix24.kz/crm/deal/details/8125/" TargetMode="External"/><Relationship Id="rId63" Type="http://schemas.openxmlformats.org/officeDocument/2006/relationships/hyperlink" Target="https://nobilis.bitrix24.kz/crm/deal/details/13309/" TargetMode="External"/><Relationship Id="rId66" Type="http://schemas.openxmlformats.org/officeDocument/2006/relationships/hyperlink" Target="https://nobilis.bitrix24.kz/crm/deal/details/14569/" TargetMode="External"/><Relationship Id="rId65" Type="http://schemas.openxmlformats.org/officeDocument/2006/relationships/hyperlink" Target="https://nobilis.bitrix24.kz/crm/deal/details/15799/" TargetMode="External"/><Relationship Id="rId68" Type="http://schemas.openxmlformats.org/officeDocument/2006/relationships/hyperlink" Target="https://nobilis.bitrix24.kz/crm/deal/details/15791/" TargetMode="External"/><Relationship Id="rId67" Type="http://schemas.openxmlformats.org/officeDocument/2006/relationships/hyperlink" Target="https://nobilis.bitrix24.kz/crm/deal/details/15109/" TargetMode="External"/><Relationship Id="rId60" Type="http://schemas.openxmlformats.org/officeDocument/2006/relationships/hyperlink" Target="https://nobilis.bitrix24.kz/crm/deal/details/11783/" TargetMode="External"/><Relationship Id="rId69" Type="http://schemas.openxmlformats.org/officeDocument/2006/relationships/hyperlink" Target="https://nobilis.bitrix24.kz/crm/deal/details/18883/" TargetMode="External"/><Relationship Id="rId51" Type="http://schemas.openxmlformats.org/officeDocument/2006/relationships/hyperlink" Target="https://nobilis.bitrix24.kz/crm/deal/details/29603/" TargetMode="External"/><Relationship Id="rId50" Type="http://schemas.openxmlformats.org/officeDocument/2006/relationships/hyperlink" Target="https://nobilis.bitrix24.kz/crm/deal/details/29601/" TargetMode="External"/><Relationship Id="rId53" Type="http://schemas.openxmlformats.org/officeDocument/2006/relationships/hyperlink" Target="https://nobilis.bitrix24.kz/crm/deal/details/19939/?any=details%2F19939%2F" TargetMode="External"/><Relationship Id="rId52" Type="http://schemas.openxmlformats.org/officeDocument/2006/relationships/hyperlink" Target="https://nobilis.bitrix24.kz/crm/deal/details/29607/" TargetMode="External"/><Relationship Id="rId55" Type="http://schemas.openxmlformats.org/officeDocument/2006/relationships/hyperlink" Target="https://nobilis.bitrix24.kz/crm/deal/details/29609/" TargetMode="External"/><Relationship Id="rId54" Type="http://schemas.openxmlformats.org/officeDocument/2006/relationships/hyperlink" Target="https://nobilis.bitrix24.kz/crm/deal/details/10469/" TargetMode="External"/><Relationship Id="rId57" Type="http://schemas.openxmlformats.org/officeDocument/2006/relationships/hyperlink" Target="https://nobilis.bitrix24.kz/crm/deal/details/29617/" TargetMode="External"/><Relationship Id="rId56" Type="http://schemas.openxmlformats.org/officeDocument/2006/relationships/hyperlink" Target="https://nobilis.bitrix24.kz/crm/deal/details/29613/" TargetMode="External"/><Relationship Id="rId59" Type="http://schemas.openxmlformats.org/officeDocument/2006/relationships/hyperlink" Target="https://nobilis.bitrix24.kz/crm/deal/details/11357/" TargetMode="External"/><Relationship Id="rId58" Type="http://schemas.openxmlformats.org/officeDocument/2006/relationships/hyperlink" Target="https://nobilis.bitrix24.kz/crm/deal/details/111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13"/>
    <col customWidth="1" min="2" max="2" width="11.5"/>
    <col customWidth="1" min="3" max="3" width="30.38"/>
    <col customWidth="1" min="4" max="4" width="34.13"/>
    <col customWidth="1" min="6" max="6" width="22.0"/>
    <col customWidth="1" min="7" max="7" width="24.88"/>
    <col customWidth="1" min="8" max="8" width="23.38"/>
    <col customWidth="1" min="11" max="11" width="22.5"/>
    <col customWidth="1" min="12" max="12" width="44.88"/>
    <col customWidth="1" min="13" max="13" width="36.5"/>
    <col customWidth="1" min="14" max="14" width="43.75"/>
    <col customWidth="1" min="15" max="15" width="17.63"/>
    <col customWidth="1" min="16" max="16" width="29.5"/>
    <col customWidth="1" min="23" max="24" width="23.75"/>
    <col customWidth="1" min="26" max="26" width="26.0"/>
    <col customWidth="1" min="27" max="27" width="15.0"/>
    <col customWidth="1" min="28" max="28" width="19.75"/>
    <col customWidth="1" min="30" max="30" width="19.0"/>
    <col customWidth="1" min="31" max="31" width="16.5"/>
    <col customWidth="1" min="32" max="32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4"/>
      <c r="S1" s="4"/>
      <c r="T1" s="4"/>
      <c r="U1" s="4"/>
      <c r="V1" s="4"/>
      <c r="W1" s="5" t="s">
        <v>14</v>
      </c>
      <c r="X1" s="5" t="s">
        <v>15</v>
      </c>
      <c r="Y1" s="5" t="s">
        <v>16</v>
      </c>
      <c r="Z1" s="6" t="s">
        <v>17</v>
      </c>
      <c r="AA1" s="6" t="s">
        <v>18</v>
      </c>
      <c r="AB1" s="5" t="s">
        <v>19</v>
      </c>
      <c r="AC1" s="5" t="s">
        <v>20</v>
      </c>
      <c r="AD1" s="5" t="s">
        <v>21</v>
      </c>
      <c r="AE1" s="5" t="s">
        <v>22</v>
      </c>
      <c r="AF1" s="5" t="s">
        <v>23</v>
      </c>
      <c r="AG1" s="5" t="s">
        <v>24</v>
      </c>
      <c r="AH1" s="4"/>
      <c r="AI1" s="4"/>
      <c r="AJ1" s="4"/>
    </row>
    <row r="2">
      <c r="A2" s="7">
        <v>1.0</v>
      </c>
      <c r="B2" s="8">
        <v>15.0</v>
      </c>
      <c r="C2" s="7" t="s">
        <v>25</v>
      </c>
      <c r="D2" s="7" t="s">
        <v>26</v>
      </c>
      <c r="E2" s="7" t="s">
        <v>27</v>
      </c>
      <c r="F2" s="9">
        <v>45465.0</v>
      </c>
      <c r="G2" s="7" t="s">
        <v>28</v>
      </c>
      <c r="H2" s="8" t="s">
        <v>29</v>
      </c>
      <c r="I2" s="7">
        <v>1600000.0</v>
      </c>
      <c r="J2" s="7">
        <v>1600000.0</v>
      </c>
      <c r="K2" s="10" t="s">
        <v>30</v>
      </c>
      <c r="L2" s="7">
        <v>0.0</v>
      </c>
      <c r="M2" s="11" t="s">
        <v>31</v>
      </c>
      <c r="N2" s="7"/>
      <c r="O2" s="12"/>
      <c r="P2" s="7" t="s">
        <v>32</v>
      </c>
      <c r="Q2" s="12"/>
      <c r="R2" s="13">
        <f>DATEDIF(A2,B2,"D")/7</f>
        <v>2</v>
      </c>
      <c r="S2" s="13" t="str">
        <f>IFERROR(__xludf.DUMMYFUNCTION("DATEVALUE(TRIM(INDEX(SPLIT(H2,""-""),1)))"),"#VALUE!")</f>
        <v>#VALUE!</v>
      </c>
      <c r="T2" s="13" t="str">
        <f>IFERROR(__xludf.DUMMYFUNCTION("DATEVALUE(TRIM(INDEX(SPLIT(H2,""-""),1)))"),"#VALUE!")</f>
        <v>#VALUE!</v>
      </c>
      <c r="U2" s="13"/>
      <c r="V2" s="13"/>
      <c r="W2" s="7" t="str">
        <f t="shared" ref="W2:W150" si="1">LEFT(H2, SEARCH("-", H2)-1)</f>
        <v>17.06.2024 </v>
      </c>
      <c r="X2" s="7" t="str">
        <f t="shared" ref="X2:X150" si="2">RIGHT(H2, SEARCH("-", H2)-1)</f>
        <v> 17.03.2025</v>
      </c>
      <c r="Y2" s="7">
        <f t="shared" ref="Y2:Y150" si="3">DATEDIF(W2,X2,"D")/7</f>
        <v>39</v>
      </c>
      <c r="Z2" s="14">
        <v>3.0</v>
      </c>
      <c r="AA2" s="14">
        <v>2.0</v>
      </c>
      <c r="AB2" s="13">
        <f t="shared" ref="AB2:AB150" si="4">Y2*Z2*AA2</f>
        <v>234</v>
      </c>
      <c r="AC2" s="15">
        <f t="shared" ref="AC2:AC150" si="5">MIN(DATEDIF(W2,TODAY(),"D"), DATEDIF(W2,X2,"D"))</f>
        <v>273</v>
      </c>
      <c r="AD2" s="13">
        <f t="shared" ref="AD2:AD150" si="6">MIN(DATEDIF(W2,TODAY(),"D"), DATEDIF(W2,X2,"D")) / 7</f>
        <v>39</v>
      </c>
      <c r="AE2" s="13">
        <f t="shared" ref="AE2:AE150" si="7">MIN((MIN(DATEDIF(W2,TODAY(),"D"), DATEDIF(W2,X2,"D"))/7), Y2) *Z2  * AA2</f>
        <v>234</v>
      </c>
      <c r="AF2" s="13">
        <f t="shared" ref="AF2:AF150" si="8">AB2-AE2</f>
        <v>0</v>
      </c>
      <c r="AG2" s="13"/>
      <c r="AH2" s="13"/>
      <c r="AI2" s="13"/>
      <c r="AJ2" s="13"/>
    </row>
    <row r="3">
      <c r="A3" s="7">
        <v>2.0</v>
      </c>
      <c r="B3" s="8">
        <v>11.0</v>
      </c>
      <c r="C3" s="16" t="s">
        <v>33</v>
      </c>
      <c r="D3" s="16" t="s">
        <v>34</v>
      </c>
      <c r="E3" s="7" t="s">
        <v>27</v>
      </c>
      <c r="F3" s="9">
        <v>45453.0</v>
      </c>
      <c r="G3" s="7" t="s">
        <v>28</v>
      </c>
      <c r="H3" s="8" t="s">
        <v>35</v>
      </c>
      <c r="I3" s="7">
        <v>1600000.0</v>
      </c>
      <c r="J3" s="7">
        <v>1600000.0</v>
      </c>
      <c r="K3" s="7" t="s">
        <v>30</v>
      </c>
      <c r="L3" s="7">
        <v>0.0</v>
      </c>
      <c r="M3" s="11" t="s">
        <v>36</v>
      </c>
      <c r="N3" s="12"/>
      <c r="O3" s="12"/>
      <c r="P3" s="7" t="s">
        <v>37</v>
      </c>
      <c r="Q3" s="12"/>
      <c r="R3" s="13"/>
      <c r="S3" s="13"/>
      <c r="T3" s="13"/>
      <c r="U3" s="13"/>
      <c r="V3" s="13"/>
      <c r="W3" s="7" t="str">
        <f t="shared" si="1"/>
        <v>11.06.2024</v>
      </c>
      <c r="X3" s="7" t="str">
        <f t="shared" si="2"/>
        <v>01.03.2025</v>
      </c>
      <c r="Y3" s="7">
        <f t="shared" si="3"/>
        <v>37.57142857</v>
      </c>
      <c r="Z3" s="14">
        <v>3.0</v>
      </c>
      <c r="AA3" s="14">
        <v>2.0</v>
      </c>
      <c r="AB3" s="13">
        <f t="shared" si="4"/>
        <v>225.4285714</v>
      </c>
      <c r="AC3" s="15">
        <f t="shared" si="5"/>
        <v>263</v>
      </c>
      <c r="AD3" s="13">
        <f t="shared" si="6"/>
        <v>37.57142857</v>
      </c>
      <c r="AE3" s="13">
        <f t="shared" si="7"/>
        <v>225.4285714</v>
      </c>
      <c r="AF3" s="13">
        <f t="shared" si="8"/>
        <v>0</v>
      </c>
      <c r="AG3" s="13"/>
      <c r="AH3" s="13"/>
      <c r="AI3" s="13"/>
      <c r="AJ3" s="13"/>
    </row>
    <row r="4">
      <c r="A4" s="7">
        <v>3.0</v>
      </c>
      <c r="B4" s="8" t="s">
        <v>30</v>
      </c>
      <c r="C4" s="16" t="s">
        <v>38</v>
      </c>
      <c r="D4" s="7" t="s">
        <v>39</v>
      </c>
      <c r="E4" s="7" t="s">
        <v>27</v>
      </c>
      <c r="F4" s="9">
        <v>45457.0</v>
      </c>
      <c r="G4" s="7" t="s">
        <v>40</v>
      </c>
      <c r="H4" s="8" t="s">
        <v>41</v>
      </c>
      <c r="I4" s="7">
        <v>900000.0</v>
      </c>
      <c r="J4" s="7">
        <v>900000.0</v>
      </c>
      <c r="K4" s="7" t="s">
        <v>30</v>
      </c>
      <c r="L4" s="7" t="s">
        <v>42</v>
      </c>
      <c r="M4" s="11" t="s">
        <v>43</v>
      </c>
      <c r="N4" s="7"/>
      <c r="O4" s="7" t="s">
        <v>44</v>
      </c>
      <c r="P4" s="7" t="s">
        <v>45</v>
      </c>
      <c r="Q4" s="7" t="s">
        <v>46</v>
      </c>
      <c r="R4" s="13"/>
      <c r="S4" s="13"/>
      <c r="T4" s="13"/>
      <c r="U4" s="13"/>
      <c r="V4" s="13"/>
      <c r="W4" s="7" t="str">
        <f t="shared" si="1"/>
        <v>#VALUE!</v>
      </c>
      <c r="X4" s="7" t="str">
        <f t="shared" si="2"/>
        <v>#VALUE!</v>
      </c>
      <c r="Y4" s="7" t="str">
        <f t="shared" si="3"/>
        <v>#VALUE!</v>
      </c>
      <c r="Z4" s="14">
        <v>3.0</v>
      </c>
      <c r="AA4" s="14">
        <v>2.0</v>
      </c>
      <c r="AB4" s="13" t="str">
        <f t="shared" si="4"/>
        <v>#VALUE!</v>
      </c>
      <c r="AC4" s="15" t="str">
        <f t="shared" si="5"/>
        <v>#VALUE!</v>
      </c>
      <c r="AD4" s="13" t="str">
        <f t="shared" si="6"/>
        <v>#VALUE!</v>
      </c>
      <c r="AE4" s="13" t="str">
        <f t="shared" si="7"/>
        <v>#VALUE!</v>
      </c>
      <c r="AF4" s="13" t="str">
        <f t="shared" si="8"/>
        <v>#VALUE!</v>
      </c>
      <c r="AG4" s="13"/>
      <c r="AH4" s="13"/>
      <c r="AI4" s="13"/>
      <c r="AJ4" s="13"/>
    </row>
    <row r="5">
      <c r="A5" s="7">
        <v>4.0</v>
      </c>
      <c r="B5" s="8">
        <v>12.0</v>
      </c>
      <c r="C5" s="16" t="s">
        <v>47</v>
      </c>
      <c r="D5" s="7" t="s">
        <v>48</v>
      </c>
      <c r="E5" s="7" t="s">
        <v>27</v>
      </c>
      <c r="F5" s="9">
        <v>45454.0</v>
      </c>
      <c r="G5" s="7" t="s">
        <v>28</v>
      </c>
      <c r="H5" s="8" t="s">
        <v>35</v>
      </c>
      <c r="I5" s="7">
        <v>1600000.0</v>
      </c>
      <c r="J5" s="7">
        <v>1600000.0</v>
      </c>
      <c r="K5" s="7" t="s">
        <v>30</v>
      </c>
      <c r="L5" s="17" t="s">
        <v>49</v>
      </c>
      <c r="M5" s="11" t="s">
        <v>50</v>
      </c>
      <c r="N5" s="12"/>
      <c r="O5" s="12"/>
      <c r="P5" s="7" t="s">
        <v>51</v>
      </c>
      <c r="Q5" s="12"/>
      <c r="R5" s="13"/>
      <c r="S5" s="13"/>
      <c r="T5" s="13"/>
      <c r="U5" s="13"/>
      <c r="V5" s="13"/>
      <c r="W5" s="7" t="str">
        <f t="shared" si="1"/>
        <v>11.06.2024</v>
      </c>
      <c r="X5" s="7" t="str">
        <f t="shared" si="2"/>
        <v>01.03.2025</v>
      </c>
      <c r="Y5" s="7">
        <f t="shared" si="3"/>
        <v>37.57142857</v>
      </c>
      <c r="Z5" s="14">
        <v>3.0</v>
      </c>
      <c r="AA5" s="14">
        <v>2.0</v>
      </c>
      <c r="AB5" s="13">
        <f t="shared" si="4"/>
        <v>225.4285714</v>
      </c>
      <c r="AC5" s="15">
        <f t="shared" si="5"/>
        <v>263</v>
      </c>
      <c r="AD5" s="13">
        <f t="shared" si="6"/>
        <v>37.57142857</v>
      </c>
      <c r="AE5" s="13">
        <f t="shared" si="7"/>
        <v>225.4285714</v>
      </c>
      <c r="AF5" s="13">
        <f t="shared" si="8"/>
        <v>0</v>
      </c>
      <c r="AG5" s="13"/>
      <c r="AH5" s="13"/>
      <c r="AI5" s="13"/>
      <c r="AJ5" s="13"/>
    </row>
    <row r="6">
      <c r="A6" s="7">
        <v>5.0</v>
      </c>
      <c r="B6" s="7" t="s">
        <v>30</v>
      </c>
      <c r="C6" s="7" t="s">
        <v>52</v>
      </c>
      <c r="D6" s="16" t="s">
        <v>53</v>
      </c>
      <c r="E6" s="12"/>
      <c r="F6" s="9">
        <v>45463.0</v>
      </c>
      <c r="G6" s="7" t="s">
        <v>28</v>
      </c>
      <c r="H6" s="8" t="s">
        <v>54</v>
      </c>
      <c r="I6" s="7">
        <v>1600000.0</v>
      </c>
      <c r="J6" s="7">
        <v>1600000.0</v>
      </c>
      <c r="K6" s="7" t="s">
        <v>30</v>
      </c>
      <c r="L6" s="7" t="s">
        <v>42</v>
      </c>
      <c r="M6" s="11" t="s">
        <v>55</v>
      </c>
      <c r="N6" s="12"/>
      <c r="O6" s="12"/>
      <c r="P6" s="7" t="s">
        <v>51</v>
      </c>
      <c r="Q6" s="12"/>
      <c r="R6" s="13"/>
      <c r="S6" s="13"/>
      <c r="T6" s="13"/>
      <c r="U6" s="13"/>
      <c r="V6" s="13"/>
      <c r="W6" s="7" t="str">
        <f t="shared" si="1"/>
        <v>20.06.2024</v>
      </c>
      <c r="X6" s="7" t="str">
        <f t="shared" si="2"/>
        <v>20.03.2025</v>
      </c>
      <c r="Y6" s="7">
        <f t="shared" si="3"/>
        <v>39</v>
      </c>
      <c r="Z6" s="14">
        <v>3.0</v>
      </c>
      <c r="AA6" s="14">
        <v>2.0</v>
      </c>
      <c r="AB6" s="13">
        <f t="shared" si="4"/>
        <v>234</v>
      </c>
      <c r="AC6" s="15">
        <f t="shared" si="5"/>
        <v>273</v>
      </c>
      <c r="AD6" s="13">
        <f t="shared" si="6"/>
        <v>39</v>
      </c>
      <c r="AE6" s="13">
        <f t="shared" si="7"/>
        <v>234</v>
      </c>
      <c r="AF6" s="13">
        <f t="shared" si="8"/>
        <v>0</v>
      </c>
      <c r="AG6" s="13"/>
      <c r="AH6" s="13"/>
      <c r="AI6" s="13"/>
      <c r="AJ6" s="13"/>
    </row>
    <row r="7">
      <c r="A7" s="7">
        <v>6.0</v>
      </c>
      <c r="B7" s="8">
        <v>20.0</v>
      </c>
      <c r="C7" s="16" t="s">
        <v>56</v>
      </c>
      <c r="D7" s="16" t="s">
        <v>57</v>
      </c>
      <c r="E7" s="7" t="s">
        <v>58</v>
      </c>
      <c r="F7" s="9">
        <v>45465.0</v>
      </c>
      <c r="G7" s="7" t="s">
        <v>28</v>
      </c>
      <c r="H7" s="8" t="s">
        <v>59</v>
      </c>
      <c r="I7" s="7">
        <v>1600000.0</v>
      </c>
      <c r="J7" s="7">
        <v>1600000.0</v>
      </c>
      <c r="K7" s="7" t="s">
        <v>30</v>
      </c>
      <c r="L7" s="7" t="s">
        <v>42</v>
      </c>
      <c r="M7" s="11" t="s">
        <v>60</v>
      </c>
      <c r="N7" s="12"/>
      <c r="O7" s="12"/>
      <c r="P7" s="7" t="s">
        <v>32</v>
      </c>
      <c r="Q7" s="12"/>
      <c r="R7" s="13"/>
      <c r="S7" s="13"/>
      <c r="T7" s="13"/>
      <c r="U7" s="13"/>
      <c r="V7" s="13"/>
      <c r="W7" s="7" t="str">
        <f t="shared" si="1"/>
        <v>24.06.2024</v>
      </c>
      <c r="X7" s="7" t="str">
        <f t="shared" si="2"/>
        <v>24.04.2025</v>
      </c>
      <c r="Y7" s="7">
        <f t="shared" si="3"/>
        <v>43.42857143</v>
      </c>
      <c r="Z7" s="14">
        <v>3.0</v>
      </c>
      <c r="AA7" s="14">
        <v>2.0</v>
      </c>
      <c r="AB7" s="13">
        <f t="shared" si="4"/>
        <v>260.5714286</v>
      </c>
      <c r="AC7" s="15">
        <f t="shared" si="5"/>
        <v>304</v>
      </c>
      <c r="AD7" s="13">
        <f t="shared" si="6"/>
        <v>43.42857143</v>
      </c>
      <c r="AE7" s="13">
        <f t="shared" si="7"/>
        <v>260.5714286</v>
      </c>
      <c r="AF7" s="13">
        <f t="shared" si="8"/>
        <v>0</v>
      </c>
      <c r="AG7" s="13"/>
      <c r="AH7" s="13"/>
      <c r="AI7" s="13"/>
      <c r="AJ7" s="13"/>
    </row>
    <row r="8">
      <c r="A8" s="10">
        <v>7.0</v>
      </c>
      <c r="B8" s="10">
        <v>19.0</v>
      </c>
      <c r="C8" s="10" t="s">
        <v>61</v>
      </c>
      <c r="D8" s="10" t="s">
        <v>61</v>
      </c>
      <c r="E8" s="10" t="s">
        <v>62</v>
      </c>
      <c r="F8" s="18">
        <v>45466.0</v>
      </c>
      <c r="G8" s="10" t="s">
        <v>28</v>
      </c>
      <c r="H8" s="10" t="s">
        <v>63</v>
      </c>
      <c r="I8" s="10">
        <v>1600000.0</v>
      </c>
      <c r="J8" s="10">
        <v>1600000.0</v>
      </c>
      <c r="K8" s="10" t="s">
        <v>64</v>
      </c>
      <c r="L8" s="10" t="s">
        <v>42</v>
      </c>
      <c r="M8" s="19" t="s">
        <v>65</v>
      </c>
      <c r="N8" s="10" t="s">
        <v>66</v>
      </c>
      <c r="O8" s="20"/>
      <c r="P8" s="20"/>
      <c r="Q8" s="20"/>
      <c r="R8" s="21"/>
      <c r="S8" s="21"/>
      <c r="T8" s="21"/>
      <c r="U8" s="21"/>
      <c r="V8" s="21"/>
      <c r="W8" s="7" t="str">
        <f t="shared" si="1"/>
        <v>01.08.2024</v>
      </c>
      <c r="X8" s="7" t="str">
        <f t="shared" si="2"/>
        <v>01.05.2025</v>
      </c>
      <c r="Y8" s="7">
        <f t="shared" si="3"/>
        <v>39</v>
      </c>
      <c r="Z8" s="14">
        <v>3.0</v>
      </c>
      <c r="AA8" s="14">
        <v>2.0</v>
      </c>
      <c r="AB8" s="13">
        <f t="shared" si="4"/>
        <v>234</v>
      </c>
      <c r="AC8" s="15">
        <f t="shared" si="5"/>
        <v>273</v>
      </c>
      <c r="AD8" s="13">
        <f t="shared" si="6"/>
        <v>39</v>
      </c>
      <c r="AE8" s="13">
        <f t="shared" si="7"/>
        <v>234</v>
      </c>
      <c r="AF8" s="13">
        <f t="shared" si="8"/>
        <v>0</v>
      </c>
      <c r="AG8" s="21"/>
      <c r="AH8" s="21"/>
      <c r="AI8" s="21"/>
      <c r="AJ8" s="21"/>
    </row>
    <row r="9">
      <c r="A9" s="10">
        <v>8.0</v>
      </c>
      <c r="B9" s="10">
        <v>21.0</v>
      </c>
      <c r="C9" s="22" t="s">
        <v>67</v>
      </c>
      <c r="D9" s="22" t="s">
        <v>68</v>
      </c>
      <c r="E9" s="10" t="s">
        <v>58</v>
      </c>
      <c r="F9" s="18">
        <v>45472.0</v>
      </c>
      <c r="G9" s="10" t="s">
        <v>28</v>
      </c>
      <c r="H9" s="10" t="s">
        <v>69</v>
      </c>
      <c r="I9" s="10">
        <v>1600000.0</v>
      </c>
      <c r="J9" s="10">
        <v>1600000.0</v>
      </c>
      <c r="K9" s="20"/>
      <c r="L9" s="10" t="s">
        <v>42</v>
      </c>
      <c r="M9" s="19" t="s">
        <v>70</v>
      </c>
      <c r="N9" s="10" t="s">
        <v>71</v>
      </c>
      <c r="O9" s="20"/>
      <c r="P9" s="10" t="s">
        <v>72</v>
      </c>
      <c r="Q9" s="20"/>
      <c r="R9" s="21"/>
      <c r="S9" s="21"/>
      <c r="T9" s="21"/>
      <c r="U9" s="21"/>
      <c r="V9" s="21"/>
      <c r="W9" s="7" t="str">
        <f t="shared" si="1"/>
        <v>01.07.2024</v>
      </c>
      <c r="X9" s="7" t="str">
        <f t="shared" si="2"/>
        <v>01.04.2025</v>
      </c>
      <c r="Y9" s="7">
        <f t="shared" si="3"/>
        <v>39.14285714</v>
      </c>
      <c r="Z9" s="14">
        <v>3.0</v>
      </c>
      <c r="AA9" s="14">
        <v>2.0</v>
      </c>
      <c r="AB9" s="13">
        <f t="shared" si="4"/>
        <v>234.8571429</v>
      </c>
      <c r="AC9" s="15">
        <f t="shared" si="5"/>
        <v>274</v>
      </c>
      <c r="AD9" s="13">
        <f t="shared" si="6"/>
        <v>39.14285714</v>
      </c>
      <c r="AE9" s="13">
        <f t="shared" si="7"/>
        <v>234.8571429</v>
      </c>
      <c r="AF9" s="13">
        <f t="shared" si="8"/>
        <v>0</v>
      </c>
      <c r="AG9" s="21"/>
      <c r="AH9" s="21"/>
      <c r="AI9" s="21"/>
      <c r="AJ9" s="21"/>
    </row>
    <row r="10">
      <c r="A10" s="7">
        <v>9.0</v>
      </c>
      <c r="B10" s="8">
        <v>21.0</v>
      </c>
      <c r="C10" s="7" t="s">
        <v>73</v>
      </c>
      <c r="D10" s="16" t="s">
        <v>74</v>
      </c>
      <c r="E10" s="7" t="s">
        <v>62</v>
      </c>
      <c r="F10" s="9">
        <v>45473.0</v>
      </c>
      <c r="G10" s="7" t="s">
        <v>28</v>
      </c>
      <c r="H10" s="8" t="s">
        <v>69</v>
      </c>
      <c r="I10" s="7">
        <v>1600000.0</v>
      </c>
      <c r="J10" s="7">
        <v>1600000.0</v>
      </c>
      <c r="K10" s="12"/>
      <c r="L10" s="7" t="s">
        <v>42</v>
      </c>
      <c r="M10" s="11" t="s">
        <v>75</v>
      </c>
      <c r="N10" s="12"/>
      <c r="O10" s="12"/>
      <c r="P10" s="7" t="s">
        <v>76</v>
      </c>
      <c r="Q10" s="12"/>
      <c r="R10" s="13"/>
      <c r="S10" s="13"/>
      <c r="T10" s="13"/>
      <c r="U10" s="13"/>
      <c r="V10" s="13"/>
      <c r="W10" s="7" t="str">
        <f t="shared" si="1"/>
        <v>01.07.2024</v>
      </c>
      <c r="X10" s="7" t="str">
        <f t="shared" si="2"/>
        <v>01.04.2025</v>
      </c>
      <c r="Y10" s="7">
        <f t="shared" si="3"/>
        <v>39.14285714</v>
      </c>
      <c r="Z10" s="14">
        <v>3.0</v>
      </c>
      <c r="AA10" s="14">
        <v>2.0</v>
      </c>
      <c r="AB10" s="13">
        <f t="shared" si="4"/>
        <v>234.8571429</v>
      </c>
      <c r="AC10" s="15">
        <f t="shared" si="5"/>
        <v>274</v>
      </c>
      <c r="AD10" s="13">
        <f t="shared" si="6"/>
        <v>39.14285714</v>
      </c>
      <c r="AE10" s="13">
        <f t="shared" si="7"/>
        <v>234.8571429</v>
      </c>
      <c r="AF10" s="13">
        <f t="shared" si="8"/>
        <v>0</v>
      </c>
      <c r="AG10" s="13"/>
      <c r="AH10" s="13"/>
      <c r="AI10" s="13"/>
      <c r="AJ10" s="13"/>
    </row>
    <row r="11">
      <c r="A11" s="10">
        <v>10.0</v>
      </c>
      <c r="B11" s="10" t="s">
        <v>30</v>
      </c>
      <c r="C11" s="22" t="s">
        <v>77</v>
      </c>
      <c r="D11" s="22" t="s">
        <v>78</v>
      </c>
      <c r="E11" s="10" t="s">
        <v>62</v>
      </c>
      <c r="F11" s="10" t="s">
        <v>79</v>
      </c>
      <c r="G11" s="20"/>
      <c r="H11" s="23"/>
      <c r="I11" s="10">
        <v>200000.0</v>
      </c>
      <c r="J11" s="10">
        <v>200000.0</v>
      </c>
      <c r="K11" s="20"/>
      <c r="L11" s="20"/>
      <c r="M11" s="19" t="s">
        <v>80</v>
      </c>
      <c r="N11" s="10" t="s">
        <v>46</v>
      </c>
      <c r="O11" s="10" t="s">
        <v>81</v>
      </c>
      <c r="P11" s="20"/>
      <c r="Q11" s="20"/>
      <c r="R11" s="21"/>
      <c r="S11" s="21"/>
      <c r="T11" s="21"/>
      <c r="U11" s="21"/>
      <c r="V11" s="21"/>
      <c r="W11" s="7" t="str">
        <f t="shared" si="1"/>
        <v>#VALUE!</v>
      </c>
      <c r="X11" s="7" t="str">
        <f t="shared" si="2"/>
        <v>#VALUE!</v>
      </c>
      <c r="Y11" s="7" t="str">
        <f t="shared" si="3"/>
        <v>#VALUE!</v>
      </c>
      <c r="Z11" s="14">
        <v>3.0</v>
      </c>
      <c r="AA11" s="14">
        <v>2.0</v>
      </c>
      <c r="AB11" s="13" t="str">
        <f t="shared" si="4"/>
        <v>#VALUE!</v>
      </c>
      <c r="AC11" s="15" t="str">
        <f t="shared" si="5"/>
        <v>#VALUE!</v>
      </c>
      <c r="AD11" s="13" t="str">
        <f t="shared" si="6"/>
        <v>#VALUE!</v>
      </c>
      <c r="AE11" s="13" t="str">
        <f t="shared" si="7"/>
        <v>#VALUE!</v>
      </c>
      <c r="AF11" s="13" t="str">
        <f t="shared" si="8"/>
        <v>#VALUE!</v>
      </c>
      <c r="AG11" s="21"/>
      <c r="AH11" s="21"/>
      <c r="AI11" s="21"/>
      <c r="AJ11" s="21"/>
    </row>
    <row r="12">
      <c r="A12" s="7">
        <v>11.0</v>
      </c>
      <c r="B12" s="8">
        <v>22.0</v>
      </c>
      <c r="C12" s="16" t="s">
        <v>82</v>
      </c>
      <c r="D12" s="7" t="s">
        <v>83</v>
      </c>
      <c r="E12" s="7" t="s">
        <v>62</v>
      </c>
      <c r="F12" s="9">
        <v>45480.0</v>
      </c>
      <c r="G12" s="7" t="s">
        <v>28</v>
      </c>
      <c r="H12" s="8" t="s">
        <v>84</v>
      </c>
      <c r="I12" s="7">
        <v>1600000.0</v>
      </c>
      <c r="J12" s="7">
        <v>1600000.0</v>
      </c>
      <c r="K12" s="7" t="s">
        <v>85</v>
      </c>
      <c r="L12" s="7" t="s">
        <v>86</v>
      </c>
      <c r="M12" s="24" t="s">
        <v>87</v>
      </c>
      <c r="N12" s="25" t="s">
        <v>88</v>
      </c>
      <c r="O12" s="12"/>
      <c r="P12" s="7" t="s">
        <v>76</v>
      </c>
      <c r="Q12" s="12"/>
      <c r="R12" s="13"/>
      <c r="S12" s="13"/>
      <c r="T12" s="13"/>
      <c r="U12" s="13"/>
      <c r="V12" s="13"/>
      <c r="W12" s="7" t="str">
        <f t="shared" si="1"/>
        <v>03.07.2024</v>
      </c>
      <c r="X12" s="7" t="str">
        <f t="shared" si="2"/>
        <v>03.04.2025</v>
      </c>
      <c r="Y12" s="7">
        <f t="shared" si="3"/>
        <v>39.14285714</v>
      </c>
      <c r="Z12" s="14">
        <v>3.0</v>
      </c>
      <c r="AA12" s="14">
        <v>2.0</v>
      </c>
      <c r="AB12" s="13">
        <f t="shared" si="4"/>
        <v>234.8571429</v>
      </c>
      <c r="AC12" s="15">
        <f t="shared" si="5"/>
        <v>274</v>
      </c>
      <c r="AD12" s="13">
        <f t="shared" si="6"/>
        <v>39.14285714</v>
      </c>
      <c r="AE12" s="13">
        <f t="shared" si="7"/>
        <v>234.8571429</v>
      </c>
      <c r="AF12" s="13">
        <f t="shared" si="8"/>
        <v>0</v>
      </c>
      <c r="AG12" s="13"/>
      <c r="AH12" s="13"/>
      <c r="AI12" s="13"/>
      <c r="AJ12" s="13"/>
    </row>
    <row r="13">
      <c r="A13" s="7">
        <v>12.0</v>
      </c>
      <c r="B13" s="8">
        <v>23.0</v>
      </c>
      <c r="C13" s="7" t="s">
        <v>89</v>
      </c>
      <c r="D13" s="26" t="s">
        <v>90</v>
      </c>
      <c r="E13" s="7" t="s">
        <v>58</v>
      </c>
      <c r="F13" s="9">
        <v>45476.0</v>
      </c>
      <c r="G13" s="7" t="s">
        <v>28</v>
      </c>
      <c r="H13" s="8" t="s">
        <v>91</v>
      </c>
      <c r="I13" s="7">
        <v>1600000.0</v>
      </c>
      <c r="J13" s="7">
        <v>1600000.0</v>
      </c>
      <c r="K13" s="12"/>
      <c r="L13" s="7" t="s">
        <v>42</v>
      </c>
      <c r="M13" s="11" t="s">
        <v>92</v>
      </c>
      <c r="N13" s="12"/>
      <c r="O13" s="12"/>
      <c r="P13" s="7" t="s">
        <v>76</v>
      </c>
      <c r="Q13" s="12"/>
      <c r="R13" s="13"/>
      <c r="S13" s="13"/>
      <c r="T13" s="13"/>
      <c r="U13" s="13"/>
      <c r="V13" s="13"/>
      <c r="W13" s="7" t="str">
        <f t="shared" si="1"/>
        <v>08.07.2024</v>
      </c>
      <c r="X13" s="7" t="str">
        <f t="shared" si="2"/>
        <v>08.04.2025</v>
      </c>
      <c r="Y13" s="7">
        <f t="shared" si="3"/>
        <v>39.14285714</v>
      </c>
      <c r="Z13" s="14">
        <v>3.0</v>
      </c>
      <c r="AA13" s="14">
        <v>2.0</v>
      </c>
      <c r="AB13" s="13">
        <f t="shared" si="4"/>
        <v>234.8571429</v>
      </c>
      <c r="AC13" s="15">
        <f t="shared" si="5"/>
        <v>274</v>
      </c>
      <c r="AD13" s="13">
        <f t="shared" si="6"/>
        <v>39.14285714</v>
      </c>
      <c r="AE13" s="13">
        <f t="shared" si="7"/>
        <v>234.8571429</v>
      </c>
      <c r="AF13" s="13">
        <f t="shared" si="8"/>
        <v>0</v>
      </c>
      <c r="AG13" s="13"/>
      <c r="AH13" s="13"/>
      <c r="AI13" s="13"/>
      <c r="AJ13" s="13"/>
    </row>
    <row r="14">
      <c r="A14" s="10">
        <v>13.0</v>
      </c>
      <c r="B14" s="10">
        <v>22.0</v>
      </c>
      <c r="C14" s="10" t="s">
        <v>93</v>
      </c>
      <c r="D14" s="10" t="s">
        <v>94</v>
      </c>
      <c r="E14" s="10" t="s">
        <v>58</v>
      </c>
      <c r="F14" s="18">
        <v>45479.0</v>
      </c>
      <c r="G14" s="10" t="s">
        <v>28</v>
      </c>
      <c r="H14" s="10" t="s">
        <v>95</v>
      </c>
      <c r="I14" s="10">
        <v>1600000.0</v>
      </c>
      <c r="J14" s="10">
        <v>1600000.0</v>
      </c>
      <c r="K14" s="10" t="s">
        <v>30</v>
      </c>
      <c r="L14" s="10" t="s">
        <v>42</v>
      </c>
      <c r="M14" s="19" t="s">
        <v>96</v>
      </c>
      <c r="N14" s="10" t="s">
        <v>97</v>
      </c>
      <c r="O14" s="20"/>
      <c r="P14" s="10" t="s">
        <v>72</v>
      </c>
      <c r="Q14" s="20"/>
      <c r="R14" s="21"/>
      <c r="S14" s="21"/>
      <c r="T14" s="21"/>
      <c r="U14" s="21"/>
      <c r="V14" s="21"/>
      <c r="W14" s="7" t="str">
        <f t="shared" si="1"/>
        <v>10.07.2024</v>
      </c>
      <c r="X14" s="7" t="str">
        <f t="shared" si="2"/>
        <v>10.04.2025</v>
      </c>
      <c r="Y14" s="7">
        <f t="shared" si="3"/>
        <v>39.14285714</v>
      </c>
      <c r="Z14" s="14">
        <v>3.0</v>
      </c>
      <c r="AA14" s="14">
        <v>2.0</v>
      </c>
      <c r="AB14" s="13">
        <f t="shared" si="4"/>
        <v>234.8571429</v>
      </c>
      <c r="AC14" s="15">
        <f t="shared" si="5"/>
        <v>274</v>
      </c>
      <c r="AD14" s="13">
        <f t="shared" si="6"/>
        <v>39.14285714</v>
      </c>
      <c r="AE14" s="13">
        <f t="shared" si="7"/>
        <v>234.8571429</v>
      </c>
      <c r="AF14" s="13">
        <f t="shared" si="8"/>
        <v>0</v>
      </c>
      <c r="AG14" s="21"/>
      <c r="AH14" s="21"/>
      <c r="AI14" s="21"/>
      <c r="AJ14" s="21"/>
    </row>
    <row r="15">
      <c r="A15" s="7">
        <v>14.0</v>
      </c>
      <c r="B15" s="8">
        <v>24.0</v>
      </c>
      <c r="C15" s="7" t="s">
        <v>98</v>
      </c>
      <c r="D15" s="16" t="s">
        <v>99</v>
      </c>
      <c r="E15" s="7" t="s">
        <v>27</v>
      </c>
      <c r="F15" s="9">
        <v>45481.0</v>
      </c>
      <c r="G15" s="7" t="s">
        <v>28</v>
      </c>
      <c r="H15" s="8" t="s">
        <v>100</v>
      </c>
      <c r="I15" s="7">
        <v>600000.0</v>
      </c>
      <c r="J15" s="7">
        <v>600000.0</v>
      </c>
      <c r="K15" s="7" t="s">
        <v>85</v>
      </c>
      <c r="L15" s="7" t="s">
        <v>42</v>
      </c>
      <c r="M15" s="11" t="s">
        <v>101</v>
      </c>
      <c r="N15" s="25" t="s">
        <v>88</v>
      </c>
      <c r="O15" s="12"/>
      <c r="P15" s="7" t="s">
        <v>102</v>
      </c>
      <c r="Q15" s="12"/>
      <c r="R15" s="13"/>
      <c r="S15" s="13"/>
      <c r="T15" s="13"/>
      <c r="U15" s="13"/>
      <c r="V15" s="13"/>
      <c r="W15" s="7" t="str">
        <f t="shared" si="1"/>
        <v>08.07.2024</v>
      </c>
      <c r="X15" s="7" t="str">
        <f t="shared" si="2"/>
        <v>01.01.2025</v>
      </c>
      <c r="Y15" s="7">
        <f t="shared" si="3"/>
        <v>25.28571429</v>
      </c>
      <c r="Z15" s="14">
        <v>3.0</v>
      </c>
      <c r="AA15" s="14">
        <v>2.0</v>
      </c>
      <c r="AB15" s="13">
        <f t="shared" si="4"/>
        <v>151.7142857</v>
      </c>
      <c r="AC15" s="15">
        <f t="shared" si="5"/>
        <v>177</v>
      </c>
      <c r="AD15" s="13">
        <f t="shared" si="6"/>
        <v>25.28571429</v>
      </c>
      <c r="AE15" s="13">
        <f t="shared" si="7"/>
        <v>151.7142857</v>
      </c>
      <c r="AF15" s="13">
        <f t="shared" si="8"/>
        <v>0</v>
      </c>
      <c r="AG15" s="13"/>
      <c r="AH15" s="13"/>
      <c r="AI15" s="13"/>
      <c r="AJ15" s="13"/>
    </row>
    <row r="16">
      <c r="A16" s="7">
        <v>15.0</v>
      </c>
      <c r="B16" s="8">
        <v>15.0</v>
      </c>
      <c r="C16" s="7" t="s">
        <v>103</v>
      </c>
      <c r="D16" s="7" t="s">
        <v>104</v>
      </c>
      <c r="E16" s="7" t="s">
        <v>62</v>
      </c>
      <c r="F16" s="9">
        <v>45483.0</v>
      </c>
      <c r="G16" s="7" t="s">
        <v>28</v>
      </c>
      <c r="H16" s="8" t="s">
        <v>95</v>
      </c>
      <c r="I16" s="7">
        <v>1600000.0</v>
      </c>
      <c r="J16" s="7">
        <v>1600000.0</v>
      </c>
      <c r="K16" s="12"/>
      <c r="L16" s="7" t="s">
        <v>42</v>
      </c>
      <c r="M16" s="11" t="s">
        <v>105</v>
      </c>
      <c r="N16" s="25" t="s">
        <v>88</v>
      </c>
      <c r="O16" s="12"/>
      <c r="P16" s="7" t="s">
        <v>76</v>
      </c>
      <c r="Q16" s="12"/>
      <c r="R16" s="13"/>
      <c r="S16" s="13"/>
      <c r="T16" s="13"/>
      <c r="U16" s="13"/>
      <c r="V16" s="13"/>
      <c r="W16" s="7" t="str">
        <f t="shared" si="1"/>
        <v>10.07.2024</v>
      </c>
      <c r="X16" s="7" t="str">
        <f t="shared" si="2"/>
        <v>10.04.2025</v>
      </c>
      <c r="Y16" s="7">
        <f t="shared" si="3"/>
        <v>39.14285714</v>
      </c>
      <c r="Z16" s="14">
        <v>3.0</v>
      </c>
      <c r="AA16" s="14">
        <v>2.0</v>
      </c>
      <c r="AB16" s="13">
        <f t="shared" si="4"/>
        <v>234.8571429</v>
      </c>
      <c r="AC16" s="15">
        <f t="shared" si="5"/>
        <v>274</v>
      </c>
      <c r="AD16" s="13">
        <f t="shared" si="6"/>
        <v>39.14285714</v>
      </c>
      <c r="AE16" s="13">
        <f t="shared" si="7"/>
        <v>234.8571429</v>
      </c>
      <c r="AF16" s="13">
        <f t="shared" si="8"/>
        <v>0</v>
      </c>
      <c r="AG16" s="13"/>
      <c r="AH16" s="13"/>
      <c r="AI16" s="13"/>
      <c r="AJ16" s="13"/>
    </row>
    <row r="17">
      <c r="A17" s="7">
        <v>16.0</v>
      </c>
      <c r="B17" s="8">
        <v>16.0</v>
      </c>
      <c r="C17" s="16" t="s">
        <v>106</v>
      </c>
      <c r="D17" s="26" t="s">
        <v>107</v>
      </c>
      <c r="E17" s="7" t="s">
        <v>62</v>
      </c>
      <c r="F17" s="9">
        <v>45488.0</v>
      </c>
      <c r="G17" s="7" t="s">
        <v>28</v>
      </c>
      <c r="H17" s="8" t="s">
        <v>108</v>
      </c>
      <c r="I17" s="7">
        <v>1600000.0</v>
      </c>
      <c r="J17" s="7">
        <v>1600000.0</v>
      </c>
      <c r="K17" s="12"/>
      <c r="L17" s="7" t="s">
        <v>42</v>
      </c>
      <c r="M17" s="11" t="s">
        <v>109</v>
      </c>
      <c r="N17" s="25" t="s">
        <v>110</v>
      </c>
      <c r="O17" s="12"/>
      <c r="P17" s="7" t="s">
        <v>32</v>
      </c>
      <c r="Q17" s="12"/>
      <c r="R17" s="13"/>
      <c r="S17" s="13"/>
      <c r="T17" s="13"/>
      <c r="U17" s="13"/>
      <c r="V17" s="13"/>
      <c r="W17" s="7" t="str">
        <f t="shared" si="1"/>
        <v>17.07.2024</v>
      </c>
      <c r="X17" s="7" t="str">
        <f t="shared" si="2"/>
        <v>7.02.2026)</v>
      </c>
      <c r="Y17" s="7" t="str">
        <f t="shared" si="3"/>
        <v>#VALUE!</v>
      </c>
      <c r="Z17" s="14">
        <v>3.0</v>
      </c>
      <c r="AA17" s="14">
        <v>2.0</v>
      </c>
      <c r="AB17" s="13" t="str">
        <f t="shared" si="4"/>
        <v>#VALUE!</v>
      </c>
      <c r="AC17" s="15" t="str">
        <f t="shared" si="5"/>
        <v>#VALUE!</v>
      </c>
      <c r="AD17" s="13" t="str">
        <f t="shared" si="6"/>
        <v>#VALUE!</v>
      </c>
      <c r="AE17" s="13" t="str">
        <f t="shared" si="7"/>
        <v>#VALUE!</v>
      </c>
      <c r="AF17" s="13" t="str">
        <f t="shared" si="8"/>
        <v>#VALUE!</v>
      </c>
      <c r="AG17" s="13"/>
      <c r="AH17" s="13"/>
      <c r="AI17" s="13"/>
      <c r="AJ17" s="13"/>
    </row>
    <row r="18">
      <c r="A18" s="7">
        <v>17.0</v>
      </c>
      <c r="B18" s="8">
        <v>17.0</v>
      </c>
      <c r="C18" s="7" t="s">
        <v>111</v>
      </c>
      <c r="D18" s="16" t="s">
        <v>112</v>
      </c>
      <c r="E18" s="7" t="s">
        <v>62</v>
      </c>
      <c r="F18" s="9">
        <v>45491.0</v>
      </c>
      <c r="G18" s="7" t="s">
        <v>113</v>
      </c>
      <c r="H18" s="8" t="s">
        <v>114</v>
      </c>
      <c r="I18" s="7">
        <v>1600000.0</v>
      </c>
      <c r="J18" s="7">
        <v>1600000.0</v>
      </c>
      <c r="K18" s="12"/>
      <c r="L18" s="7" t="s">
        <v>42</v>
      </c>
      <c r="M18" s="11" t="s">
        <v>115</v>
      </c>
      <c r="N18" s="12"/>
      <c r="O18" s="12"/>
      <c r="P18" s="7" t="s">
        <v>76</v>
      </c>
      <c r="Q18" s="12"/>
      <c r="R18" s="13"/>
      <c r="S18" s="13"/>
      <c r="T18" s="13"/>
      <c r="U18" s="13"/>
      <c r="V18" s="13"/>
      <c r="W18" s="7" t="str">
        <f t="shared" si="1"/>
        <v>02.09.2024</v>
      </c>
      <c r="X18" s="7" t="str">
        <f t="shared" si="2"/>
        <v>02.05.2025</v>
      </c>
      <c r="Y18" s="7">
        <f t="shared" si="3"/>
        <v>34.57142857</v>
      </c>
      <c r="Z18" s="14">
        <v>3.0</v>
      </c>
      <c r="AA18" s="14">
        <v>2.0</v>
      </c>
      <c r="AB18" s="13">
        <f t="shared" si="4"/>
        <v>207.4285714</v>
      </c>
      <c r="AC18" s="15">
        <f t="shared" si="5"/>
        <v>242</v>
      </c>
      <c r="AD18" s="13">
        <f t="shared" si="6"/>
        <v>34.57142857</v>
      </c>
      <c r="AE18" s="13">
        <f t="shared" si="7"/>
        <v>207.4285714</v>
      </c>
      <c r="AF18" s="13">
        <f t="shared" si="8"/>
        <v>0</v>
      </c>
      <c r="AG18" s="13"/>
      <c r="AH18" s="13"/>
      <c r="AI18" s="13"/>
      <c r="AJ18" s="13"/>
    </row>
    <row r="19">
      <c r="A19" s="7">
        <v>18.0</v>
      </c>
      <c r="B19" s="8">
        <v>19.0</v>
      </c>
      <c r="C19" s="7" t="s">
        <v>116</v>
      </c>
      <c r="D19" s="16" t="s">
        <v>117</v>
      </c>
      <c r="E19" s="7" t="s">
        <v>58</v>
      </c>
      <c r="F19" s="9">
        <v>45493.0</v>
      </c>
      <c r="G19" s="7" t="s">
        <v>28</v>
      </c>
      <c r="H19" s="8" t="s">
        <v>118</v>
      </c>
      <c r="I19" s="7">
        <v>2000000.0</v>
      </c>
      <c r="J19" s="7">
        <v>2000000.0</v>
      </c>
      <c r="K19" s="12"/>
      <c r="L19" s="7" t="s">
        <v>42</v>
      </c>
      <c r="M19" s="11" t="s">
        <v>119</v>
      </c>
      <c r="N19" s="12"/>
      <c r="O19" s="12"/>
      <c r="P19" s="7" t="s">
        <v>32</v>
      </c>
      <c r="Q19" s="12"/>
      <c r="R19" s="13"/>
      <c r="S19" s="13"/>
      <c r="T19" s="13"/>
      <c r="U19" s="13"/>
      <c r="V19" s="13"/>
      <c r="W19" s="7" t="str">
        <f t="shared" si="1"/>
        <v>22.07.2024</v>
      </c>
      <c r="X19" s="7" t="str">
        <f t="shared" si="2"/>
        <v>22.03.2025</v>
      </c>
      <c r="Y19" s="7">
        <f t="shared" si="3"/>
        <v>34.71428571</v>
      </c>
      <c r="Z19" s="14">
        <v>3.0</v>
      </c>
      <c r="AA19" s="14">
        <v>2.0</v>
      </c>
      <c r="AB19" s="13">
        <f t="shared" si="4"/>
        <v>208.2857143</v>
      </c>
      <c r="AC19" s="15">
        <f t="shared" si="5"/>
        <v>243</v>
      </c>
      <c r="AD19" s="13">
        <f t="shared" si="6"/>
        <v>34.71428571</v>
      </c>
      <c r="AE19" s="13">
        <f t="shared" si="7"/>
        <v>208.2857143</v>
      </c>
      <c r="AF19" s="13">
        <f t="shared" si="8"/>
        <v>0</v>
      </c>
      <c r="AG19" s="13"/>
      <c r="AH19" s="13"/>
      <c r="AI19" s="13"/>
      <c r="AJ19" s="13"/>
    </row>
    <row r="20">
      <c r="A20" s="7">
        <v>19.0</v>
      </c>
      <c r="B20" s="8">
        <v>34.0</v>
      </c>
      <c r="C20" s="16" t="s">
        <v>120</v>
      </c>
      <c r="D20" s="16" t="s">
        <v>121</v>
      </c>
      <c r="E20" s="7" t="s">
        <v>62</v>
      </c>
      <c r="F20" s="9">
        <v>45540.0</v>
      </c>
      <c r="G20" s="7" t="s">
        <v>28</v>
      </c>
      <c r="H20" s="8" t="s">
        <v>122</v>
      </c>
      <c r="I20" s="7">
        <v>1700000.0</v>
      </c>
      <c r="J20" s="7">
        <v>1700000.0</v>
      </c>
      <c r="K20" s="7" t="s">
        <v>85</v>
      </c>
      <c r="L20" s="7" t="s">
        <v>123</v>
      </c>
      <c r="M20" s="11" t="s">
        <v>124</v>
      </c>
      <c r="N20" s="12"/>
      <c r="O20" s="12"/>
      <c r="P20" s="7" t="s">
        <v>32</v>
      </c>
      <c r="Q20" s="12"/>
      <c r="R20" s="13"/>
      <c r="S20" s="13"/>
      <c r="T20" s="13"/>
      <c r="U20" s="13"/>
      <c r="V20" s="13"/>
      <c r="W20" s="7" t="str">
        <f t="shared" si="1"/>
        <v>05.08.2024</v>
      </c>
      <c r="X20" s="7" t="str">
        <f t="shared" si="2"/>
        <v>05.04.2025</v>
      </c>
      <c r="Y20" s="7">
        <f t="shared" si="3"/>
        <v>34.71428571</v>
      </c>
      <c r="Z20" s="14">
        <v>3.0</v>
      </c>
      <c r="AA20" s="14">
        <v>2.0</v>
      </c>
      <c r="AB20" s="13">
        <f t="shared" si="4"/>
        <v>208.2857143</v>
      </c>
      <c r="AC20" s="15">
        <f t="shared" si="5"/>
        <v>243</v>
      </c>
      <c r="AD20" s="13">
        <f t="shared" si="6"/>
        <v>34.71428571</v>
      </c>
      <c r="AE20" s="13">
        <f t="shared" si="7"/>
        <v>208.2857143</v>
      </c>
      <c r="AF20" s="13">
        <f t="shared" si="8"/>
        <v>0</v>
      </c>
      <c r="AG20" s="13"/>
      <c r="AH20" s="13"/>
      <c r="AI20" s="13"/>
      <c r="AJ20" s="13"/>
    </row>
    <row r="21">
      <c r="A21" s="7">
        <v>20.0</v>
      </c>
      <c r="B21" s="8">
        <v>23.0</v>
      </c>
      <c r="C21" s="16" t="s">
        <v>125</v>
      </c>
      <c r="D21" s="7" t="s">
        <v>126</v>
      </c>
      <c r="E21" s="7" t="s">
        <v>62</v>
      </c>
      <c r="F21" s="9">
        <v>45502.0</v>
      </c>
      <c r="G21" s="7" t="s">
        <v>28</v>
      </c>
      <c r="H21" s="8" t="s">
        <v>127</v>
      </c>
      <c r="I21" s="7">
        <v>2000000.0</v>
      </c>
      <c r="J21" s="7">
        <v>2000000.0</v>
      </c>
      <c r="K21" s="12"/>
      <c r="L21" s="7" t="s">
        <v>42</v>
      </c>
      <c r="M21" s="11" t="s">
        <v>128</v>
      </c>
      <c r="N21" s="12"/>
      <c r="O21" s="12"/>
      <c r="P21" s="7" t="s">
        <v>76</v>
      </c>
      <c r="Q21" s="12"/>
      <c r="R21" s="13"/>
      <c r="S21" s="13"/>
      <c r="T21" s="13"/>
      <c r="U21" s="13"/>
      <c r="V21" s="13"/>
      <c r="W21" s="7" t="str">
        <f t="shared" si="1"/>
        <v>30.07.2024</v>
      </c>
      <c r="X21" s="7" t="str">
        <f t="shared" si="2"/>
        <v>30.04.2025</v>
      </c>
      <c r="Y21" s="7">
        <f t="shared" si="3"/>
        <v>39.14285714</v>
      </c>
      <c r="Z21" s="14">
        <v>3.0</v>
      </c>
      <c r="AA21" s="14">
        <v>2.0</v>
      </c>
      <c r="AB21" s="13">
        <f t="shared" si="4"/>
        <v>234.8571429</v>
      </c>
      <c r="AC21" s="15">
        <f t="shared" si="5"/>
        <v>274</v>
      </c>
      <c r="AD21" s="13">
        <f t="shared" si="6"/>
        <v>39.14285714</v>
      </c>
      <c r="AE21" s="13">
        <f t="shared" si="7"/>
        <v>234.8571429</v>
      </c>
      <c r="AF21" s="13">
        <f t="shared" si="8"/>
        <v>0</v>
      </c>
      <c r="AG21" s="13"/>
      <c r="AH21" s="13"/>
      <c r="AI21" s="13"/>
      <c r="AJ21" s="13"/>
    </row>
    <row r="22">
      <c r="A22" s="7">
        <v>21.0</v>
      </c>
      <c r="B22" s="8">
        <v>24.0</v>
      </c>
      <c r="C22" s="16" t="s">
        <v>129</v>
      </c>
      <c r="D22" s="16" t="s">
        <v>130</v>
      </c>
      <c r="E22" s="7" t="s">
        <v>62</v>
      </c>
      <c r="F22" s="9">
        <v>45508.0</v>
      </c>
      <c r="G22" s="7" t="s">
        <v>28</v>
      </c>
      <c r="H22" s="8" t="s">
        <v>131</v>
      </c>
      <c r="I22" s="7">
        <v>2000000.0</v>
      </c>
      <c r="J22" s="7">
        <v>2000000.0</v>
      </c>
      <c r="K22" s="7" t="s">
        <v>132</v>
      </c>
      <c r="L22" s="7" t="s">
        <v>42</v>
      </c>
      <c r="M22" s="11" t="s">
        <v>133</v>
      </c>
      <c r="N22" s="12"/>
      <c r="O22" s="12"/>
      <c r="P22" s="7" t="s">
        <v>134</v>
      </c>
      <c r="Q22" s="12"/>
      <c r="R22" s="13"/>
      <c r="S22" s="13"/>
      <c r="T22" s="13"/>
      <c r="U22" s="13"/>
      <c r="V22" s="13"/>
      <c r="W22" s="7" t="str">
        <f t="shared" si="1"/>
        <v>05.08.2024</v>
      </c>
      <c r="X22" s="7" t="str">
        <f t="shared" si="2"/>
        <v>05.05.2025</v>
      </c>
      <c r="Y22" s="7">
        <f t="shared" si="3"/>
        <v>39</v>
      </c>
      <c r="Z22" s="14">
        <v>3.0</v>
      </c>
      <c r="AA22" s="14">
        <v>2.0</v>
      </c>
      <c r="AB22" s="13">
        <f t="shared" si="4"/>
        <v>234</v>
      </c>
      <c r="AC22" s="15">
        <f t="shared" si="5"/>
        <v>273</v>
      </c>
      <c r="AD22" s="13">
        <f t="shared" si="6"/>
        <v>39</v>
      </c>
      <c r="AE22" s="13">
        <f t="shared" si="7"/>
        <v>234</v>
      </c>
      <c r="AF22" s="13">
        <f t="shared" si="8"/>
        <v>0</v>
      </c>
      <c r="AG22" s="13"/>
      <c r="AH22" s="13"/>
      <c r="AI22" s="13"/>
      <c r="AJ22" s="13"/>
    </row>
    <row r="23">
      <c r="A23" s="7">
        <v>22.0</v>
      </c>
      <c r="B23" s="8">
        <v>25.0</v>
      </c>
      <c r="C23" s="27" t="s">
        <v>135</v>
      </c>
      <c r="D23" s="16" t="s">
        <v>136</v>
      </c>
      <c r="E23" s="7" t="s">
        <v>62</v>
      </c>
      <c r="F23" s="9">
        <v>45508.0</v>
      </c>
      <c r="G23" s="7" t="s">
        <v>28</v>
      </c>
      <c r="H23" s="8" t="s">
        <v>131</v>
      </c>
      <c r="I23" s="7">
        <v>2000000.0</v>
      </c>
      <c r="J23" s="7">
        <v>2000000.0</v>
      </c>
      <c r="K23" s="12"/>
      <c r="L23" s="7" t="s">
        <v>42</v>
      </c>
      <c r="M23" s="11" t="s">
        <v>137</v>
      </c>
      <c r="N23" s="25" t="s">
        <v>88</v>
      </c>
      <c r="O23" s="12"/>
      <c r="P23" s="7" t="s">
        <v>51</v>
      </c>
      <c r="Q23" s="12"/>
      <c r="R23" s="13"/>
      <c r="S23" s="13"/>
      <c r="T23" s="13"/>
      <c r="U23" s="13"/>
      <c r="V23" s="13"/>
      <c r="W23" s="7" t="str">
        <f t="shared" si="1"/>
        <v>05.08.2024</v>
      </c>
      <c r="X23" s="7" t="str">
        <f t="shared" si="2"/>
        <v>05.05.2025</v>
      </c>
      <c r="Y23" s="7">
        <f t="shared" si="3"/>
        <v>39</v>
      </c>
      <c r="Z23" s="14">
        <v>3.0</v>
      </c>
      <c r="AA23" s="14">
        <v>2.0</v>
      </c>
      <c r="AB23" s="13">
        <f t="shared" si="4"/>
        <v>234</v>
      </c>
      <c r="AC23" s="15">
        <f t="shared" si="5"/>
        <v>273</v>
      </c>
      <c r="AD23" s="13">
        <f t="shared" si="6"/>
        <v>39</v>
      </c>
      <c r="AE23" s="13">
        <f t="shared" si="7"/>
        <v>234</v>
      </c>
      <c r="AF23" s="13">
        <f t="shared" si="8"/>
        <v>0</v>
      </c>
      <c r="AG23" s="13"/>
      <c r="AH23" s="13"/>
      <c r="AI23" s="13"/>
      <c r="AJ23" s="13"/>
    </row>
    <row r="24">
      <c r="A24" s="7">
        <v>23.0</v>
      </c>
      <c r="B24" s="8">
        <v>25.0</v>
      </c>
      <c r="C24" s="7" t="s">
        <v>138</v>
      </c>
      <c r="D24" s="27" t="s">
        <v>139</v>
      </c>
      <c r="E24" s="7" t="s">
        <v>27</v>
      </c>
      <c r="F24" s="9">
        <v>45489.0</v>
      </c>
      <c r="G24" s="7" t="s">
        <v>28</v>
      </c>
      <c r="H24" s="8" t="s">
        <v>140</v>
      </c>
      <c r="I24" s="7">
        <v>1600000.0</v>
      </c>
      <c r="J24" s="7" t="s">
        <v>30</v>
      </c>
      <c r="K24" s="12"/>
      <c r="L24" s="7" t="s">
        <v>141</v>
      </c>
      <c r="M24" s="11" t="s">
        <v>142</v>
      </c>
      <c r="N24" s="25" t="s">
        <v>88</v>
      </c>
      <c r="O24" s="12"/>
      <c r="P24" s="7" t="s">
        <v>32</v>
      </c>
      <c r="Q24" s="12"/>
      <c r="R24" s="13"/>
      <c r="S24" s="13"/>
      <c r="T24" s="13"/>
      <c r="U24" s="13"/>
      <c r="V24" s="13"/>
      <c r="W24" s="7" t="str">
        <f t="shared" si="1"/>
        <v>17.07.2024</v>
      </c>
      <c r="X24" s="7" t="str">
        <f t="shared" si="2"/>
        <v>17.03.2025</v>
      </c>
      <c r="Y24" s="7">
        <f t="shared" si="3"/>
        <v>34.71428571</v>
      </c>
      <c r="Z24" s="14">
        <v>3.0</v>
      </c>
      <c r="AA24" s="14">
        <v>2.0</v>
      </c>
      <c r="AB24" s="13">
        <f t="shared" si="4"/>
        <v>208.2857143</v>
      </c>
      <c r="AC24" s="15">
        <f t="shared" si="5"/>
        <v>243</v>
      </c>
      <c r="AD24" s="13">
        <f t="shared" si="6"/>
        <v>34.71428571</v>
      </c>
      <c r="AE24" s="13">
        <f t="shared" si="7"/>
        <v>208.2857143</v>
      </c>
      <c r="AF24" s="13">
        <f t="shared" si="8"/>
        <v>0</v>
      </c>
      <c r="AG24" s="13"/>
      <c r="AH24" s="13"/>
      <c r="AI24" s="13"/>
      <c r="AJ24" s="13"/>
    </row>
    <row r="25">
      <c r="A25" s="7">
        <v>24.0</v>
      </c>
      <c r="B25" s="8">
        <v>13.0</v>
      </c>
      <c r="C25" s="7" t="s">
        <v>143</v>
      </c>
      <c r="D25" s="7" t="s">
        <v>144</v>
      </c>
      <c r="E25" s="7" t="s">
        <v>27</v>
      </c>
      <c r="F25" s="9">
        <v>45483.0</v>
      </c>
      <c r="G25" s="7" t="s">
        <v>28</v>
      </c>
      <c r="H25" s="8" t="s">
        <v>95</v>
      </c>
      <c r="I25" s="7">
        <v>1600000.0</v>
      </c>
      <c r="J25" s="7">
        <v>1600000.0</v>
      </c>
      <c r="K25" s="12"/>
      <c r="L25" s="7" t="s">
        <v>42</v>
      </c>
      <c r="M25" s="11" t="s">
        <v>145</v>
      </c>
      <c r="N25" s="12"/>
      <c r="O25" s="12"/>
      <c r="P25" s="7" t="s">
        <v>76</v>
      </c>
      <c r="Q25" s="12"/>
      <c r="R25" s="13"/>
      <c r="S25" s="13"/>
      <c r="T25" s="13"/>
      <c r="U25" s="13"/>
      <c r="V25" s="13"/>
      <c r="W25" s="7" t="str">
        <f t="shared" si="1"/>
        <v>10.07.2024</v>
      </c>
      <c r="X25" s="7" t="str">
        <f t="shared" si="2"/>
        <v>10.04.2025</v>
      </c>
      <c r="Y25" s="7">
        <f t="shared" si="3"/>
        <v>39.14285714</v>
      </c>
      <c r="Z25" s="14">
        <v>3.0</v>
      </c>
      <c r="AA25" s="14">
        <v>2.0</v>
      </c>
      <c r="AB25" s="13">
        <f t="shared" si="4"/>
        <v>234.8571429</v>
      </c>
      <c r="AC25" s="15">
        <f t="shared" si="5"/>
        <v>274</v>
      </c>
      <c r="AD25" s="13">
        <f t="shared" si="6"/>
        <v>39.14285714</v>
      </c>
      <c r="AE25" s="13">
        <f t="shared" si="7"/>
        <v>234.8571429</v>
      </c>
      <c r="AF25" s="13">
        <f t="shared" si="8"/>
        <v>0</v>
      </c>
      <c r="AG25" s="13"/>
      <c r="AH25" s="13"/>
      <c r="AI25" s="13"/>
      <c r="AJ25" s="13"/>
    </row>
    <row r="26">
      <c r="A26" s="7">
        <v>25.0</v>
      </c>
      <c r="B26" s="8">
        <v>10.0</v>
      </c>
      <c r="C26" s="7" t="s">
        <v>146</v>
      </c>
      <c r="D26" s="16" t="s">
        <v>147</v>
      </c>
      <c r="E26" s="7" t="s">
        <v>58</v>
      </c>
      <c r="F26" s="9">
        <v>45517.0</v>
      </c>
      <c r="G26" s="7" t="s">
        <v>28</v>
      </c>
      <c r="H26" s="8" t="s">
        <v>148</v>
      </c>
      <c r="I26" s="7">
        <v>3000000.0</v>
      </c>
      <c r="J26" s="7">
        <v>3000000.0</v>
      </c>
      <c r="K26" s="12"/>
      <c r="L26" s="7" t="s">
        <v>42</v>
      </c>
      <c r="M26" s="11" t="s">
        <v>149</v>
      </c>
      <c r="N26" s="25" t="s">
        <v>88</v>
      </c>
      <c r="O26" s="12"/>
      <c r="P26" s="7" t="s">
        <v>32</v>
      </c>
      <c r="Q26" s="12"/>
      <c r="R26" s="13"/>
      <c r="S26" s="13"/>
      <c r="T26" s="13"/>
      <c r="U26" s="13"/>
      <c r="V26" s="13"/>
      <c r="W26" s="7" t="str">
        <f t="shared" si="1"/>
        <v>14.08.2024</v>
      </c>
      <c r="X26" s="7" t="str">
        <f t="shared" si="2"/>
        <v>01.02.2026</v>
      </c>
      <c r="Y26" s="7">
        <f t="shared" si="3"/>
        <v>76.57142857</v>
      </c>
      <c r="Z26" s="14">
        <v>3.0</v>
      </c>
      <c r="AA26" s="14">
        <v>2.0</v>
      </c>
      <c r="AB26" s="13">
        <f t="shared" si="4"/>
        <v>459.4285714</v>
      </c>
      <c r="AC26" s="15">
        <f t="shared" si="5"/>
        <v>536</v>
      </c>
      <c r="AD26" s="13">
        <f t="shared" si="6"/>
        <v>76.57142857</v>
      </c>
      <c r="AE26" s="13">
        <f t="shared" si="7"/>
        <v>459.4285714</v>
      </c>
      <c r="AF26" s="13">
        <f t="shared" si="8"/>
        <v>0</v>
      </c>
      <c r="AG26" s="13"/>
      <c r="AH26" s="13"/>
      <c r="AI26" s="13"/>
      <c r="AJ26" s="13"/>
    </row>
    <row r="27">
      <c r="A27" s="7">
        <v>26.0</v>
      </c>
      <c r="B27" s="8">
        <v>27.0</v>
      </c>
      <c r="C27" s="7" t="s">
        <v>150</v>
      </c>
      <c r="D27" s="7" t="s">
        <v>151</v>
      </c>
      <c r="E27" s="7" t="s">
        <v>62</v>
      </c>
      <c r="F27" s="9">
        <v>45523.0</v>
      </c>
      <c r="G27" s="7" t="s">
        <v>28</v>
      </c>
      <c r="H27" s="8" t="s">
        <v>152</v>
      </c>
      <c r="I27" s="7">
        <v>2000000.0</v>
      </c>
      <c r="J27" s="7">
        <v>2000000.0</v>
      </c>
      <c r="K27" s="12"/>
      <c r="L27" s="7" t="s">
        <v>42</v>
      </c>
      <c r="M27" s="11" t="s">
        <v>153</v>
      </c>
      <c r="N27" s="12"/>
      <c r="O27" s="12"/>
      <c r="P27" s="7" t="s">
        <v>154</v>
      </c>
      <c r="Q27" s="12"/>
      <c r="R27" s="13"/>
      <c r="S27" s="13"/>
      <c r="T27" s="13"/>
      <c r="U27" s="13"/>
      <c r="V27" s="13"/>
      <c r="W27" s="7" t="str">
        <f t="shared" si="1"/>
        <v>09.09.2024</v>
      </c>
      <c r="X27" s="7" t="str">
        <f t="shared" si="2"/>
        <v>09.05.2025</v>
      </c>
      <c r="Y27" s="7">
        <f t="shared" si="3"/>
        <v>34.57142857</v>
      </c>
      <c r="Z27" s="14">
        <v>3.0</v>
      </c>
      <c r="AA27" s="14">
        <v>2.0</v>
      </c>
      <c r="AB27" s="13">
        <f t="shared" si="4"/>
        <v>207.4285714</v>
      </c>
      <c r="AC27" s="15">
        <f t="shared" si="5"/>
        <v>242</v>
      </c>
      <c r="AD27" s="13">
        <f t="shared" si="6"/>
        <v>34.57142857</v>
      </c>
      <c r="AE27" s="13">
        <f t="shared" si="7"/>
        <v>207.4285714</v>
      </c>
      <c r="AF27" s="13">
        <f t="shared" si="8"/>
        <v>0</v>
      </c>
      <c r="AG27" s="13"/>
      <c r="AH27" s="13"/>
      <c r="AI27" s="13"/>
      <c r="AJ27" s="13"/>
    </row>
    <row r="28">
      <c r="A28" s="7">
        <v>27.0</v>
      </c>
      <c r="B28" s="8">
        <v>28.0</v>
      </c>
      <c r="C28" s="7" t="s">
        <v>155</v>
      </c>
      <c r="D28" s="7" t="s">
        <v>155</v>
      </c>
      <c r="E28" s="7" t="s">
        <v>62</v>
      </c>
      <c r="F28" s="9">
        <v>45525.0</v>
      </c>
      <c r="G28" s="7" t="s">
        <v>28</v>
      </c>
      <c r="H28" s="8" t="s">
        <v>156</v>
      </c>
      <c r="I28" s="7">
        <v>1200000.0</v>
      </c>
      <c r="J28" s="7">
        <v>1200000.0</v>
      </c>
      <c r="K28" s="12"/>
      <c r="L28" s="7" t="s">
        <v>42</v>
      </c>
      <c r="M28" s="11" t="s">
        <v>157</v>
      </c>
      <c r="N28" s="12"/>
      <c r="O28" s="12"/>
      <c r="P28" s="7" t="s">
        <v>76</v>
      </c>
      <c r="Q28" s="12"/>
      <c r="R28" s="13"/>
      <c r="S28" s="13"/>
      <c r="T28" s="13"/>
      <c r="U28" s="13"/>
      <c r="V28" s="13"/>
      <c r="W28" s="7" t="str">
        <f t="shared" si="1"/>
        <v>26.08.2024</v>
      </c>
      <c r="X28" s="7" t="str">
        <f t="shared" si="2"/>
        <v>26.10.2025</v>
      </c>
      <c r="Y28" s="7">
        <f t="shared" si="3"/>
        <v>60.85714286</v>
      </c>
      <c r="Z28" s="14">
        <v>3.0</v>
      </c>
      <c r="AA28" s="14">
        <v>2.0</v>
      </c>
      <c r="AB28" s="13">
        <f t="shared" si="4"/>
        <v>365.1428571</v>
      </c>
      <c r="AC28" s="15">
        <f t="shared" si="5"/>
        <v>426</v>
      </c>
      <c r="AD28" s="13">
        <f t="shared" si="6"/>
        <v>60.85714286</v>
      </c>
      <c r="AE28" s="13">
        <f t="shared" si="7"/>
        <v>365.1428571</v>
      </c>
      <c r="AF28" s="13">
        <f t="shared" si="8"/>
        <v>0</v>
      </c>
      <c r="AG28" s="13"/>
      <c r="AH28" s="13"/>
      <c r="AI28" s="13"/>
      <c r="AJ28" s="13"/>
    </row>
    <row r="29">
      <c r="A29" s="7">
        <v>28.0</v>
      </c>
      <c r="B29" s="8">
        <v>29.0</v>
      </c>
      <c r="C29" s="7" t="s">
        <v>158</v>
      </c>
      <c r="D29" s="16" t="s">
        <v>159</v>
      </c>
      <c r="E29" s="7" t="s">
        <v>62</v>
      </c>
      <c r="F29" s="9">
        <v>45525.0</v>
      </c>
      <c r="G29" s="7" t="s">
        <v>28</v>
      </c>
      <c r="H29" s="8" t="s">
        <v>160</v>
      </c>
      <c r="I29" s="7">
        <v>1500000.0</v>
      </c>
      <c r="J29" s="7">
        <v>1500000.0</v>
      </c>
      <c r="K29" s="12"/>
      <c r="L29" s="7" t="s">
        <v>42</v>
      </c>
      <c r="M29" s="11" t="s">
        <v>161</v>
      </c>
      <c r="N29" s="25" t="s">
        <v>88</v>
      </c>
      <c r="O29" s="12"/>
      <c r="P29" s="7" t="s">
        <v>76</v>
      </c>
      <c r="Q29" s="12"/>
      <c r="R29" s="13"/>
      <c r="S29" s="13"/>
      <c r="T29" s="13"/>
      <c r="U29" s="13"/>
      <c r="V29" s="13"/>
      <c r="W29" s="7" t="str">
        <f t="shared" si="1"/>
        <v>23.08.2024</v>
      </c>
      <c r="X29" s="7" t="str">
        <f t="shared" si="2"/>
        <v>23.12.2024</v>
      </c>
      <c r="Y29" s="7">
        <f t="shared" si="3"/>
        <v>17.42857143</v>
      </c>
      <c r="Z29" s="14">
        <v>3.0</v>
      </c>
      <c r="AA29" s="14">
        <v>2.0</v>
      </c>
      <c r="AB29" s="13">
        <f t="shared" si="4"/>
        <v>104.5714286</v>
      </c>
      <c r="AC29" s="15">
        <f t="shared" si="5"/>
        <v>122</v>
      </c>
      <c r="AD29" s="13">
        <f t="shared" si="6"/>
        <v>17.42857143</v>
      </c>
      <c r="AE29" s="13">
        <f t="shared" si="7"/>
        <v>104.5714286</v>
      </c>
      <c r="AF29" s="13">
        <f t="shared" si="8"/>
        <v>0</v>
      </c>
      <c r="AG29" s="13"/>
      <c r="AH29" s="13"/>
      <c r="AI29" s="13"/>
      <c r="AJ29" s="13"/>
    </row>
    <row r="30">
      <c r="A30" s="10">
        <v>29.0</v>
      </c>
      <c r="B30" s="10">
        <v>30.0</v>
      </c>
      <c r="C30" s="10" t="s">
        <v>162</v>
      </c>
      <c r="D30" s="10" t="s">
        <v>163</v>
      </c>
      <c r="E30" s="10" t="s">
        <v>62</v>
      </c>
      <c r="F30" s="18">
        <v>45531.0</v>
      </c>
      <c r="G30" s="10" t="s">
        <v>28</v>
      </c>
      <c r="H30" s="10" t="s">
        <v>164</v>
      </c>
      <c r="I30" s="10">
        <v>2000000.0</v>
      </c>
      <c r="J30" s="10">
        <v>2000000.0</v>
      </c>
      <c r="K30" s="10" t="s">
        <v>165</v>
      </c>
      <c r="L30" s="10" t="s">
        <v>42</v>
      </c>
      <c r="M30" s="19" t="s">
        <v>166</v>
      </c>
      <c r="N30" s="20"/>
      <c r="O30" s="10" t="s">
        <v>167</v>
      </c>
      <c r="P30" s="10" t="s">
        <v>168</v>
      </c>
      <c r="Q30" s="20"/>
      <c r="R30" s="21"/>
      <c r="S30" s="21"/>
      <c r="T30" s="21"/>
      <c r="U30" s="21"/>
      <c r="V30" s="21"/>
      <c r="W30" s="7" t="str">
        <f t="shared" si="1"/>
        <v>27.08.2024</v>
      </c>
      <c r="X30" s="7" t="str">
        <f t="shared" si="2"/>
        <v>27.03.2024</v>
      </c>
      <c r="Y30" s="7" t="str">
        <f t="shared" si="3"/>
        <v>#NUM!</v>
      </c>
      <c r="Z30" s="14">
        <v>3.0</v>
      </c>
      <c r="AA30" s="14">
        <v>2.0</v>
      </c>
      <c r="AB30" s="13" t="str">
        <f t="shared" si="4"/>
        <v>#NUM!</v>
      </c>
      <c r="AC30" s="15" t="str">
        <f t="shared" si="5"/>
        <v>#NUM!</v>
      </c>
      <c r="AD30" s="13" t="str">
        <f t="shared" si="6"/>
        <v>#NUM!</v>
      </c>
      <c r="AE30" s="13" t="str">
        <f t="shared" si="7"/>
        <v>#NUM!</v>
      </c>
      <c r="AF30" s="13" t="str">
        <f t="shared" si="8"/>
        <v>#NUM!</v>
      </c>
      <c r="AG30" s="21"/>
      <c r="AH30" s="21"/>
      <c r="AI30" s="21"/>
      <c r="AJ30" s="21"/>
    </row>
    <row r="31">
      <c r="A31" s="7">
        <v>30.0</v>
      </c>
      <c r="B31" s="8">
        <v>33.0</v>
      </c>
      <c r="C31" s="16" t="s">
        <v>169</v>
      </c>
      <c r="D31" s="28" t="s">
        <v>170</v>
      </c>
      <c r="E31" s="7" t="s">
        <v>62</v>
      </c>
      <c r="F31" s="9">
        <v>45540.0</v>
      </c>
      <c r="G31" s="7" t="s">
        <v>28</v>
      </c>
      <c r="H31" s="8" t="s">
        <v>171</v>
      </c>
      <c r="I31" s="7">
        <v>1500000.0</v>
      </c>
      <c r="J31" s="7">
        <v>1500000.0</v>
      </c>
      <c r="K31" s="7" t="s">
        <v>165</v>
      </c>
      <c r="L31" s="7" t="s">
        <v>42</v>
      </c>
      <c r="M31" s="11" t="s">
        <v>172</v>
      </c>
      <c r="N31" s="25" t="s">
        <v>88</v>
      </c>
      <c r="O31" s="12"/>
      <c r="P31" s="7" t="s">
        <v>76</v>
      </c>
      <c r="Q31" s="12"/>
      <c r="R31" s="13"/>
      <c r="S31" s="13"/>
      <c r="T31" s="13"/>
      <c r="U31" s="13"/>
      <c r="V31" s="13"/>
      <c r="W31" s="7" t="str">
        <f t="shared" si="1"/>
        <v>06.09.2024</v>
      </c>
      <c r="X31" s="7" t="str">
        <f t="shared" si="2"/>
        <v>06.06.2024</v>
      </c>
      <c r="Y31" s="7" t="str">
        <f t="shared" si="3"/>
        <v>#NUM!</v>
      </c>
      <c r="Z31" s="14">
        <v>3.0</v>
      </c>
      <c r="AA31" s="14">
        <v>2.0</v>
      </c>
      <c r="AB31" s="13" t="str">
        <f t="shared" si="4"/>
        <v>#NUM!</v>
      </c>
      <c r="AC31" s="15" t="str">
        <f t="shared" si="5"/>
        <v>#NUM!</v>
      </c>
      <c r="AD31" s="13" t="str">
        <f t="shared" si="6"/>
        <v>#NUM!</v>
      </c>
      <c r="AE31" s="13" t="str">
        <f t="shared" si="7"/>
        <v>#NUM!</v>
      </c>
      <c r="AF31" s="13" t="str">
        <f t="shared" si="8"/>
        <v>#NUM!</v>
      </c>
      <c r="AG31" s="13"/>
      <c r="AH31" s="13"/>
      <c r="AI31" s="13"/>
      <c r="AJ31" s="13"/>
    </row>
    <row r="32">
      <c r="A32" s="7">
        <v>31.0</v>
      </c>
      <c r="B32" s="8">
        <v>55.0</v>
      </c>
      <c r="C32" s="7" t="s">
        <v>120</v>
      </c>
      <c r="D32" s="16" t="s">
        <v>173</v>
      </c>
      <c r="E32" s="7" t="s">
        <v>62</v>
      </c>
      <c r="F32" s="9">
        <v>45573.0</v>
      </c>
      <c r="G32" s="7" t="s">
        <v>28</v>
      </c>
      <c r="H32" s="8" t="s">
        <v>174</v>
      </c>
      <c r="I32" s="7">
        <v>1700000.0</v>
      </c>
      <c r="J32" s="7">
        <v>1700000.0</v>
      </c>
      <c r="K32" s="7" t="s">
        <v>85</v>
      </c>
      <c r="L32" s="7" t="s">
        <v>175</v>
      </c>
      <c r="M32" s="11" t="s">
        <v>176</v>
      </c>
      <c r="N32" s="12"/>
      <c r="O32" s="12"/>
      <c r="P32" s="7" t="s">
        <v>32</v>
      </c>
      <c r="Q32" s="12"/>
      <c r="R32" s="13"/>
      <c r="S32" s="13"/>
      <c r="T32" s="13"/>
      <c r="U32" s="13"/>
      <c r="V32" s="13"/>
      <c r="W32" s="7" t="str">
        <f t="shared" si="1"/>
        <v>01.09.2024</v>
      </c>
      <c r="X32" s="7" t="str">
        <f t="shared" si="2"/>
        <v>01.06.2024</v>
      </c>
      <c r="Y32" s="7" t="str">
        <f t="shared" si="3"/>
        <v>#NUM!</v>
      </c>
      <c r="Z32" s="14">
        <v>3.0</v>
      </c>
      <c r="AA32" s="14">
        <v>2.0</v>
      </c>
      <c r="AB32" s="13" t="str">
        <f t="shared" si="4"/>
        <v>#NUM!</v>
      </c>
      <c r="AC32" s="15" t="str">
        <f t="shared" si="5"/>
        <v>#NUM!</v>
      </c>
      <c r="AD32" s="13" t="str">
        <f t="shared" si="6"/>
        <v>#NUM!</v>
      </c>
      <c r="AE32" s="13" t="str">
        <f t="shared" si="7"/>
        <v>#NUM!</v>
      </c>
      <c r="AF32" s="13" t="str">
        <f t="shared" si="8"/>
        <v>#NUM!</v>
      </c>
      <c r="AG32" s="13"/>
      <c r="AH32" s="13"/>
      <c r="AI32" s="13"/>
      <c r="AJ32" s="13"/>
    </row>
    <row r="33">
      <c r="A33" s="10">
        <v>32.0</v>
      </c>
      <c r="B33" s="10">
        <v>31.0</v>
      </c>
      <c r="C33" s="22" t="s">
        <v>177</v>
      </c>
      <c r="D33" s="22" t="s">
        <v>178</v>
      </c>
      <c r="E33" s="10" t="s">
        <v>58</v>
      </c>
      <c r="F33" s="18">
        <v>45538.0</v>
      </c>
      <c r="G33" s="10" t="s">
        <v>28</v>
      </c>
      <c r="H33" s="10" t="s">
        <v>179</v>
      </c>
      <c r="I33" s="10">
        <v>2000000.0</v>
      </c>
      <c r="J33" s="10">
        <v>450000.0</v>
      </c>
      <c r="K33" s="10" t="s">
        <v>180</v>
      </c>
      <c r="L33" s="10" t="s">
        <v>181</v>
      </c>
      <c r="M33" s="19" t="s">
        <v>182</v>
      </c>
      <c r="N33" s="20"/>
      <c r="O33" s="20"/>
      <c r="P33" s="10" t="s">
        <v>72</v>
      </c>
      <c r="Q33" s="20"/>
      <c r="R33" s="21"/>
      <c r="S33" s="21"/>
      <c r="T33" s="21"/>
      <c r="U33" s="21"/>
      <c r="V33" s="21"/>
      <c r="W33" s="7" t="str">
        <f t="shared" si="1"/>
        <v>02.09.2024</v>
      </c>
      <c r="X33" s="7" t="str">
        <f t="shared" si="2"/>
        <v>02.05.2024</v>
      </c>
      <c r="Y33" s="7" t="str">
        <f t="shared" si="3"/>
        <v>#NUM!</v>
      </c>
      <c r="Z33" s="14">
        <v>3.0</v>
      </c>
      <c r="AA33" s="14">
        <v>2.0</v>
      </c>
      <c r="AB33" s="13" t="str">
        <f t="shared" si="4"/>
        <v>#NUM!</v>
      </c>
      <c r="AC33" s="15" t="str">
        <f t="shared" si="5"/>
        <v>#NUM!</v>
      </c>
      <c r="AD33" s="13" t="str">
        <f t="shared" si="6"/>
        <v>#NUM!</v>
      </c>
      <c r="AE33" s="13" t="str">
        <f t="shared" si="7"/>
        <v>#NUM!</v>
      </c>
      <c r="AF33" s="13" t="str">
        <f t="shared" si="8"/>
        <v>#NUM!</v>
      </c>
      <c r="AG33" s="21"/>
      <c r="AH33" s="21"/>
      <c r="AI33" s="21"/>
      <c r="AJ33" s="21"/>
    </row>
    <row r="34">
      <c r="A34" s="7">
        <v>33.0</v>
      </c>
      <c r="B34" s="8">
        <v>32.0</v>
      </c>
      <c r="C34" s="7" t="s">
        <v>183</v>
      </c>
      <c r="D34" s="7" t="s">
        <v>183</v>
      </c>
      <c r="E34" s="7" t="s">
        <v>62</v>
      </c>
      <c r="F34" s="9">
        <v>45538.0</v>
      </c>
      <c r="G34" s="7" t="s">
        <v>40</v>
      </c>
      <c r="H34" s="8" t="s">
        <v>184</v>
      </c>
      <c r="I34" s="7">
        <v>1000000.0</v>
      </c>
      <c r="J34" s="7">
        <v>1000000.0</v>
      </c>
      <c r="K34" s="7" t="s">
        <v>165</v>
      </c>
      <c r="L34" s="7" t="s">
        <v>42</v>
      </c>
      <c r="M34" s="11" t="s">
        <v>185</v>
      </c>
      <c r="N34" s="12"/>
      <c r="O34" s="12"/>
      <c r="P34" s="7" t="s">
        <v>76</v>
      </c>
      <c r="Q34" s="12"/>
      <c r="R34" s="13"/>
      <c r="S34" s="13"/>
      <c r="T34" s="13"/>
      <c r="U34" s="13"/>
      <c r="V34" s="13"/>
      <c r="W34" s="7" t="str">
        <f t="shared" si="1"/>
        <v>03.09.2024</v>
      </c>
      <c r="X34" s="7" t="str">
        <f t="shared" si="2"/>
        <v>31.03.2025</v>
      </c>
      <c r="Y34" s="7">
        <f t="shared" si="3"/>
        <v>29.85714286</v>
      </c>
      <c r="Z34" s="14">
        <v>3.0</v>
      </c>
      <c r="AA34" s="14">
        <v>2.0</v>
      </c>
      <c r="AB34" s="13">
        <f t="shared" si="4"/>
        <v>179.1428571</v>
      </c>
      <c r="AC34" s="15">
        <f t="shared" si="5"/>
        <v>209</v>
      </c>
      <c r="AD34" s="13">
        <f t="shared" si="6"/>
        <v>29.85714286</v>
      </c>
      <c r="AE34" s="13">
        <f t="shared" si="7"/>
        <v>179.1428571</v>
      </c>
      <c r="AF34" s="13">
        <f t="shared" si="8"/>
        <v>0</v>
      </c>
      <c r="AG34" s="13"/>
      <c r="AH34" s="13"/>
      <c r="AI34" s="13"/>
      <c r="AJ34" s="13"/>
    </row>
    <row r="35">
      <c r="A35" s="7">
        <v>34.0</v>
      </c>
      <c r="B35" s="8" t="s">
        <v>30</v>
      </c>
      <c r="C35" s="7" t="s">
        <v>186</v>
      </c>
      <c r="D35" s="7" t="s">
        <v>187</v>
      </c>
      <c r="E35" s="7" t="s">
        <v>27</v>
      </c>
      <c r="F35" s="9">
        <v>45540.0</v>
      </c>
      <c r="G35" s="7" t="s">
        <v>28</v>
      </c>
      <c r="H35" s="8" t="s">
        <v>188</v>
      </c>
      <c r="I35" s="7">
        <v>1800000.0</v>
      </c>
      <c r="J35" s="12"/>
      <c r="K35" s="7" t="s">
        <v>189</v>
      </c>
      <c r="L35" s="7" t="s">
        <v>190</v>
      </c>
      <c r="M35" s="29" t="s">
        <v>191</v>
      </c>
      <c r="N35" s="12"/>
      <c r="O35" s="12"/>
      <c r="P35" s="7" t="s">
        <v>76</v>
      </c>
      <c r="Q35" s="12"/>
      <c r="R35" s="13"/>
      <c r="S35" s="13"/>
      <c r="T35" s="13"/>
      <c r="U35" s="13"/>
      <c r="V35" s="13"/>
      <c r="W35" s="7" t="str">
        <f t="shared" si="1"/>
        <v>05.09.2024</v>
      </c>
      <c r="X35" s="7" t="str">
        <f t="shared" si="2"/>
        <v>05.05.2025</v>
      </c>
      <c r="Y35" s="7">
        <f t="shared" si="3"/>
        <v>34.57142857</v>
      </c>
      <c r="Z35" s="14">
        <v>3.0</v>
      </c>
      <c r="AA35" s="14">
        <v>2.0</v>
      </c>
      <c r="AB35" s="13">
        <f t="shared" si="4"/>
        <v>207.4285714</v>
      </c>
      <c r="AC35" s="15">
        <f t="shared" si="5"/>
        <v>242</v>
      </c>
      <c r="AD35" s="13">
        <f t="shared" si="6"/>
        <v>34.57142857</v>
      </c>
      <c r="AE35" s="13">
        <f t="shared" si="7"/>
        <v>207.4285714</v>
      </c>
      <c r="AF35" s="13">
        <f t="shared" si="8"/>
        <v>0</v>
      </c>
      <c r="AG35" s="13"/>
      <c r="AH35" s="13"/>
      <c r="AI35" s="13"/>
      <c r="AJ35" s="13"/>
    </row>
    <row r="36" ht="15.0" customHeight="1">
      <c r="A36" s="7">
        <v>35.0</v>
      </c>
      <c r="B36" s="8">
        <v>33.0</v>
      </c>
      <c r="C36" s="7" t="s">
        <v>192</v>
      </c>
      <c r="D36" s="7" t="s">
        <v>193</v>
      </c>
      <c r="E36" s="7" t="s">
        <v>58</v>
      </c>
      <c r="F36" s="9">
        <v>45541.0</v>
      </c>
      <c r="G36" s="7" t="s">
        <v>28</v>
      </c>
      <c r="H36" s="8" t="s">
        <v>194</v>
      </c>
      <c r="I36" s="7">
        <v>2000000.0</v>
      </c>
      <c r="J36" s="7">
        <v>2000000.0</v>
      </c>
      <c r="K36" s="7" t="s">
        <v>165</v>
      </c>
      <c r="L36" s="7" t="s">
        <v>42</v>
      </c>
      <c r="M36" s="11" t="s">
        <v>195</v>
      </c>
      <c r="N36" s="12"/>
      <c r="O36" s="12"/>
      <c r="P36" s="7" t="s">
        <v>32</v>
      </c>
      <c r="Q36" s="12"/>
      <c r="R36" s="13"/>
      <c r="S36" s="13"/>
      <c r="T36" s="13"/>
      <c r="U36" s="13"/>
      <c r="V36" s="13"/>
      <c r="W36" s="7" t="str">
        <f t="shared" si="1"/>
        <v>09.09.2024</v>
      </c>
      <c r="X36" s="7" t="str">
        <f t="shared" si="2"/>
        <v>09.06.2025</v>
      </c>
      <c r="Y36" s="7">
        <f t="shared" si="3"/>
        <v>39</v>
      </c>
      <c r="Z36" s="14">
        <v>3.0</v>
      </c>
      <c r="AA36" s="14">
        <v>2.0</v>
      </c>
      <c r="AB36" s="13">
        <f t="shared" si="4"/>
        <v>234</v>
      </c>
      <c r="AC36" s="15">
        <f t="shared" si="5"/>
        <v>273</v>
      </c>
      <c r="AD36" s="13">
        <f t="shared" si="6"/>
        <v>39</v>
      </c>
      <c r="AE36" s="13">
        <f t="shared" si="7"/>
        <v>234</v>
      </c>
      <c r="AF36" s="13">
        <f t="shared" si="8"/>
        <v>0</v>
      </c>
      <c r="AG36" s="13"/>
      <c r="AH36" s="13"/>
      <c r="AI36" s="13"/>
      <c r="AJ36" s="13"/>
    </row>
    <row r="37">
      <c r="A37" s="7">
        <v>36.0</v>
      </c>
      <c r="B37" s="8">
        <v>35.0</v>
      </c>
      <c r="C37" s="7" t="s">
        <v>196</v>
      </c>
      <c r="D37" s="7" t="s">
        <v>197</v>
      </c>
      <c r="E37" s="7" t="s">
        <v>62</v>
      </c>
      <c r="F37" s="9">
        <v>45545.0</v>
      </c>
      <c r="G37" s="7" t="s">
        <v>28</v>
      </c>
      <c r="H37" s="8" t="s">
        <v>198</v>
      </c>
      <c r="I37" s="7">
        <v>2000000.0</v>
      </c>
      <c r="J37" s="7">
        <v>2000000.0</v>
      </c>
      <c r="K37" s="7" t="s">
        <v>199</v>
      </c>
      <c r="L37" s="7" t="s">
        <v>42</v>
      </c>
      <c r="M37" s="11" t="s">
        <v>200</v>
      </c>
      <c r="N37" s="12"/>
      <c r="O37" s="12"/>
      <c r="P37" s="7" t="s">
        <v>32</v>
      </c>
      <c r="Q37" s="12"/>
      <c r="R37" s="13"/>
      <c r="S37" s="13"/>
      <c r="T37" s="13"/>
      <c r="U37" s="13"/>
      <c r="V37" s="13"/>
      <c r="W37" s="7" t="str">
        <f t="shared" si="1"/>
        <v>11.09.2024</v>
      </c>
      <c r="X37" s="7" t="str">
        <f t="shared" si="2"/>
        <v>11.06.2025</v>
      </c>
      <c r="Y37" s="7">
        <f t="shared" si="3"/>
        <v>39</v>
      </c>
      <c r="Z37" s="14">
        <v>3.0</v>
      </c>
      <c r="AA37" s="14">
        <v>2.0</v>
      </c>
      <c r="AB37" s="13">
        <f t="shared" si="4"/>
        <v>234</v>
      </c>
      <c r="AC37" s="15">
        <f t="shared" si="5"/>
        <v>273</v>
      </c>
      <c r="AD37" s="13">
        <f t="shared" si="6"/>
        <v>39</v>
      </c>
      <c r="AE37" s="13">
        <f t="shared" si="7"/>
        <v>234</v>
      </c>
      <c r="AF37" s="13">
        <f t="shared" si="8"/>
        <v>0</v>
      </c>
      <c r="AG37" s="13"/>
      <c r="AH37" s="13"/>
      <c r="AI37" s="13"/>
      <c r="AJ37" s="13"/>
    </row>
    <row r="38">
      <c r="A38" s="7">
        <v>37.0</v>
      </c>
      <c r="B38" s="8">
        <v>36.0</v>
      </c>
      <c r="C38" s="7" t="s">
        <v>201</v>
      </c>
      <c r="D38" s="7" t="s">
        <v>202</v>
      </c>
      <c r="E38" s="7" t="s">
        <v>62</v>
      </c>
      <c r="F38" s="9">
        <v>45545.0</v>
      </c>
      <c r="G38" s="7" t="s">
        <v>28</v>
      </c>
      <c r="H38" s="8" t="s">
        <v>198</v>
      </c>
      <c r="I38" s="7">
        <v>2000000.0</v>
      </c>
      <c r="J38" s="7">
        <v>2000000.0</v>
      </c>
      <c r="K38" s="7" t="s">
        <v>165</v>
      </c>
      <c r="L38" s="7" t="s">
        <v>42</v>
      </c>
      <c r="M38" s="11" t="s">
        <v>203</v>
      </c>
      <c r="N38" s="12"/>
      <c r="O38" s="12"/>
      <c r="P38" s="7" t="s">
        <v>32</v>
      </c>
      <c r="Q38" s="12"/>
      <c r="R38" s="13"/>
      <c r="S38" s="13"/>
      <c r="T38" s="13"/>
      <c r="U38" s="13"/>
      <c r="V38" s="13"/>
      <c r="W38" s="7" t="str">
        <f t="shared" si="1"/>
        <v>11.09.2024</v>
      </c>
      <c r="X38" s="7" t="str">
        <f t="shared" si="2"/>
        <v>11.06.2025</v>
      </c>
      <c r="Y38" s="7">
        <f t="shared" si="3"/>
        <v>39</v>
      </c>
      <c r="Z38" s="14">
        <v>3.0</v>
      </c>
      <c r="AA38" s="14">
        <v>2.0</v>
      </c>
      <c r="AB38" s="13">
        <f t="shared" si="4"/>
        <v>234</v>
      </c>
      <c r="AC38" s="15">
        <f t="shared" si="5"/>
        <v>273</v>
      </c>
      <c r="AD38" s="13">
        <f t="shared" si="6"/>
        <v>39</v>
      </c>
      <c r="AE38" s="13">
        <f t="shared" si="7"/>
        <v>234</v>
      </c>
      <c r="AF38" s="13">
        <f t="shared" si="8"/>
        <v>0</v>
      </c>
      <c r="AG38" s="13"/>
      <c r="AH38" s="13"/>
      <c r="AI38" s="13"/>
      <c r="AJ38" s="13"/>
    </row>
    <row r="39">
      <c r="A39" s="7">
        <v>38.0</v>
      </c>
      <c r="B39" s="8">
        <v>68.0</v>
      </c>
      <c r="C39" s="16" t="s">
        <v>204</v>
      </c>
      <c r="D39" s="7" t="s">
        <v>205</v>
      </c>
      <c r="E39" s="7" t="s">
        <v>27</v>
      </c>
      <c r="F39" s="9">
        <v>45551.0</v>
      </c>
      <c r="G39" s="7" t="s">
        <v>28</v>
      </c>
      <c r="H39" s="8" t="s">
        <v>206</v>
      </c>
      <c r="I39" s="7">
        <v>1400000.0</v>
      </c>
      <c r="J39" s="7">
        <v>1400000.0</v>
      </c>
      <c r="K39" s="7" t="s">
        <v>165</v>
      </c>
      <c r="L39" s="7" t="s">
        <v>42</v>
      </c>
      <c r="M39" s="11" t="s">
        <v>207</v>
      </c>
      <c r="N39" s="7"/>
      <c r="O39" s="12"/>
      <c r="P39" s="7" t="s">
        <v>76</v>
      </c>
      <c r="Q39" s="12"/>
      <c r="R39" s="13"/>
      <c r="S39" s="13"/>
      <c r="T39" s="13"/>
      <c r="U39" s="13"/>
      <c r="V39" s="13"/>
      <c r="W39" s="7" t="str">
        <f t="shared" si="1"/>
        <v>17.09.2024</v>
      </c>
      <c r="X39" s="7" t="str">
        <f t="shared" si="2"/>
        <v>17.06.2025</v>
      </c>
      <c r="Y39" s="7">
        <f t="shared" si="3"/>
        <v>39</v>
      </c>
      <c r="Z39" s="14">
        <v>3.0</v>
      </c>
      <c r="AA39" s="14">
        <v>2.0</v>
      </c>
      <c r="AB39" s="13">
        <f t="shared" si="4"/>
        <v>234</v>
      </c>
      <c r="AC39" s="15">
        <f t="shared" si="5"/>
        <v>273</v>
      </c>
      <c r="AD39" s="13">
        <f t="shared" si="6"/>
        <v>39</v>
      </c>
      <c r="AE39" s="13">
        <f t="shared" si="7"/>
        <v>234</v>
      </c>
      <c r="AF39" s="13">
        <f t="shared" si="8"/>
        <v>0</v>
      </c>
      <c r="AG39" s="13"/>
      <c r="AH39" s="13"/>
      <c r="AI39" s="13"/>
      <c r="AJ39" s="13"/>
    </row>
    <row r="40">
      <c r="A40" s="7">
        <v>39.0</v>
      </c>
      <c r="B40" s="8">
        <v>36.0</v>
      </c>
      <c r="C40" s="7" t="s">
        <v>208</v>
      </c>
      <c r="D40" s="7" t="s">
        <v>209</v>
      </c>
      <c r="E40" s="7" t="s">
        <v>27</v>
      </c>
      <c r="F40" s="9">
        <v>45549.0</v>
      </c>
      <c r="G40" s="7" t="s">
        <v>28</v>
      </c>
      <c r="H40" s="8" t="s">
        <v>210</v>
      </c>
      <c r="I40" s="7">
        <v>1900000.0</v>
      </c>
      <c r="J40" s="7">
        <v>1900000.0</v>
      </c>
      <c r="K40" s="7" t="s">
        <v>165</v>
      </c>
      <c r="L40" s="7" t="s">
        <v>42</v>
      </c>
      <c r="M40" s="11" t="s">
        <v>211</v>
      </c>
      <c r="N40" s="12"/>
      <c r="O40" s="12"/>
      <c r="P40" s="7" t="s">
        <v>212</v>
      </c>
      <c r="Q40" s="12"/>
      <c r="R40" s="13"/>
      <c r="S40" s="13"/>
      <c r="T40" s="13"/>
      <c r="U40" s="13"/>
      <c r="V40" s="13"/>
      <c r="W40" s="7" t="str">
        <f t="shared" si="1"/>
        <v>16.09.2024</v>
      </c>
      <c r="X40" s="7" t="str">
        <f t="shared" si="2"/>
        <v>16.08.2025</v>
      </c>
      <c r="Y40" s="7">
        <f t="shared" si="3"/>
        <v>47.71428571</v>
      </c>
      <c r="Z40" s="14">
        <v>3.0</v>
      </c>
      <c r="AA40" s="14">
        <v>2.0</v>
      </c>
      <c r="AB40" s="13">
        <f t="shared" si="4"/>
        <v>286.2857143</v>
      </c>
      <c r="AC40" s="15">
        <f t="shared" si="5"/>
        <v>334</v>
      </c>
      <c r="AD40" s="13">
        <f t="shared" si="6"/>
        <v>47.71428571</v>
      </c>
      <c r="AE40" s="13">
        <f t="shared" si="7"/>
        <v>286.2857143</v>
      </c>
      <c r="AF40" s="13">
        <f t="shared" si="8"/>
        <v>0</v>
      </c>
      <c r="AG40" s="13"/>
      <c r="AH40" s="13"/>
      <c r="AI40" s="13"/>
      <c r="AJ40" s="13"/>
    </row>
    <row r="41">
      <c r="A41" s="7">
        <v>40.0</v>
      </c>
      <c r="B41" s="8">
        <v>38.0</v>
      </c>
      <c r="C41" s="7" t="s">
        <v>213</v>
      </c>
      <c r="D41" s="7" t="s">
        <v>214</v>
      </c>
      <c r="E41" s="7" t="s">
        <v>27</v>
      </c>
      <c r="F41" s="9">
        <v>45552.0</v>
      </c>
      <c r="G41" s="7" t="s">
        <v>28</v>
      </c>
      <c r="H41" s="8" t="s">
        <v>215</v>
      </c>
      <c r="I41" s="7">
        <v>1400000.0</v>
      </c>
      <c r="J41" s="7">
        <v>1400000.0</v>
      </c>
      <c r="K41" s="7" t="s">
        <v>216</v>
      </c>
      <c r="L41" s="7" t="s">
        <v>217</v>
      </c>
      <c r="M41" s="29" t="s">
        <v>218</v>
      </c>
      <c r="N41" s="12"/>
      <c r="O41" s="12"/>
      <c r="P41" s="7" t="s">
        <v>219</v>
      </c>
      <c r="Q41" s="12"/>
      <c r="R41" s="13"/>
      <c r="S41" s="13"/>
      <c r="T41" s="13"/>
      <c r="U41" s="13"/>
      <c r="V41" s="13"/>
      <c r="W41" s="7" t="str">
        <f t="shared" si="1"/>
        <v>17.09.2024</v>
      </c>
      <c r="X41" s="7" t="str">
        <f t="shared" si="2"/>
        <v>30.01.2025</v>
      </c>
      <c r="Y41" s="7">
        <f t="shared" si="3"/>
        <v>19.28571429</v>
      </c>
      <c r="Z41" s="14">
        <v>3.0</v>
      </c>
      <c r="AA41" s="14">
        <v>2.0</v>
      </c>
      <c r="AB41" s="13">
        <f t="shared" si="4"/>
        <v>115.7142857</v>
      </c>
      <c r="AC41" s="15">
        <f t="shared" si="5"/>
        <v>135</v>
      </c>
      <c r="AD41" s="13">
        <f t="shared" si="6"/>
        <v>19.28571429</v>
      </c>
      <c r="AE41" s="13">
        <f t="shared" si="7"/>
        <v>115.7142857</v>
      </c>
      <c r="AF41" s="13">
        <f t="shared" si="8"/>
        <v>0</v>
      </c>
      <c r="AG41" s="13"/>
      <c r="AH41" s="13"/>
      <c r="AI41" s="13"/>
      <c r="AJ41" s="13"/>
    </row>
    <row r="42">
      <c r="A42" s="7">
        <v>41.0</v>
      </c>
      <c r="B42" s="8">
        <v>39.0</v>
      </c>
      <c r="C42" s="16" t="s">
        <v>220</v>
      </c>
      <c r="D42" s="7" t="s">
        <v>221</v>
      </c>
      <c r="E42" s="7" t="s">
        <v>58</v>
      </c>
      <c r="F42" s="9">
        <v>45552.0</v>
      </c>
      <c r="G42" s="7" t="s">
        <v>28</v>
      </c>
      <c r="H42" s="8" t="s">
        <v>222</v>
      </c>
      <c r="I42" s="7">
        <v>2000000.0</v>
      </c>
      <c r="J42" s="7">
        <v>2000000.0</v>
      </c>
      <c r="K42" s="7" t="s">
        <v>165</v>
      </c>
      <c r="L42" s="7" t="s">
        <v>42</v>
      </c>
      <c r="M42" s="11" t="s">
        <v>223</v>
      </c>
      <c r="N42" s="12"/>
      <c r="O42" s="12"/>
      <c r="P42" s="7" t="s">
        <v>76</v>
      </c>
      <c r="Q42" s="12"/>
      <c r="R42" s="13"/>
      <c r="S42" s="13"/>
      <c r="T42" s="13"/>
      <c r="U42" s="13"/>
      <c r="V42" s="13"/>
      <c r="W42" s="7" t="str">
        <f t="shared" si="1"/>
        <v>18.09.2024</v>
      </c>
      <c r="X42" s="7" t="str">
        <f t="shared" si="2"/>
        <v>18.06.2025</v>
      </c>
      <c r="Y42" s="7">
        <f t="shared" si="3"/>
        <v>39</v>
      </c>
      <c r="Z42" s="14">
        <v>3.0</v>
      </c>
      <c r="AA42" s="14">
        <v>2.0</v>
      </c>
      <c r="AB42" s="13">
        <f t="shared" si="4"/>
        <v>234</v>
      </c>
      <c r="AC42" s="15">
        <f t="shared" si="5"/>
        <v>273</v>
      </c>
      <c r="AD42" s="13">
        <f t="shared" si="6"/>
        <v>39</v>
      </c>
      <c r="AE42" s="13">
        <f t="shared" si="7"/>
        <v>234</v>
      </c>
      <c r="AF42" s="13">
        <f t="shared" si="8"/>
        <v>0</v>
      </c>
      <c r="AG42" s="13"/>
      <c r="AH42" s="13"/>
      <c r="AI42" s="13"/>
      <c r="AJ42" s="13"/>
    </row>
    <row r="43">
      <c r="A43" s="7">
        <v>42.0</v>
      </c>
      <c r="B43" s="8">
        <v>41.0</v>
      </c>
      <c r="C43" s="7" t="s">
        <v>224</v>
      </c>
      <c r="D43" s="7" t="s">
        <v>225</v>
      </c>
      <c r="E43" s="7" t="s">
        <v>58</v>
      </c>
      <c r="F43" s="9">
        <v>45556.0</v>
      </c>
      <c r="G43" s="7" t="s">
        <v>28</v>
      </c>
      <c r="H43" s="8" t="s">
        <v>226</v>
      </c>
      <c r="I43" s="7">
        <v>2000000.0</v>
      </c>
      <c r="J43" s="7">
        <v>2000000.0</v>
      </c>
      <c r="K43" s="7" t="s">
        <v>165</v>
      </c>
      <c r="L43" s="7" t="s">
        <v>227</v>
      </c>
      <c r="M43" s="11" t="s">
        <v>228</v>
      </c>
      <c r="N43" s="12"/>
      <c r="O43" s="12"/>
      <c r="P43" s="7" t="s">
        <v>76</v>
      </c>
      <c r="Q43" s="12"/>
      <c r="R43" s="13"/>
      <c r="S43" s="13"/>
      <c r="T43" s="13"/>
      <c r="U43" s="13"/>
      <c r="V43" s="13"/>
      <c r="W43" s="7" t="str">
        <f t="shared" si="1"/>
        <v>23.09.2024</v>
      </c>
      <c r="X43" s="7" t="str">
        <f t="shared" si="2"/>
        <v>23.06.2025</v>
      </c>
      <c r="Y43" s="7">
        <f t="shared" si="3"/>
        <v>39</v>
      </c>
      <c r="Z43" s="14">
        <v>3.0</v>
      </c>
      <c r="AA43" s="14">
        <v>2.0</v>
      </c>
      <c r="AB43" s="13">
        <f t="shared" si="4"/>
        <v>234</v>
      </c>
      <c r="AC43" s="15">
        <f t="shared" si="5"/>
        <v>273</v>
      </c>
      <c r="AD43" s="13">
        <f t="shared" si="6"/>
        <v>39</v>
      </c>
      <c r="AE43" s="13">
        <f t="shared" si="7"/>
        <v>234</v>
      </c>
      <c r="AF43" s="13">
        <f t="shared" si="8"/>
        <v>0</v>
      </c>
      <c r="AG43" s="13"/>
      <c r="AH43" s="13"/>
      <c r="AI43" s="13"/>
      <c r="AJ43" s="13"/>
    </row>
    <row r="44">
      <c r="A44" s="7">
        <v>43.0</v>
      </c>
      <c r="B44" s="8" t="s">
        <v>30</v>
      </c>
      <c r="C44" s="7" t="s">
        <v>229</v>
      </c>
      <c r="D44" s="7" t="s">
        <v>230</v>
      </c>
      <c r="E44" s="7" t="s">
        <v>58</v>
      </c>
      <c r="F44" s="9">
        <v>45556.0</v>
      </c>
      <c r="G44" s="7" t="s">
        <v>30</v>
      </c>
      <c r="H44" s="8" t="s">
        <v>30</v>
      </c>
      <c r="I44" s="7" t="s">
        <v>30</v>
      </c>
      <c r="J44" s="7">
        <v>1450000.0</v>
      </c>
      <c r="K44" s="7" t="s">
        <v>165</v>
      </c>
      <c r="L44" s="7" t="s">
        <v>231</v>
      </c>
      <c r="M44" s="11" t="s">
        <v>232</v>
      </c>
      <c r="N44" s="7" t="s">
        <v>233</v>
      </c>
      <c r="O44" s="12"/>
      <c r="P44" s="12"/>
      <c r="Q44" s="12"/>
      <c r="R44" s="13"/>
      <c r="S44" s="13"/>
      <c r="T44" s="13"/>
      <c r="U44" s="13"/>
      <c r="V44" s="13"/>
      <c r="W44" s="7" t="str">
        <f t="shared" si="1"/>
        <v>#VALUE!</v>
      </c>
      <c r="X44" s="7" t="str">
        <f t="shared" si="2"/>
        <v>#VALUE!</v>
      </c>
      <c r="Y44" s="7" t="str">
        <f t="shared" si="3"/>
        <v>#VALUE!</v>
      </c>
      <c r="Z44" s="14">
        <v>3.0</v>
      </c>
      <c r="AA44" s="14">
        <v>2.0</v>
      </c>
      <c r="AB44" s="13" t="str">
        <f t="shared" si="4"/>
        <v>#VALUE!</v>
      </c>
      <c r="AC44" s="15" t="str">
        <f t="shared" si="5"/>
        <v>#VALUE!</v>
      </c>
      <c r="AD44" s="13" t="str">
        <f t="shared" si="6"/>
        <v>#VALUE!</v>
      </c>
      <c r="AE44" s="13" t="str">
        <f t="shared" si="7"/>
        <v>#VALUE!</v>
      </c>
      <c r="AF44" s="13" t="str">
        <f t="shared" si="8"/>
        <v>#VALUE!</v>
      </c>
      <c r="AG44" s="13"/>
      <c r="AH44" s="13"/>
      <c r="AI44" s="13"/>
      <c r="AJ44" s="13"/>
    </row>
    <row r="45">
      <c r="A45" s="7">
        <v>44.0</v>
      </c>
      <c r="B45" s="8">
        <v>40.0</v>
      </c>
      <c r="C45" s="7" t="s">
        <v>234</v>
      </c>
      <c r="D45" s="7" t="s">
        <v>235</v>
      </c>
      <c r="E45" s="7" t="s">
        <v>62</v>
      </c>
      <c r="F45" s="9">
        <v>45556.0</v>
      </c>
      <c r="G45" s="7" t="s">
        <v>28</v>
      </c>
      <c r="H45" s="8" t="s">
        <v>226</v>
      </c>
      <c r="I45" s="7">
        <v>2000000.0</v>
      </c>
      <c r="J45" s="7">
        <v>2000000.0</v>
      </c>
      <c r="K45" s="7" t="s">
        <v>165</v>
      </c>
      <c r="L45" s="7" t="s">
        <v>236</v>
      </c>
      <c r="M45" s="11" t="s">
        <v>237</v>
      </c>
      <c r="N45" s="12"/>
      <c r="O45" s="12"/>
      <c r="P45" s="7" t="s">
        <v>32</v>
      </c>
      <c r="Q45" s="12"/>
      <c r="R45" s="13"/>
      <c r="S45" s="13"/>
      <c r="T45" s="13"/>
      <c r="U45" s="13"/>
      <c r="V45" s="13"/>
      <c r="W45" s="7" t="str">
        <f t="shared" si="1"/>
        <v>23.09.2024</v>
      </c>
      <c r="X45" s="7" t="str">
        <f t="shared" si="2"/>
        <v>23.06.2025</v>
      </c>
      <c r="Y45" s="7">
        <f t="shared" si="3"/>
        <v>39</v>
      </c>
      <c r="Z45" s="14">
        <v>3.0</v>
      </c>
      <c r="AA45" s="14">
        <v>2.0</v>
      </c>
      <c r="AB45" s="13">
        <f t="shared" si="4"/>
        <v>234</v>
      </c>
      <c r="AC45" s="15">
        <f t="shared" si="5"/>
        <v>273</v>
      </c>
      <c r="AD45" s="13">
        <f t="shared" si="6"/>
        <v>39</v>
      </c>
      <c r="AE45" s="13">
        <f t="shared" si="7"/>
        <v>234</v>
      </c>
      <c r="AF45" s="13">
        <f t="shared" si="8"/>
        <v>0</v>
      </c>
      <c r="AG45" s="13"/>
      <c r="AH45" s="13"/>
      <c r="AI45" s="13"/>
      <c r="AJ45" s="13"/>
    </row>
    <row r="46">
      <c r="A46" s="10">
        <v>45.0</v>
      </c>
      <c r="B46" s="8">
        <v>41.0</v>
      </c>
      <c r="C46" s="10" t="s">
        <v>238</v>
      </c>
      <c r="D46" s="10" t="s">
        <v>239</v>
      </c>
      <c r="E46" s="10" t="s">
        <v>62</v>
      </c>
      <c r="F46" s="18">
        <v>45558.0</v>
      </c>
      <c r="G46" s="10" t="s">
        <v>28</v>
      </c>
      <c r="H46" s="10" t="s">
        <v>240</v>
      </c>
      <c r="I46" s="10">
        <v>1800000.0</v>
      </c>
      <c r="J46" s="20"/>
      <c r="K46" s="10" t="s">
        <v>165</v>
      </c>
      <c r="L46" s="10" t="s">
        <v>241</v>
      </c>
      <c r="M46" s="19" t="s">
        <v>242</v>
      </c>
      <c r="N46" s="10" t="s">
        <v>243</v>
      </c>
      <c r="O46" s="20"/>
      <c r="P46" s="20"/>
      <c r="Q46" s="20"/>
      <c r="R46" s="21"/>
      <c r="S46" s="21"/>
      <c r="T46" s="21"/>
      <c r="U46" s="21"/>
      <c r="V46" s="21"/>
      <c r="W46" s="7" t="str">
        <f t="shared" si="1"/>
        <v>02.10.2024</v>
      </c>
      <c r="X46" s="7" t="str">
        <f t="shared" si="2"/>
        <v>02.07.2025</v>
      </c>
      <c r="Y46" s="7">
        <f t="shared" si="3"/>
        <v>39</v>
      </c>
      <c r="Z46" s="14">
        <v>3.0</v>
      </c>
      <c r="AA46" s="14">
        <v>2.0</v>
      </c>
      <c r="AB46" s="13">
        <f t="shared" si="4"/>
        <v>234</v>
      </c>
      <c r="AC46" s="15">
        <f t="shared" si="5"/>
        <v>273</v>
      </c>
      <c r="AD46" s="13">
        <f t="shared" si="6"/>
        <v>39</v>
      </c>
      <c r="AE46" s="13">
        <f t="shared" si="7"/>
        <v>234</v>
      </c>
      <c r="AF46" s="13">
        <f t="shared" si="8"/>
        <v>0</v>
      </c>
      <c r="AG46" s="21"/>
      <c r="AH46" s="21"/>
      <c r="AI46" s="21"/>
      <c r="AJ46" s="21"/>
    </row>
    <row r="47">
      <c r="A47" s="7">
        <v>46.0</v>
      </c>
      <c r="B47" s="8">
        <v>44.0</v>
      </c>
      <c r="C47" s="7" t="s">
        <v>244</v>
      </c>
      <c r="D47" s="7" t="s">
        <v>245</v>
      </c>
      <c r="E47" s="7" t="s">
        <v>27</v>
      </c>
      <c r="F47" s="9">
        <v>45558.0</v>
      </c>
      <c r="G47" s="7" t="s">
        <v>28</v>
      </c>
      <c r="H47" s="8" t="s">
        <v>246</v>
      </c>
      <c r="I47" s="7">
        <v>2000000.0</v>
      </c>
      <c r="J47" s="7">
        <v>2000000.0</v>
      </c>
      <c r="K47" s="7" t="s">
        <v>247</v>
      </c>
      <c r="L47" s="7" t="s">
        <v>42</v>
      </c>
      <c r="M47" s="11" t="s">
        <v>248</v>
      </c>
      <c r="N47" s="12"/>
      <c r="O47" s="12"/>
      <c r="P47" s="7" t="s">
        <v>76</v>
      </c>
      <c r="Q47" s="12"/>
      <c r="R47" s="13"/>
      <c r="S47" s="13"/>
      <c r="T47" s="13"/>
      <c r="U47" s="13"/>
      <c r="V47" s="13"/>
      <c r="W47" s="7" t="str">
        <f t="shared" si="1"/>
        <v>24.09.2024</v>
      </c>
      <c r="X47" s="7" t="str">
        <f t="shared" si="2"/>
        <v>24.06.2025</v>
      </c>
      <c r="Y47" s="7">
        <f t="shared" si="3"/>
        <v>39</v>
      </c>
      <c r="Z47" s="14">
        <v>3.0</v>
      </c>
      <c r="AA47" s="14">
        <v>2.0</v>
      </c>
      <c r="AB47" s="13">
        <f t="shared" si="4"/>
        <v>234</v>
      </c>
      <c r="AC47" s="15">
        <f t="shared" si="5"/>
        <v>273</v>
      </c>
      <c r="AD47" s="13">
        <f t="shared" si="6"/>
        <v>39</v>
      </c>
      <c r="AE47" s="13">
        <f t="shared" si="7"/>
        <v>234</v>
      </c>
      <c r="AF47" s="13">
        <f t="shared" si="8"/>
        <v>0</v>
      </c>
      <c r="AG47" s="13"/>
      <c r="AH47" s="13"/>
      <c r="AI47" s="13"/>
      <c r="AJ47" s="13"/>
    </row>
    <row r="48">
      <c r="A48" s="7">
        <v>47.0</v>
      </c>
      <c r="B48" s="8">
        <v>46.0</v>
      </c>
      <c r="C48" s="7" t="s">
        <v>249</v>
      </c>
      <c r="D48" s="7" t="s">
        <v>250</v>
      </c>
      <c r="E48" s="7" t="s">
        <v>27</v>
      </c>
      <c r="F48" s="9">
        <v>45558.0</v>
      </c>
      <c r="G48" s="7" t="s">
        <v>28</v>
      </c>
      <c r="H48" s="8" t="s">
        <v>246</v>
      </c>
      <c r="I48" s="7">
        <v>2000000.0</v>
      </c>
      <c r="J48" s="7">
        <v>2000000.0</v>
      </c>
      <c r="K48" s="7" t="s">
        <v>165</v>
      </c>
      <c r="L48" s="7" t="s">
        <v>251</v>
      </c>
      <c r="M48" s="11" t="s">
        <v>252</v>
      </c>
      <c r="N48" s="12"/>
      <c r="O48" s="12"/>
      <c r="P48" s="7" t="s">
        <v>32</v>
      </c>
      <c r="Q48" s="12"/>
      <c r="R48" s="13"/>
      <c r="S48" s="13"/>
      <c r="T48" s="13"/>
      <c r="U48" s="13"/>
      <c r="V48" s="13"/>
      <c r="W48" s="7" t="str">
        <f t="shared" si="1"/>
        <v>24.09.2024</v>
      </c>
      <c r="X48" s="7" t="str">
        <f t="shared" si="2"/>
        <v>24.06.2025</v>
      </c>
      <c r="Y48" s="7">
        <f t="shared" si="3"/>
        <v>39</v>
      </c>
      <c r="Z48" s="14">
        <v>3.0</v>
      </c>
      <c r="AA48" s="14">
        <v>2.0</v>
      </c>
      <c r="AB48" s="13">
        <f t="shared" si="4"/>
        <v>234</v>
      </c>
      <c r="AC48" s="15">
        <f t="shared" si="5"/>
        <v>273</v>
      </c>
      <c r="AD48" s="13">
        <f t="shared" si="6"/>
        <v>39</v>
      </c>
      <c r="AE48" s="13">
        <f t="shared" si="7"/>
        <v>234</v>
      </c>
      <c r="AF48" s="13">
        <f t="shared" si="8"/>
        <v>0</v>
      </c>
      <c r="AG48" s="13"/>
      <c r="AH48" s="13"/>
      <c r="AI48" s="13"/>
      <c r="AJ48" s="13"/>
    </row>
    <row r="49">
      <c r="A49" s="10">
        <v>48.0</v>
      </c>
      <c r="B49" s="10" t="s">
        <v>30</v>
      </c>
      <c r="C49" s="10" t="s">
        <v>253</v>
      </c>
      <c r="D49" s="10" t="s">
        <v>254</v>
      </c>
      <c r="E49" s="10" t="s">
        <v>27</v>
      </c>
      <c r="F49" s="18">
        <v>45561.0</v>
      </c>
      <c r="G49" s="10" t="s">
        <v>255</v>
      </c>
      <c r="H49" s="10" t="s">
        <v>30</v>
      </c>
      <c r="I49" s="10">
        <v>500000.0</v>
      </c>
      <c r="J49" s="10">
        <v>500000.0</v>
      </c>
      <c r="K49" s="10" t="s">
        <v>256</v>
      </c>
      <c r="L49" s="10" t="s">
        <v>257</v>
      </c>
      <c r="M49" s="30" t="s">
        <v>258</v>
      </c>
      <c r="N49" s="10" t="s">
        <v>259</v>
      </c>
      <c r="O49" s="10" t="s">
        <v>260</v>
      </c>
      <c r="P49" s="20"/>
      <c r="Q49" s="20"/>
      <c r="R49" s="21"/>
      <c r="S49" s="21"/>
      <c r="T49" s="21"/>
      <c r="U49" s="21"/>
      <c r="V49" s="21"/>
      <c r="W49" s="7" t="str">
        <f t="shared" si="1"/>
        <v>#VALUE!</v>
      </c>
      <c r="X49" s="7" t="str">
        <f t="shared" si="2"/>
        <v>#VALUE!</v>
      </c>
      <c r="Y49" s="7" t="str">
        <f t="shared" si="3"/>
        <v>#VALUE!</v>
      </c>
      <c r="Z49" s="14">
        <v>3.0</v>
      </c>
      <c r="AA49" s="14">
        <v>2.0</v>
      </c>
      <c r="AB49" s="13" t="str">
        <f t="shared" si="4"/>
        <v>#VALUE!</v>
      </c>
      <c r="AC49" s="15" t="str">
        <f t="shared" si="5"/>
        <v>#VALUE!</v>
      </c>
      <c r="AD49" s="13" t="str">
        <f t="shared" si="6"/>
        <v>#VALUE!</v>
      </c>
      <c r="AE49" s="13" t="str">
        <f t="shared" si="7"/>
        <v>#VALUE!</v>
      </c>
      <c r="AF49" s="13" t="str">
        <f t="shared" si="8"/>
        <v>#VALUE!</v>
      </c>
      <c r="AG49" s="21"/>
      <c r="AH49" s="21"/>
      <c r="AI49" s="21"/>
      <c r="AJ49" s="21"/>
    </row>
    <row r="50">
      <c r="A50" s="7">
        <v>49.0</v>
      </c>
      <c r="B50" s="8">
        <v>48.0</v>
      </c>
      <c r="C50" s="16" t="s">
        <v>261</v>
      </c>
      <c r="D50" s="7" t="s">
        <v>262</v>
      </c>
      <c r="E50" s="7" t="s">
        <v>62</v>
      </c>
      <c r="F50" s="9">
        <v>45563.0</v>
      </c>
      <c r="G50" s="7" t="s">
        <v>28</v>
      </c>
      <c r="H50" s="8" t="s">
        <v>263</v>
      </c>
      <c r="I50" s="7">
        <v>2000000.0</v>
      </c>
      <c r="J50" s="7">
        <v>2000000.0</v>
      </c>
      <c r="K50" s="7" t="s">
        <v>264</v>
      </c>
      <c r="L50" s="7" t="s">
        <v>42</v>
      </c>
      <c r="M50" s="11" t="s">
        <v>265</v>
      </c>
      <c r="N50" s="12"/>
      <c r="O50" s="12"/>
      <c r="P50" s="7" t="s">
        <v>51</v>
      </c>
      <c r="Q50" s="12"/>
      <c r="R50" s="13"/>
      <c r="S50" s="13"/>
      <c r="T50" s="13"/>
      <c r="U50" s="13"/>
      <c r="V50" s="13"/>
      <c r="W50" s="7" t="str">
        <f t="shared" si="1"/>
        <v>30.09.2024</v>
      </c>
      <c r="X50" s="7" t="str">
        <f t="shared" si="2"/>
        <v>30.06.2025</v>
      </c>
      <c r="Y50" s="7">
        <f t="shared" si="3"/>
        <v>39</v>
      </c>
      <c r="Z50" s="14">
        <v>3.0</v>
      </c>
      <c r="AA50" s="14">
        <v>2.0</v>
      </c>
      <c r="AB50" s="13">
        <f t="shared" si="4"/>
        <v>234</v>
      </c>
      <c r="AC50" s="15">
        <f t="shared" si="5"/>
        <v>273</v>
      </c>
      <c r="AD50" s="13">
        <f t="shared" si="6"/>
        <v>39</v>
      </c>
      <c r="AE50" s="13">
        <f t="shared" si="7"/>
        <v>234</v>
      </c>
      <c r="AF50" s="13">
        <f t="shared" si="8"/>
        <v>0</v>
      </c>
      <c r="AG50" s="13"/>
      <c r="AH50" s="13"/>
      <c r="AI50" s="13"/>
      <c r="AJ50" s="13"/>
    </row>
    <row r="51">
      <c r="A51" s="7">
        <v>50.0</v>
      </c>
      <c r="B51" s="8">
        <v>49.0</v>
      </c>
      <c r="C51" s="16" t="s">
        <v>266</v>
      </c>
      <c r="D51" s="16" t="s">
        <v>267</v>
      </c>
      <c r="E51" s="7" t="s">
        <v>58</v>
      </c>
      <c r="F51" s="9">
        <v>45565.0</v>
      </c>
      <c r="G51" s="7" t="s">
        <v>28</v>
      </c>
      <c r="H51" s="8" t="s">
        <v>268</v>
      </c>
      <c r="I51" s="7">
        <v>2000000.0</v>
      </c>
      <c r="J51" s="7">
        <v>2000000.0</v>
      </c>
      <c r="K51" s="7" t="s">
        <v>165</v>
      </c>
      <c r="L51" s="7" t="s">
        <v>42</v>
      </c>
      <c r="M51" s="11" t="s">
        <v>269</v>
      </c>
      <c r="N51" s="12"/>
      <c r="O51" s="12"/>
      <c r="P51" s="7" t="s">
        <v>51</v>
      </c>
      <c r="Q51" s="12"/>
      <c r="R51" s="13"/>
      <c r="S51" s="13"/>
      <c r="T51" s="13"/>
      <c r="U51" s="13"/>
      <c r="V51" s="13"/>
      <c r="W51" s="7" t="str">
        <f t="shared" si="1"/>
        <v>01.10.2024</v>
      </c>
      <c r="X51" s="7" t="str">
        <f t="shared" si="2"/>
        <v>01.07.2025</v>
      </c>
      <c r="Y51" s="7">
        <f t="shared" si="3"/>
        <v>39</v>
      </c>
      <c r="Z51" s="14">
        <v>3.0</v>
      </c>
      <c r="AA51" s="14">
        <v>2.0</v>
      </c>
      <c r="AB51" s="13">
        <f t="shared" si="4"/>
        <v>234</v>
      </c>
      <c r="AC51" s="15">
        <f t="shared" si="5"/>
        <v>273</v>
      </c>
      <c r="AD51" s="13">
        <f t="shared" si="6"/>
        <v>39</v>
      </c>
      <c r="AE51" s="13">
        <f t="shared" si="7"/>
        <v>234</v>
      </c>
      <c r="AF51" s="13">
        <f t="shared" si="8"/>
        <v>0</v>
      </c>
      <c r="AG51" s="13"/>
      <c r="AH51" s="13"/>
      <c r="AI51" s="13"/>
      <c r="AJ51" s="13"/>
    </row>
    <row r="52" ht="16.5" customHeight="1">
      <c r="A52" s="10">
        <v>51.0</v>
      </c>
      <c r="B52" s="10">
        <v>50.0</v>
      </c>
      <c r="C52" s="31" t="s">
        <v>270</v>
      </c>
      <c r="D52" s="10" t="s">
        <v>271</v>
      </c>
      <c r="E52" s="10" t="s">
        <v>62</v>
      </c>
      <c r="F52" s="18">
        <v>45565.0</v>
      </c>
      <c r="G52" s="10" t="s">
        <v>28</v>
      </c>
      <c r="H52" s="10" t="s">
        <v>263</v>
      </c>
      <c r="I52" s="10">
        <v>2000000.0</v>
      </c>
      <c r="J52" s="10">
        <v>2000000.0</v>
      </c>
      <c r="K52" s="10" t="s">
        <v>165</v>
      </c>
      <c r="L52" s="10" t="s">
        <v>42</v>
      </c>
      <c r="M52" s="19" t="s">
        <v>272</v>
      </c>
      <c r="N52" s="20"/>
      <c r="O52" s="10" t="s">
        <v>273</v>
      </c>
      <c r="P52" s="10" t="s">
        <v>51</v>
      </c>
      <c r="Q52" s="20"/>
      <c r="R52" s="21"/>
      <c r="S52" s="21"/>
      <c r="T52" s="21"/>
      <c r="U52" s="21"/>
      <c r="V52" s="21"/>
      <c r="W52" s="7" t="str">
        <f t="shared" si="1"/>
        <v>30.09.2024</v>
      </c>
      <c r="X52" s="7" t="str">
        <f t="shared" si="2"/>
        <v>30.06.2025</v>
      </c>
      <c r="Y52" s="7">
        <f t="shared" si="3"/>
        <v>39</v>
      </c>
      <c r="Z52" s="14">
        <v>3.0</v>
      </c>
      <c r="AA52" s="14">
        <v>2.0</v>
      </c>
      <c r="AB52" s="13">
        <f t="shared" si="4"/>
        <v>234</v>
      </c>
      <c r="AC52" s="15">
        <f t="shared" si="5"/>
        <v>273</v>
      </c>
      <c r="AD52" s="13">
        <f t="shared" si="6"/>
        <v>39</v>
      </c>
      <c r="AE52" s="13">
        <f t="shared" si="7"/>
        <v>234</v>
      </c>
      <c r="AF52" s="13">
        <f t="shared" si="8"/>
        <v>0</v>
      </c>
      <c r="AG52" s="21"/>
      <c r="AH52" s="21"/>
      <c r="AI52" s="21"/>
      <c r="AJ52" s="21"/>
    </row>
    <row r="53">
      <c r="A53" s="7">
        <v>50.0</v>
      </c>
      <c r="B53" s="8">
        <v>51.0</v>
      </c>
      <c r="C53" s="7" t="s">
        <v>274</v>
      </c>
      <c r="D53" s="7" t="s">
        <v>275</v>
      </c>
      <c r="E53" s="7" t="s">
        <v>27</v>
      </c>
      <c r="F53" s="9">
        <v>45568.0</v>
      </c>
      <c r="G53" s="7" t="s">
        <v>28</v>
      </c>
      <c r="H53" s="8" t="s">
        <v>276</v>
      </c>
      <c r="I53" s="7">
        <v>1800000.0</v>
      </c>
      <c r="J53" s="7">
        <v>1800000.0</v>
      </c>
      <c r="K53" s="7" t="s">
        <v>247</v>
      </c>
      <c r="L53" s="7" t="s">
        <v>277</v>
      </c>
      <c r="M53" s="11" t="s">
        <v>278</v>
      </c>
      <c r="N53" s="25" t="s">
        <v>88</v>
      </c>
      <c r="O53" s="12"/>
      <c r="P53" s="7" t="s">
        <v>32</v>
      </c>
      <c r="Q53" s="12"/>
      <c r="R53" s="13"/>
      <c r="S53" s="13"/>
      <c r="T53" s="13"/>
      <c r="U53" s="13"/>
      <c r="V53" s="13"/>
      <c r="W53" s="7" t="str">
        <f t="shared" si="1"/>
        <v>03.10.2024</v>
      </c>
      <c r="X53" s="7" t="str">
        <f t="shared" si="2"/>
        <v>03.07.2025</v>
      </c>
      <c r="Y53" s="7">
        <f t="shared" si="3"/>
        <v>39</v>
      </c>
      <c r="Z53" s="14">
        <v>3.0</v>
      </c>
      <c r="AA53" s="14">
        <v>2.0</v>
      </c>
      <c r="AB53" s="13">
        <f t="shared" si="4"/>
        <v>234</v>
      </c>
      <c r="AC53" s="15">
        <f t="shared" si="5"/>
        <v>273</v>
      </c>
      <c r="AD53" s="13">
        <f t="shared" si="6"/>
        <v>39</v>
      </c>
      <c r="AE53" s="13">
        <f t="shared" si="7"/>
        <v>234</v>
      </c>
      <c r="AF53" s="13">
        <f t="shared" si="8"/>
        <v>0</v>
      </c>
      <c r="AG53" s="13"/>
      <c r="AH53" s="13"/>
      <c r="AI53" s="13"/>
      <c r="AJ53" s="13"/>
    </row>
    <row r="54">
      <c r="A54" s="10">
        <v>51.0</v>
      </c>
      <c r="B54" s="10">
        <v>52.0</v>
      </c>
      <c r="C54" s="10" t="s">
        <v>279</v>
      </c>
      <c r="D54" s="10" t="s">
        <v>280</v>
      </c>
      <c r="E54" s="10" t="s">
        <v>27</v>
      </c>
      <c r="F54" s="18">
        <v>45572.0</v>
      </c>
      <c r="G54" s="10" t="s">
        <v>28</v>
      </c>
      <c r="H54" s="10" t="s">
        <v>281</v>
      </c>
      <c r="I54" s="10">
        <v>1700000.0</v>
      </c>
      <c r="J54" s="10">
        <v>1700000.0</v>
      </c>
      <c r="K54" s="10" t="s">
        <v>247</v>
      </c>
      <c r="L54" s="10" t="s">
        <v>277</v>
      </c>
      <c r="M54" s="30" t="s">
        <v>282</v>
      </c>
      <c r="N54" s="20"/>
      <c r="O54" s="10" t="s">
        <v>283</v>
      </c>
      <c r="P54" s="10" t="s">
        <v>168</v>
      </c>
      <c r="Q54" s="20"/>
      <c r="R54" s="21"/>
      <c r="S54" s="21"/>
      <c r="T54" s="21"/>
      <c r="U54" s="21"/>
      <c r="V54" s="21"/>
      <c r="W54" s="7" t="str">
        <f t="shared" si="1"/>
        <v>07.10.2024 </v>
      </c>
      <c r="X54" s="7" t="str">
        <f t="shared" si="2"/>
        <v> 07.07.2025</v>
      </c>
      <c r="Y54" s="7">
        <f t="shared" si="3"/>
        <v>39</v>
      </c>
      <c r="Z54" s="14">
        <v>3.0</v>
      </c>
      <c r="AA54" s="14">
        <v>2.0</v>
      </c>
      <c r="AB54" s="13">
        <f t="shared" si="4"/>
        <v>234</v>
      </c>
      <c r="AC54" s="15">
        <f t="shared" si="5"/>
        <v>273</v>
      </c>
      <c r="AD54" s="13">
        <f t="shared" si="6"/>
        <v>39</v>
      </c>
      <c r="AE54" s="13">
        <f t="shared" si="7"/>
        <v>234</v>
      </c>
      <c r="AF54" s="13">
        <f t="shared" si="8"/>
        <v>0</v>
      </c>
      <c r="AG54" s="21"/>
      <c r="AH54" s="21"/>
      <c r="AI54" s="21"/>
      <c r="AJ54" s="21"/>
    </row>
    <row r="55">
      <c r="A55" s="7">
        <v>52.0</v>
      </c>
      <c r="B55" s="8">
        <v>53.0</v>
      </c>
      <c r="C55" s="32" t="s">
        <v>284</v>
      </c>
      <c r="D55" s="32" t="s">
        <v>285</v>
      </c>
      <c r="E55" s="7" t="s">
        <v>62</v>
      </c>
      <c r="F55" s="9">
        <v>45569.0</v>
      </c>
      <c r="G55" s="7" t="s">
        <v>28</v>
      </c>
      <c r="H55" s="8" t="s">
        <v>281</v>
      </c>
      <c r="I55" s="12"/>
      <c r="J55" s="7">
        <v>2500000.0</v>
      </c>
      <c r="K55" s="7" t="s">
        <v>286</v>
      </c>
      <c r="L55" s="7" t="s">
        <v>277</v>
      </c>
      <c r="M55" s="33" t="s">
        <v>287</v>
      </c>
      <c r="N55" s="25" t="s">
        <v>88</v>
      </c>
      <c r="O55" s="34"/>
      <c r="P55" s="7" t="s">
        <v>76</v>
      </c>
      <c r="Q55" s="12"/>
      <c r="R55" s="13"/>
      <c r="S55" s="13"/>
      <c r="T55" s="13"/>
      <c r="U55" s="13"/>
      <c r="V55" s="13"/>
      <c r="W55" s="7" t="str">
        <f t="shared" si="1"/>
        <v>07.10.2024 </v>
      </c>
      <c r="X55" s="7" t="str">
        <f t="shared" si="2"/>
        <v> 07.07.2025</v>
      </c>
      <c r="Y55" s="7">
        <f t="shared" si="3"/>
        <v>39</v>
      </c>
      <c r="Z55" s="14">
        <v>3.0</v>
      </c>
      <c r="AA55" s="14">
        <v>2.0</v>
      </c>
      <c r="AB55" s="13">
        <f t="shared" si="4"/>
        <v>234</v>
      </c>
      <c r="AC55" s="15">
        <f t="shared" si="5"/>
        <v>273</v>
      </c>
      <c r="AD55" s="13">
        <f t="shared" si="6"/>
        <v>39</v>
      </c>
      <c r="AE55" s="13">
        <f t="shared" si="7"/>
        <v>234</v>
      </c>
      <c r="AF55" s="13">
        <f t="shared" si="8"/>
        <v>0</v>
      </c>
      <c r="AG55" s="13"/>
      <c r="AH55" s="13"/>
      <c r="AI55" s="13"/>
      <c r="AJ55" s="13"/>
    </row>
    <row r="56">
      <c r="A56" s="7">
        <v>53.0</v>
      </c>
      <c r="B56" s="8">
        <v>54.0</v>
      </c>
      <c r="C56" s="35" t="s">
        <v>288</v>
      </c>
      <c r="D56" s="7" t="s">
        <v>289</v>
      </c>
      <c r="E56" s="7" t="s">
        <v>290</v>
      </c>
      <c r="F56" s="9">
        <v>45570.0</v>
      </c>
      <c r="G56" s="7" t="s">
        <v>28</v>
      </c>
      <c r="H56" s="8" t="s">
        <v>281</v>
      </c>
      <c r="I56" s="7">
        <v>2500000.0</v>
      </c>
      <c r="J56" s="7">
        <v>2500000.0</v>
      </c>
      <c r="K56" s="7" t="s">
        <v>286</v>
      </c>
      <c r="L56" s="7" t="s">
        <v>277</v>
      </c>
      <c r="M56" s="29" t="s">
        <v>291</v>
      </c>
      <c r="N56" s="25" t="s">
        <v>88</v>
      </c>
      <c r="O56" s="12"/>
      <c r="P56" s="7" t="s">
        <v>32</v>
      </c>
      <c r="Q56" s="12"/>
      <c r="R56" s="13"/>
      <c r="S56" s="13"/>
      <c r="T56" s="13"/>
      <c r="U56" s="13"/>
      <c r="V56" s="13"/>
      <c r="W56" s="7" t="str">
        <f t="shared" si="1"/>
        <v>07.10.2024 </v>
      </c>
      <c r="X56" s="7" t="str">
        <f t="shared" si="2"/>
        <v> 07.07.2025</v>
      </c>
      <c r="Y56" s="7">
        <f t="shared" si="3"/>
        <v>39</v>
      </c>
      <c r="Z56" s="14">
        <v>3.0</v>
      </c>
      <c r="AA56" s="14">
        <v>2.0</v>
      </c>
      <c r="AB56" s="13">
        <f t="shared" si="4"/>
        <v>234</v>
      </c>
      <c r="AC56" s="15">
        <f t="shared" si="5"/>
        <v>273</v>
      </c>
      <c r="AD56" s="13">
        <f t="shared" si="6"/>
        <v>39</v>
      </c>
      <c r="AE56" s="13">
        <f t="shared" si="7"/>
        <v>234</v>
      </c>
      <c r="AF56" s="13">
        <f t="shared" si="8"/>
        <v>0</v>
      </c>
      <c r="AG56" s="13"/>
      <c r="AH56" s="13"/>
      <c r="AI56" s="13"/>
      <c r="AJ56" s="13"/>
    </row>
    <row r="57">
      <c r="A57" s="7">
        <v>54.0</v>
      </c>
      <c r="B57" s="8">
        <v>55.0</v>
      </c>
      <c r="C57" s="7" t="s">
        <v>292</v>
      </c>
      <c r="D57" s="7" t="s">
        <v>293</v>
      </c>
      <c r="E57" s="7" t="s">
        <v>62</v>
      </c>
      <c r="F57" s="36">
        <v>45575.0</v>
      </c>
      <c r="G57" s="7" t="s">
        <v>28</v>
      </c>
      <c r="H57" s="8" t="s">
        <v>294</v>
      </c>
      <c r="I57" s="7">
        <v>2500000.0</v>
      </c>
      <c r="J57" s="7">
        <v>2500000.0</v>
      </c>
      <c r="K57" s="7" t="s">
        <v>165</v>
      </c>
      <c r="L57" s="7" t="s">
        <v>277</v>
      </c>
      <c r="M57" s="11" t="s">
        <v>295</v>
      </c>
      <c r="N57" s="25" t="s">
        <v>88</v>
      </c>
      <c r="O57" s="12"/>
      <c r="P57" s="7" t="s">
        <v>32</v>
      </c>
      <c r="Q57" s="12"/>
      <c r="R57" s="13"/>
      <c r="S57" s="13"/>
      <c r="T57" s="13"/>
      <c r="U57" s="13"/>
      <c r="V57" s="13"/>
      <c r="W57" s="7" t="str">
        <f t="shared" si="1"/>
        <v>10.10.2024 </v>
      </c>
      <c r="X57" s="7" t="str">
        <f t="shared" si="2"/>
        <v> 10.07.2025</v>
      </c>
      <c r="Y57" s="7">
        <f t="shared" si="3"/>
        <v>39</v>
      </c>
      <c r="Z57" s="14">
        <v>3.0</v>
      </c>
      <c r="AA57" s="14">
        <v>2.0</v>
      </c>
      <c r="AB57" s="13">
        <f t="shared" si="4"/>
        <v>234</v>
      </c>
      <c r="AC57" s="15">
        <f t="shared" si="5"/>
        <v>273</v>
      </c>
      <c r="AD57" s="13">
        <f t="shared" si="6"/>
        <v>39</v>
      </c>
      <c r="AE57" s="13">
        <f t="shared" si="7"/>
        <v>234</v>
      </c>
      <c r="AF57" s="13">
        <f t="shared" si="8"/>
        <v>0</v>
      </c>
      <c r="AG57" s="13"/>
      <c r="AH57" s="13"/>
      <c r="AI57" s="13"/>
      <c r="AJ57" s="13"/>
    </row>
    <row r="58">
      <c r="A58" s="7">
        <v>55.0</v>
      </c>
      <c r="B58" s="8">
        <v>55.0</v>
      </c>
      <c r="C58" s="7" t="s">
        <v>296</v>
      </c>
      <c r="D58" s="7" t="s">
        <v>297</v>
      </c>
      <c r="E58" s="7" t="s">
        <v>27</v>
      </c>
      <c r="F58" s="9">
        <v>45574.0</v>
      </c>
      <c r="G58" s="7" t="s">
        <v>28</v>
      </c>
      <c r="H58" s="8" t="s">
        <v>298</v>
      </c>
      <c r="I58" s="7">
        <v>1900000.0</v>
      </c>
      <c r="J58" s="7">
        <v>1900000.0</v>
      </c>
      <c r="K58" s="7" t="s">
        <v>286</v>
      </c>
      <c r="L58" s="7" t="s">
        <v>277</v>
      </c>
      <c r="M58" s="11" t="s">
        <v>299</v>
      </c>
      <c r="N58" s="25" t="s">
        <v>88</v>
      </c>
      <c r="O58" s="12"/>
      <c r="P58" s="7" t="s">
        <v>32</v>
      </c>
      <c r="Q58" s="12"/>
      <c r="R58" s="13"/>
      <c r="S58" s="13"/>
      <c r="T58" s="13"/>
      <c r="U58" s="13"/>
      <c r="V58" s="13"/>
      <c r="W58" s="7" t="str">
        <f t="shared" si="1"/>
        <v>21.10.2024 </v>
      </c>
      <c r="X58" s="7" t="str">
        <f t="shared" si="2"/>
        <v> 21.07.2025</v>
      </c>
      <c r="Y58" s="7">
        <f t="shared" si="3"/>
        <v>39</v>
      </c>
      <c r="Z58" s="14">
        <v>3.0</v>
      </c>
      <c r="AA58" s="14">
        <v>2.0</v>
      </c>
      <c r="AB58" s="13">
        <f t="shared" si="4"/>
        <v>234</v>
      </c>
      <c r="AC58" s="15">
        <f t="shared" si="5"/>
        <v>273</v>
      </c>
      <c r="AD58" s="13">
        <f t="shared" si="6"/>
        <v>39</v>
      </c>
      <c r="AE58" s="13">
        <f t="shared" si="7"/>
        <v>234</v>
      </c>
      <c r="AF58" s="13">
        <f t="shared" si="8"/>
        <v>0</v>
      </c>
      <c r="AG58" s="13"/>
      <c r="AH58" s="13"/>
      <c r="AI58" s="13"/>
      <c r="AJ58" s="13"/>
    </row>
    <row r="59" ht="16.5" customHeight="1">
      <c r="A59" s="7">
        <v>56.0</v>
      </c>
      <c r="B59" s="8">
        <v>56.0</v>
      </c>
      <c r="C59" s="7" t="s">
        <v>300</v>
      </c>
      <c r="D59" s="7" t="s">
        <v>301</v>
      </c>
      <c r="E59" s="7" t="s">
        <v>27</v>
      </c>
      <c r="F59" s="9">
        <v>45574.0</v>
      </c>
      <c r="G59" s="7" t="s">
        <v>302</v>
      </c>
      <c r="H59" s="8" t="s">
        <v>303</v>
      </c>
      <c r="I59" s="7">
        <v>1500000.0</v>
      </c>
      <c r="J59" s="7" t="s">
        <v>304</v>
      </c>
      <c r="K59" s="7" t="s">
        <v>305</v>
      </c>
      <c r="L59" s="7" t="s">
        <v>277</v>
      </c>
      <c r="M59" s="11" t="s">
        <v>306</v>
      </c>
      <c r="N59" s="7" t="s">
        <v>307</v>
      </c>
      <c r="O59" s="12"/>
      <c r="P59" s="7" t="s">
        <v>308</v>
      </c>
      <c r="Q59" s="12"/>
      <c r="R59" s="13"/>
      <c r="S59" s="13"/>
      <c r="T59" s="13"/>
      <c r="U59" s="13"/>
      <c r="V59" s="13"/>
      <c r="W59" s="7" t="str">
        <f t="shared" si="1"/>
        <v>9.10.2024 </v>
      </c>
      <c r="X59" s="7" t="str">
        <f t="shared" si="2"/>
        <v> 9.07.2025</v>
      </c>
      <c r="Y59" s="7">
        <f t="shared" si="3"/>
        <v>39</v>
      </c>
      <c r="Z59" s="14">
        <v>3.0</v>
      </c>
      <c r="AA59" s="14">
        <v>2.0</v>
      </c>
      <c r="AB59" s="13">
        <f t="shared" si="4"/>
        <v>234</v>
      </c>
      <c r="AC59" s="15">
        <f t="shared" si="5"/>
        <v>273</v>
      </c>
      <c r="AD59" s="13">
        <f t="shared" si="6"/>
        <v>39</v>
      </c>
      <c r="AE59" s="13">
        <f t="shared" si="7"/>
        <v>234</v>
      </c>
      <c r="AF59" s="13">
        <f t="shared" si="8"/>
        <v>0</v>
      </c>
      <c r="AG59" s="13"/>
      <c r="AH59" s="13"/>
      <c r="AI59" s="13"/>
      <c r="AJ59" s="13"/>
    </row>
    <row r="60">
      <c r="A60" s="7" t="s">
        <v>309</v>
      </c>
      <c r="B60" s="8">
        <v>58.0</v>
      </c>
      <c r="C60" s="7" t="s">
        <v>310</v>
      </c>
      <c r="D60" s="7" t="s">
        <v>311</v>
      </c>
      <c r="E60" s="7" t="s">
        <v>62</v>
      </c>
      <c r="F60" s="36">
        <v>45584.0</v>
      </c>
      <c r="G60" s="7" t="s">
        <v>28</v>
      </c>
      <c r="H60" s="8" t="s">
        <v>298</v>
      </c>
      <c r="I60" s="7">
        <v>1800000.0</v>
      </c>
      <c r="J60" s="7">
        <v>1800000.0</v>
      </c>
      <c r="K60" s="7" t="s">
        <v>286</v>
      </c>
      <c r="L60" s="7" t="s">
        <v>42</v>
      </c>
      <c r="M60" s="11" t="s">
        <v>312</v>
      </c>
      <c r="N60" s="12"/>
      <c r="O60" s="12"/>
      <c r="P60" s="7" t="s">
        <v>32</v>
      </c>
      <c r="Q60" s="12"/>
      <c r="R60" s="13"/>
      <c r="S60" s="13"/>
      <c r="T60" s="13"/>
      <c r="U60" s="13"/>
      <c r="V60" s="13"/>
      <c r="W60" s="7" t="str">
        <f t="shared" si="1"/>
        <v>21.10.2024 </v>
      </c>
      <c r="X60" s="7" t="str">
        <f t="shared" si="2"/>
        <v> 21.07.2025</v>
      </c>
      <c r="Y60" s="7">
        <f t="shared" si="3"/>
        <v>39</v>
      </c>
      <c r="Z60" s="14">
        <v>3.0</v>
      </c>
      <c r="AA60" s="14">
        <v>2.0</v>
      </c>
      <c r="AB60" s="13">
        <f t="shared" si="4"/>
        <v>234</v>
      </c>
      <c r="AC60" s="15">
        <f t="shared" si="5"/>
        <v>273</v>
      </c>
      <c r="AD60" s="13">
        <f t="shared" si="6"/>
        <v>39</v>
      </c>
      <c r="AE60" s="13">
        <f t="shared" si="7"/>
        <v>234</v>
      </c>
      <c r="AF60" s="13">
        <f t="shared" si="8"/>
        <v>0</v>
      </c>
      <c r="AG60" s="13"/>
      <c r="AH60" s="13"/>
      <c r="AI60" s="13"/>
      <c r="AJ60" s="13"/>
    </row>
    <row r="61">
      <c r="A61" s="7">
        <v>58.0</v>
      </c>
      <c r="B61" s="8">
        <v>60.0</v>
      </c>
      <c r="C61" s="7" t="s">
        <v>313</v>
      </c>
      <c r="D61" s="7" t="s">
        <v>314</v>
      </c>
      <c r="E61" s="7" t="s">
        <v>27</v>
      </c>
      <c r="F61" s="36">
        <v>45587.0</v>
      </c>
      <c r="G61" s="7" t="s">
        <v>28</v>
      </c>
      <c r="H61" s="8" t="s">
        <v>315</v>
      </c>
      <c r="I61" s="7">
        <v>2000000.0</v>
      </c>
      <c r="J61" s="7">
        <v>2000000.0</v>
      </c>
      <c r="K61" s="7" t="s">
        <v>247</v>
      </c>
      <c r="L61" s="7" t="s">
        <v>42</v>
      </c>
      <c r="M61" s="33" t="s">
        <v>316</v>
      </c>
      <c r="N61" s="25" t="s">
        <v>88</v>
      </c>
      <c r="O61" s="12"/>
      <c r="P61" s="7" t="s">
        <v>76</v>
      </c>
      <c r="Q61" s="12"/>
      <c r="R61" s="13"/>
      <c r="S61" s="13"/>
      <c r="T61" s="13"/>
      <c r="U61" s="13"/>
      <c r="V61" s="13"/>
      <c r="W61" s="7" t="str">
        <f t="shared" si="1"/>
        <v>22.10.2024 </v>
      </c>
      <c r="X61" s="7" t="str">
        <f t="shared" si="2"/>
        <v> 22.07.2025</v>
      </c>
      <c r="Y61" s="7">
        <f t="shared" si="3"/>
        <v>39</v>
      </c>
      <c r="Z61" s="14">
        <v>3.0</v>
      </c>
      <c r="AA61" s="14">
        <v>2.0</v>
      </c>
      <c r="AB61" s="13">
        <f t="shared" si="4"/>
        <v>234</v>
      </c>
      <c r="AC61" s="15">
        <f t="shared" si="5"/>
        <v>273</v>
      </c>
      <c r="AD61" s="13">
        <f t="shared" si="6"/>
        <v>39</v>
      </c>
      <c r="AE61" s="13">
        <f t="shared" si="7"/>
        <v>234</v>
      </c>
      <c r="AF61" s="13">
        <f t="shared" si="8"/>
        <v>0</v>
      </c>
      <c r="AG61" s="13"/>
      <c r="AH61" s="13"/>
      <c r="AI61" s="13"/>
      <c r="AJ61" s="13"/>
    </row>
    <row r="62">
      <c r="A62" s="7">
        <v>59.0</v>
      </c>
      <c r="B62" s="8">
        <v>62.0</v>
      </c>
      <c r="C62" s="37" t="s">
        <v>317</v>
      </c>
      <c r="D62" s="26" t="s">
        <v>318</v>
      </c>
      <c r="E62" s="7" t="s">
        <v>319</v>
      </c>
      <c r="F62" s="36">
        <v>45588.0</v>
      </c>
      <c r="G62" s="7" t="s">
        <v>28</v>
      </c>
      <c r="H62" s="8" t="s">
        <v>320</v>
      </c>
      <c r="I62" s="7">
        <v>2000000.0</v>
      </c>
      <c r="J62" s="7">
        <v>2000000.0</v>
      </c>
      <c r="K62" s="7" t="s">
        <v>321</v>
      </c>
      <c r="L62" s="7" t="s">
        <v>322</v>
      </c>
      <c r="M62" s="11" t="s">
        <v>323</v>
      </c>
      <c r="N62" s="25" t="s">
        <v>88</v>
      </c>
      <c r="O62" s="12"/>
      <c r="P62" s="7" t="s">
        <v>32</v>
      </c>
      <c r="Q62" s="12"/>
      <c r="R62" s="13"/>
      <c r="S62" s="13"/>
      <c r="T62" s="13"/>
      <c r="U62" s="13"/>
      <c r="V62" s="13"/>
      <c r="W62" s="7" t="str">
        <f t="shared" si="1"/>
        <v>28.10.2024 </v>
      </c>
      <c r="X62" s="7" t="str">
        <f t="shared" si="2"/>
        <v> 28.07.2025</v>
      </c>
      <c r="Y62" s="7">
        <f t="shared" si="3"/>
        <v>39</v>
      </c>
      <c r="Z62" s="14">
        <v>3.0</v>
      </c>
      <c r="AA62" s="14">
        <v>2.0</v>
      </c>
      <c r="AB62" s="13">
        <f t="shared" si="4"/>
        <v>234</v>
      </c>
      <c r="AC62" s="15">
        <f t="shared" si="5"/>
        <v>273</v>
      </c>
      <c r="AD62" s="13">
        <f t="shared" si="6"/>
        <v>39</v>
      </c>
      <c r="AE62" s="13">
        <f t="shared" si="7"/>
        <v>234</v>
      </c>
      <c r="AF62" s="13">
        <f t="shared" si="8"/>
        <v>0</v>
      </c>
      <c r="AG62" s="13"/>
      <c r="AH62" s="13"/>
      <c r="AI62" s="13"/>
      <c r="AJ62" s="13"/>
    </row>
    <row r="63">
      <c r="A63" s="7">
        <v>60.0</v>
      </c>
      <c r="B63" s="8">
        <v>63.0</v>
      </c>
      <c r="C63" s="7" t="s">
        <v>324</v>
      </c>
      <c r="D63" s="7" t="s">
        <v>325</v>
      </c>
      <c r="E63" s="7" t="s">
        <v>319</v>
      </c>
      <c r="F63" s="36">
        <v>45588.0</v>
      </c>
      <c r="G63" s="7" t="s">
        <v>28</v>
      </c>
      <c r="H63" s="8" t="s">
        <v>326</v>
      </c>
      <c r="I63" s="7">
        <v>2500000.0</v>
      </c>
      <c r="J63" s="7">
        <v>2500000.0</v>
      </c>
      <c r="K63" s="7" t="s">
        <v>327</v>
      </c>
      <c r="L63" s="7" t="s">
        <v>328</v>
      </c>
      <c r="M63" s="11" t="s">
        <v>329</v>
      </c>
      <c r="N63" s="25" t="s">
        <v>88</v>
      </c>
      <c r="O63" s="12"/>
      <c r="P63" s="7" t="s">
        <v>32</v>
      </c>
      <c r="Q63" s="12"/>
      <c r="R63" s="13"/>
      <c r="S63" s="13"/>
      <c r="T63" s="13"/>
      <c r="U63" s="13"/>
      <c r="V63" s="13"/>
      <c r="W63" s="7" t="str">
        <f t="shared" si="1"/>
        <v>23.10.2024 </v>
      </c>
      <c r="X63" s="7" t="str">
        <f t="shared" si="2"/>
        <v>р 30.10.25)</v>
      </c>
      <c r="Y63" s="7" t="str">
        <f t="shared" si="3"/>
        <v>#VALUE!</v>
      </c>
      <c r="Z63" s="14">
        <v>3.0</v>
      </c>
      <c r="AA63" s="14">
        <v>2.0</v>
      </c>
      <c r="AB63" s="13" t="str">
        <f t="shared" si="4"/>
        <v>#VALUE!</v>
      </c>
      <c r="AC63" s="15" t="str">
        <f t="shared" si="5"/>
        <v>#VALUE!</v>
      </c>
      <c r="AD63" s="13" t="str">
        <f t="shared" si="6"/>
        <v>#VALUE!</v>
      </c>
      <c r="AE63" s="13" t="str">
        <f t="shared" si="7"/>
        <v>#VALUE!</v>
      </c>
      <c r="AF63" s="13" t="str">
        <f t="shared" si="8"/>
        <v>#VALUE!</v>
      </c>
      <c r="AG63" s="13"/>
      <c r="AH63" s="13"/>
      <c r="AI63" s="13"/>
      <c r="AJ63" s="13"/>
    </row>
    <row r="64" ht="15.0" customHeight="1">
      <c r="A64" s="7">
        <v>61.0</v>
      </c>
      <c r="B64" s="8">
        <v>64.0</v>
      </c>
      <c r="C64" s="7" t="s">
        <v>330</v>
      </c>
      <c r="D64" s="7" t="s">
        <v>331</v>
      </c>
      <c r="E64" s="7" t="s">
        <v>62</v>
      </c>
      <c r="F64" s="36">
        <v>45591.0</v>
      </c>
      <c r="G64" s="7" t="s">
        <v>28</v>
      </c>
      <c r="H64" s="8" t="s">
        <v>320</v>
      </c>
      <c r="I64" s="7">
        <v>2000000.0</v>
      </c>
      <c r="J64" s="7" t="s">
        <v>332</v>
      </c>
      <c r="K64" s="12"/>
      <c r="L64" s="7" t="s">
        <v>333</v>
      </c>
      <c r="M64" s="11" t="s">
        <v>334</v>
      </c>
      <c r="N64" s="12"/>
      <c r="O64" s="12"/>
      <c r="P64" s="7" t="s">
        <v>76</v>
      </c>
      <c r="Q64" s="12"/>
      <c r="R64" s="13"/>
      <c r="S64" s="13"/>
      <c r="T64" s="13"/>
      <c r="U64" s="13"/>
      <c r="V64" s="13"/>
      <c r="W64" s="7" t="str">
        <f t="shared" si="1"/>
        <v>28.10.2024 </v>
      </c>
      <c r="X64" s="7" t="str">
        <f t="shared" si="2"/>
        <v> 28.07.2025</v>
      </c>
      <c r="Y64" s="7">
        <f t="shared" si="3"/>
        <v>39</v>
      </c>
      <c r="Z64" s="14">
        <v>3.0</v>
      </c>
      <c r="AA64" s="14">
        <v>2.0</v>
      </c>
      <c r="AB64" s="13">
        <f t="shared" si="4"/>
        <v>234</v>
      </c>
      <c r="AC64" s="15">
        <f t="shared" si="5"/>
        <v>273</v>
      </c>
      <c r="AD64" s="13">
        <f t="shared" si="6"/>
        <v>39</v>
      </c>
      <c r="AE64" s="13">
        <f t="shared" si="7"/>
        <v>234</v>
      </c>
      <c r="AF64" s="13">
        <f t="shared" si="8"/>
        <v>0</v>
      </c>
      <c r="AG64" s="13"/>
      <c r="AH64" s="13"/>
      <c r="AI64" s="13"/>
      <c r="AJ64" s="13"/>
    </row>
    <row r="65">
      <c r="A65" s="7">
        <v>62.0</v>
      </c>
      <c r="B65" s="8">
        <v>64.0</v>
      </c>
      <c r="C65" s="7" t="s">
        <v>335</v>
      </c>
      <c r="D65" s="7" t="s">
        <v>336</v>
      </c>
      <c r="E65" s="7" t="s">
        <v>27</v>
      </c>
      <c r="F65" s="36">
        <v>45590.0</v>
      </c>
      <c r="G65" s="7" t="s">
        <v>28</v>
      </c>
      <c r="H65" s="8" t="s">
        <v>320</v>
      </c>
      <c r="I65" s="7">
        <v>2250000.0</v>
      </c>
      <c r="J65" s="7">
        <v>2250000.0</v>
      </c>
      <c r="K65" s="7" t="s">
        <v>327</v>
      </c>
      <c r="L65" s="7" t="s">
        <v>337</v>
      </c>
      <c r="M65" s="11" t="s">
        <v>338</v>
      </c>
      <c r="N65" s="12"/>
      <c r="O65" s="12"/>
      <c r="P65" s="7" t="s">
        <v>76</v>
      </c>
      <c r="Q65" s="12"/>
      <c r="R65" s="13"/>
      <c r="S65" s="13"/>
      <c r="T65" s="13"/>
      <c r="U65" s="13"/>
      <c r="V65" s="13"/>
      <c r="W65" s="7" t="str">
        <f t="shared" si="1"/>
        <v>28.10.2024 </v>
      </c>
      <c r="X65" s="7" t="str">
        <f t="shared" si="2"/>
        <v> 28.07.2025</v>
      </c>
      <c r="Y65" s="7">
        <f t="shared" si="3"/>
        <v>39</v>
      </c>
      <c r="Z65" s="14">
        <v>3.0</v>
      </c>
      <c r="AA65" s="14">
        <v>2.0</v>
      </c>
      <c r="AB65" s="13">
        <f t="shared" si="4"/>
        <v>234</v>
      </c>
      <c r="AC65" s="15">
        <f t="shared" si="5"/>
        <v>273</v>
      </c>
      <c r="AD65" s="13">
        <f t="shared" si="6"/>
        <v>39</v>
      </c>
      <c r="AE65" s="13">
        <f t="shared" si="7"/>
        <v>234</v>
      </c>
      <c r="AF65" s="13">
        <f t="shared" si="8"/>
        <v>0</v>
      </c>
      <c r="AG65" s="13"/>
      <c r="AH65" s="13"/>
      <c r="AI65" s="13"/>
      <c r="AJ65" s="13"/>
    </row>
    <row r="66">
      <c r="A66" s="7">
        <v>63.0</v>
      </c>
      <c r="B66" s="8">
        <v>66.0</v>
      </c>
      <c r="C66" s="7" t="s">
        <v>339</v>
      </c>
      <c r="D66" s="7" t="s">
        <v>340</v>
      </c>
      <c r="E66" s="7" t="s">
        <v>62</v>
      </c>
      <c r="F66" s="36">
        <v>45593.0</v>
      </c>
      <c r="G66" s="7" t="s">
        <v>341</v>
      </c>
      <c r="H66" s="8" t="s">
        <v>342</v>
      </c>
      <c r="I66" s="7">
        <v>2000000.0</v>
      </c>
      <c r="J66" s="7">
        <v>2000000.0</v>
      </c>
      <c r="K66" s="7" t="s">
        <v>165</v>
      </c>
      <c r="L66" s="7" t="s">
        <v>42</v>
      </c>
      <c r="M66" s="11" t="s">
        <v>343</v>
      </c>
      <c r="N66" s="12"/>
      <c r="O66" s="12"/>
      <c r="P66" s="7" t="s">
        <v>32</v>
      </c>
      <c r="Q66" s="12"/>
      <c r="R66" s="13"/>
      <c r="S66" s="13"/>
      <c r="T66" s="13"/>
      <c r="U66" s="13"/>
      <c r="V66" s="13"/>
      <c r="W66" s="7" t="str">
        <f t="shared" si="1"/>
        <v>29.10.2024 </v>
      </c>
      <c r="X66" s="7" t="str">
        <f t="shared" si="2"/>
        <v> 29.07.2025</v>
      </c>
      <c r="Y66" s="7">
        <f t="shared" si="3"/>
        <v>39</v>
      </c>
      <c r="Z66" s="14">
        <v>3.0</v>
      </c>
      <c r="AA66" s="14">
        <v>2.0</v>
      </c>
      <c r="AB66" s="13">
        <f t="shared" si="4"/>
        <v>234</v>
      </c>
      <c r="AC66" s="15">
        <f t="shared" si="5"/>
        <v>273</v>
      </c>
      <c r="AD66" s="13">
        <f t="shared" si="6"/>
        <v>39</v>
      </c>
      <c r="AE66" s="13">
        <f t="shared" si="7"/>
        <v>234</v>
      </c>
      <c r="AF66" s="13">
        <f t="shared" si="8"/>
        <v>0</v>
      </c>
      <c r="AG66" s="13"/>
      <c r="AH66" s="13"/>
      <c r="AI66" s="13"/>
      <c r="AJ66" s="13"/>
    </row>
    <row r="67">
      <c r="A67" s="7">
        <v>64.0</v>
      </c>
      <c r="B67" s="8">
        <v>61.0</v>
      </c>
      <c r="C67" s="7" t="s">
        <v>344</v>
      </c>
      <c r="D67" s="7" t="s">
        <v>345</v>
      </c>
      <c r="E67" s="7" t="s">
        <v>27</v>
      </c>
      <c r="F67" s="36">
        <v>45588.0</v>
      </c>
      <c r="G67" s="7" t="s">
        <v>346</v>
      </c>
      <c r="H67" s="8" t="s">
        <v>347</v>
      </c>
      <c r="I67" s="7">
        <v>3000000.0</v>
      </c>
      <c r="J67" s="7">
        <v>3000000.0</v>
      </c>
      <c r="K67" s="7" t="s">
        <v>348</v>
      </c>
      <c r="L67" s="7" t="s">
        <v>42</v>
      </c>
      <c r="M67" s="11" t="s">
        <v>349</v>
      </c>
      <c r="N67" s="12"/>
      <c r="O67" s="12"/>
      <c r="P67" s="7" t="s">
        <v>350</v>
      </c>
      <c r="Q67" s="12"/>
      <c r="R67" s="13"/>
      <c r="S67" s="13"/>
      <c r="T67" s="13"/>
      <c r="U67" s="13"/>
      <c r="V67" s="13"/>
      <c r="W67" s="7" t="str">
        <f t="shared" si="1"/>
        <v>23.10.2024 </v>
      </c>
      <c r="X67" s="7" t="str">
        <f t="shared" si="2"/>
        <v> 31.08.2025</v>
      </c>
      <c r="Y67" s="7">
        <f t="shared" si="3"/>
        <v>44.57142857</v>
      </c>
      <c r="Z67" s="14">
        <v>3.0</v>
      </c>
      <c r="AA67" s="14">
        <v>2.0</v>
      </c>
      <c r="AB67" s="13">
        <f t="shared" si="4"/>
        <v>267.4285714</v>
      </c>
      <c r="AC67" s="15">
        <f t="shared" si="5"/>
        <v>312</v>
      </c>
      <c r="AD67" s="13">
        <f t="shared" si="6"/>
        <v>44.57142857</v>
      </c>
      <c r="AE67" s="13">
        <f t="shared" si="7"/>
        <v>267.4285714</v>
      </c>
      <c r="AF67" s="13">
        <f t="shared" si="8"/>
        <v>0</v>
      </c>
      <c r="AG67" s="13"/>
      <c r="AH67" s="13"/>
      <c r="AI67" s="13"/>
      <c r="AJ67" s="13"/>
    </row>
    <row r="68" ht="15.0" customHeight="1">
      <c r="A68" s="7">
        <v>65.0</v>
      </c>
      <c r="B68" s="8">
        <v>69.0</v>
      </c>
      <c r="C68" s="7" t="s">
        <v>351</v>
      </c>
      <c r="D68" s="7" t="s">
        <v>352</v>
      </c>
      <c r="E68" s="7" t="s">
        <v>27</v>
      </c>
      <c r="F68" s="36">
        <v>45595.0</v>
      </c>
      <c r="G68" s="7" t="s">
        <v>28</v>
      </c>
      <c r="H68" s="8" t="s">
        <v>353</v>
      </c>
      <c r="I68" s="7">
        <v>1800000.0</v>
      </c>
      <c r="J68" s="7">
        <v>1800000.0</v>
      </c>
      <c r="K68" s="7" t="s">
        <v>354</v>
      </c>
      <c r="L68" s="7" t="s">
        <v>42</v>
      </c>
      <c r="M68" s="11" t="s">
        <v>355</v>
      </c>
      <c r="N68" s="12"/>
      <c r="O68" s="12"/>
      <c r="P68" s="7" t="s">
        <v>32</v>
      </c>
      <c r="Q68" s="12"/>
      <c r="R68" s="13"/>
      <c r="S68" s="13"/>
      <c r="T68" s="13"/>
      <c r="U68" s="13"/>
      <c r="V68" s="13"/>
      <c r="W68" s="7" t="str">
        <f t="shared" si="1"/>
        <v>30.10.2024 </v>
      </c>
      <c r="X68" s="7" t="str">
        <f t="shared" si="2"/>
        <v> 30.08.2025</v>
      </c>
      <c r="Y68" s="7">
        <f t="shared" si="3"/>
        <v>43.42857143</v>
      </c>
      <c r="Z68" s="14">
        <v>3.0</v>
      </c>
      <c r="AA68" s="14">
        <v>2.0</v>
      </c>
      <c r="AB68" s="13">
        <f t="shared" si="4"/>
        <v>260.5714286</v>
      </c>
      <c r="AC68" s="15">
        <f t="shared" si="5"/>
        <v>304</v>
      </c>
      <c r="AD68" s="13">
        <f t="shared" si="6"/>
        <v>43.42857143</v>
      </c>
      <c r="AE68" s="13">
        <f t="shared" si="7"/>
        <v>260.5714286</v>
      </c>
      <c r="AF68" s="13">
        <f t="shared" si="8"/>
        <v>0</v>
      </c>
      <c r="AG68" s="13"/>
      <c r="AH68" s="13"/>
      <c r="AI68" s="13"/>
      <c r="AJ68" s="13"/>
    </row>
    <row r="69">
      <c r="A69" s="7">
        <v>66.0</v>
      </c>
      <c r="B69" s="8">
        <v>70.0</v>
      </c>
      <c r="C69" s="7" t="s">
        <v>356</v>
      </c>
      <c r="D69" s="7" t="s">
        <v>357</v>
      </c>
      <c r="E69" s="7" t="s">
        <v>62</v>
      </c>
      <c r="F69" s="36">
        <v>45604.0</v>
      </c>
      <c r="G69" s="7" t="s">
        <v>358</v>
      </c>
      <c r="H69" s="8" t="s">
        <v>359</v>
      </c>
      <c r="I69" s="7">
        <v>1500000.0</v>
      </c>
      <c r="J69" s="7">
        <v>1500000.0</v>
      </c>
      <c r="K69" s="7" t="s">
        <v>165</v>
      </c>
      <c r="L69" s="7" t="s">
        <v>360</v>
      </c>
      <c r="M69" s="11" t="s">
        <v>361</v>
      </c>
      <c r="N69" s="12"/>
      <c r="O69" s="12"/>
      <c r="P69" s="7" t="s">
        <v>32</v>
      </c>
      <c r="Q69" s="12"/>
      <c r="R69" s="13"/>
      <c r="S69" s="13"/>
      <c r="T69" s="13"/>
      <c r="U69" s="13"/>
      <c r="V69" s="13"/>
      <c r="W69" s="7" t="str">
        <f t="shared" si="1"/>
        <v>11.11.2024 </v>
      </c>
      <c r="X69" s="7" t="str">
        <f t="shared" si="2"/>
        <v> 30.08.2025</v>
      </c>
      <c r="Y69" s="7">
        <f t="shared" si="3"/>
        <v>41.71428571</v>
      </c>
      <c r="Z69" s="14">
        <v>3.0</v>
      </c>
      <c r="AA69" s="14">
        <v>2.0</v>
      </c>
      <c r="AB69" s="13">
        <f t="shared" si="4"/>
        <v>250.2857143</v>
      </c>
      <c r="AC69" s="15">
        <f t="shared" si="5"/>
        <v>292</v>
      </c>
      <c r="AD69" s="13">
        <f t="shared" si="6"/>
        <v>41.71428571</v>
      </c>
      <c r="AE69" s="13">
        <f t="shared" si="7"/>
        <v>250.2857143</v>
      </c>
      <c r="AF69" s="13">
        <f t="shared" si="8"/>
        <v>0</v>
      </c>
      <c r="AG69" s="13"/>
      <c r="AH69" s="13"/>
      <c r="AI69" s="13"/>
      <c r="AJ69" s="13"/>
    </row>
    <row r="70">
      <c r="A70" s="7">
        <v>67.0</v>
      </c>
      <c r="B70" s="7">
        <v>143.0</v>
      </c>
      <c r="C70" s="7" t="s">
        <v>362</v>
      </c>
      <c r="D70" s="7" t="s">
        <v>363</v>
      </c>
      <c r="E70" s="7" t="s">
        <v>27</v>
      </c>
      <c r="F70" s="36">
        <v>45607.0</v>
      </c>
      <c r="G70" s="7" t="s">
        <v>28</v>
      </c>
      <c r="H70" s="7" t="s">
        <v>364</v>
      </c>
      <c r="I70" s="7">
        <v>2000000.0</v>
      </c>
      <c r="J70" s="7">
        <v>1400000.0</v>
      </c>
      <c r="K70" s="7" t="s">
        <v>247</v>
      </c>
      <c r="L70" s="7" t="s">
        <v>365</v>
      </c>
      <c r="M70" s="11" t="s">
        <v>366</v>
      </c>
      <c r="N70" s="38" t="s">
        <v>367</v>
      </c>
      <c r="O70" s="12"/>
      <c r="P70" s="7" t="s">
        <v>368</v>
      </c>
      <c r="Q70" s="12"/>
      <c r="R70" s="13"/>
      <c r="S70" s="13"/>
      <c r="T70" s="13"/>
      <c r="U70" s="13"/>
      <c r="V70" s="13"/>
      <c r="W70" s="7" t="str">
        <f t="shared" si="1"/>
        <v>04.11.2024</v>
      </c>
      <c r="X70" s="7" t="str">
        <f t="shared" si="2"/>
        <v>04.08.2025</v>
      </c>
      <c r="Y70" s="7">
        <f t="shared" si="3"/>
        <v>39</v>
      </c>
      <c r="Z70" s="14">
        <v>3.0</v>
      </c>
      <c r="AA70" s="14">
        <v>2.0</v>
      </c>
      <c r="AB70" s="13">
        <f t="shared" si="4"/>
        <v>234</v>
      </c>
      <c r="AC70" s="15">
        <f t="shared" si="5"/>
        <v>273</v>
      </c>
      <c r="AD70" s="13">
        <f t="shared" si="6"/>
        <v>39</v>
      </c>
      <c r="AE70" s="13">
        <f t="shared" si="7"/>
        <v>234</v>
      </c>
      <c r="AF70" s="13">
        <f t="shared" si="8"/>
        <v>0</v>
      </c>
      <c r="AG70" s="13"/>
      <c r="AH70" s="13"/>
      <c r="AI70" s="13"/>
      <c r="AJ70" s="13"/>
    </row>
    <row r="71">
      <c r="A71" s="7">
        <v>68.0</v>
      </c>
      <c r="B71" s="8" t="s">
        <v>30</v>
      </c>
      <c r="C71" s="7" t="s">
        <v>369</v>
      </c>
      <c r="D71" s="7" t="s">
        <v>370</v>
      </c>
      <c r="E71" s="7" t="s">
        <v>319</v>
      </c>
      <c r="F71" s="36">
        <v>45616.0</v>
      </c>
      <c r="G71" s="7" t="s">
        <v>371</v>
      </c>
      <c r="H71" s="8" t="s">
        <v>372</v>
      </c>
      <c r="I71" s="7">
        <v>1800000.0</v>
      </c>
      <c r="J71" s="7">
        <v>1000000.0</v>
      </c>
      <c r="K71" s="7" t="s">
        <v>373</v>
      </c>
      <c r="L71" s="7" t="s">
        <v>374</v>
      </c>
      <c r="M71" s="29" t="s">
        <v>375</v>
      </c>
      <c r="N71" s="7" t="s">
        <v>46</v>
      </c>
      <c r="O71" s="12"/>
      <c r="P71" s="7" t="s">
        <v>376</v>
      </c>
      <c r="Q71" s="12"/>
      <c r="R71" s="13"/>
      <c r="S71" s="13"/>
      <c r="T71" s="13"/>
      <c r="U71" s="13"/>
      <c r="V71" s="13"/>
      <c r="W71" s="7" t="str">
        <f t="shared" si="1"/>
        <v>15.11.2024 </v>
      </c>
      <c r="X71" s="7" t="str">
        <f t="shared" si="2"/>
        <v> 22.11.2025</v>
      </c>
      <c r="Y71" s="7">
        <f t="shared" si="3"/>
        <v>53.14285714</v>
      </c>
      <c r="Z71" s="14">
        <v>3.0</v>
      </c>
      <c r="AA71" s="14">
        <v>2.0</v>
      </c>
      <c r="AB71" s="13">
        <f t="shared" si="4"/>
        <v>318.8571429</v>
      </c>
      <c r="AC71" s="15">
        <f t="shared" si="5"/>
        <v>372</v>
      </c>
      <c r="AD71" s="13">
        <f t="shared" si="6"/>
        <v>53.14285714</v>
      </c>
      <c r="AE71" s="13">
        <f t="shared" si="7"/>
        <v>318.8571429</v>
      </c>
      <c r="AF71" s="13">
        <f t="shared" si="8"/>
        <v>0</v>
      </c>
      <c r="AG71" s="13"/>
      <c r="AH71" s="13"/>
      <c r="AI71" s="13"/>
      <c r="AJ71" s="13"/>
    </row>
    <row r="72">
      <c r="A72" s="7">
        <v>69.0</v>
      </c>
      <c r="B72" s="8">
        <v>72.0</v>
      </c>
      <c r="C72" s="27" t="s">
        <v>377</v>
      </c>
      <c r="D72" s="7" t="s">
        <v>378</v>
      </c>
      <c r="E72" s="7" t="s">
        <v>62</v>
      </c>
      <c r="F72" s="36">
        <v>45619.0</v>
      </c>
      <c r="G72" s="7" t="s">
        <v>30</v>
      </c>
      <c r="H72" s="8" t="s">
        <v>379</v>
      </c>
      <c r="I72" s="7">
        <v>1700000.0</v>
      </c>
      <c r="J72" s="7">
        <v>1700000.0</v>
      </c>
      <c r="K72" s="7" t="s">
        <v>380</v>
      </c>
      <c r="L72" s="7" t="s">
        <v>277</v>
      </c>
      <c r="M72" s="11" t="s">
        <v>381</v>
      </c>
      <c r="N72" s="7"/>
      <c r="O72" s="12"/>
      <c r="P72" s="7" t="s">
        <v>51</v>
      </c>
      <c r="Q72" s="12"/>
      <c r="R72" s="13"/>
      <c r="S72" s="13"/>
      <c r="T72" s="13"/>
      <c r="U72" s="13"/>
      <c r="V72" s="13"/>
      <c r="W72" s="7" t="str">
        <f t="shared" si="1"/>
        <v>25.11.2024 </v>
      </c>
      <c r="X72" s="7" t="str">
        <f t="shared" si="2"/>
        <v> 25.04.2025</v>
      </c>
      <c r="Y72" s="7">
        <f t="shared" si="3"/>
        <v>21.57142857</v>
      </c>
      <c r="Z72" s="14">
        <v>3.0</v>
      </c>
      <c r="AA72" s="14">
        <v>2.0</v>
      </c>
      <c r="AB72" s="13">
        <f t="shared" si="4"/>
        <v>129.4285714</v>
      </c>
      <c r="AC72" s="15">
        <f t="shared" si="5"/>
        <v>151</v>
      </c>
      <c r="AD72" s="13">
        <f t="shared" si="6"/>
        <v>21.57142857</v>
      </c>
      <c r="AE72" s="13">
        <f t="shared" si="7"/>
        <v>129.4285714</v>
      </c>
      <c r="AF72" s="13">
        <f t="shared" si="8"/>
        <v>0</v>
      </c>
      <c r="AG72" s="13"/>
      <c r="AH72" s="13"/>
      <c r="AI72" s="13"/>
      <c r="AJ72" s="13"/>
    </row>
    <row r="73">
      <c r="A73" s="7">
        <v>70.0</v>
      </c>
      <c r="B73" s="8">
        <v>73.0</v>
      </c>
      <c r="C73" s="16" t="s">
        <v>382</v>
      </c>
      <c r="D73" s="7" t="s">
        <v>383</v>
      </c>
      <c r="E73" s="7" t="s">
        <v>62</v>
      </c>
      <c r="F73" s="36">
        <v>45620.0</v>
      </c>
      <c r="G73" s="7" t="s">
        <v>28</v>
      </c>
      <c r="H73" s="8"/>
      <c r="I73" s="7">
        <v>2200000.0</v>
      </c>
      <c r="J73" s="7">
        <v>2200000.0</v>
      </c>
      <c r="K73" s="7" t="s">
        <v>165</v>
      </c>
      <c r="L73" s="7" t="s">
        <v>42</v>
      </c>
      <c r="M73" s="11" t="s">
        <v>384</v>
      </c>
      <c r="N73" s="7"/>
      <c r="O73" s="12"/>
      <c r="P73" s="7" t="s">
        <v>76</v>
      </c>
      <c r="Q73" s="12"/>
      <c r="R73" s="13"/>
      <c r="S73" s="13"/>
      <c r="T73" s="13"/>
      <c r="U73" s="13"/>
      <c r="V73" s="13"/>
      <c r="W73" s="7" t="str">
        <f t="shared" si="1"/>
        <v>#VALUE!</v>
      </c>
      <c r="X73" s="7" t="str">
        <f t="shared" si="2"/>
        <v>#VALUE!</v>
      </c>
      <c r="Y73" s="7" t="str">
        <f t="shared" si="3"/>
        <v>#VALUE!</v>
      </c>
      <c r="Z73" s="14">
        <v>3.0</v>
      </c>
      <c r="AA73" s="14">
        <v>2.0</v>
      </c>
      <c r="AB73" s="13" t="str">
        <f t="shared" si="4"/>
        <v>#VALUE!</v>
      </c>
      <c r="AC73" s="15" t="str">
        <f t="shared" si="5"/>
        <v>#VALUE!</v>
      </c>
      <c r="AD73" s="13" t="str">
        <f t="shared" si="6"/>
        <v>#VALUE!</v>
      </c>
      <c r="AE73" s="13" t="str">
        <f t="shared" si="7"/>
        <v>#VALUE!</v>
      </c>
      <c r="AF73" s="13" t="str">
        <f t="shared" si="8"/>
        <v>#VALUE!</v>
      </c>
      <c r="AG73" s="13"/>
      <c r="AH73" s="13"/>
      <c r="AI73" s="13"/>
      <c r="AJ73" s="13"/>
    </row>
    <row r="74">
      <c r="A74" s="39">
        <v>71.0</v>
      </c>
      <c r="B74" s="8" t="s">
        <v>30</v>
      </c>
      <c r="C74" s="40" t="s">
        <v>385</v>
      </c>
      <c r="D74" s="39" t="s">
        <v>386</v>
      </c>
      <c r="E74" s="39" t="s">
        <v>62</v>
      </c>
      <c r="F74" s="41">
        <v>45621.0</v>
      </c>
      <c r="G74" s="39" t="s">
        <v>387</v>
      </c>
      <c r="H74" s="8" t="s">
        <v>30</v>
      </c>
      <c r="I74" s="39" t="s">
        <v>30</v>
      </c>
      <c r="J74" s="42"/>
      <c r="K74" s="42"/>
      <c r="L74" s="42"/>
      <c r="M74" s="43" t="s">
        <v>388</v>
      </c>
      <c r="N74" s="42"/>
      <c r="O74" s="42"/>
      <c r="P74" s="39" t="s">
        <v>308</v>
      </c>
      <c r="Q74" s="42"/>
      <c r="R74" s="44"/>
      <c r="S74" s="44"/>
      <c r="T74" s="44"/>
      <c r="U74" s="44"/>
      <c r="V74" s="44"/>
      <c r="W74" s="7" t="str">
        <f t="shared" si="1"/>
        <v>#VALUE!</v>
      </c>
      <c r="X74" s="7" t="str">
        <f t="shared" si="2"/>
        <v>#VALUE!</v>
      </c>
      <c r="Y74" s="7" t="str">
        <f t="shared" si="3"/>
        <v>#VALUE!</v>
      </c>
      <c r="Z74" s="14">
        <v>3.0</v>
      </c>
      <c r="AA74" s="14">
        <v>2.0</v>
      </c>
      <c r="AB74" s="13" t="str">
        <f t="shared" si="4"/>
        <v>#VALUE!</v>
      </c>
      <c r="AC74" s="15" t="str">
        <f t="shared" si="5"/>
        <v>#VALUE!</v>
      </c>
      <c r="AD74" s="13" t="str">
        <f t="shared" si="6"/>
        <v>#VALUE!</v>
      </c>
      <c r="AE74" s="13" t="str">
        <f t="shared" si="7"/>
        <v>#VALUE!</v>
      </c>
      <c r="AF74" s="13" t="str">
        <f t="shared" si="8"/>
        <v>#VALUE!</v>
      </c>
      <c r="AG74" s="44"/>
      <c r="AH74" s="44"/>
      <c r="AI74" s="44"/>
      <c r="AJ74" s="44"/>
    </row>
    <row r="75">
      <c r="A75" s="10">
        <v>72.0</v>
      </c>
      <c r="B75" s="10" t="s">
        <v>30</v>
      </c>
      <c r="C75" s="10" t="s">
        <v>389</v>
      </c>
      <c r="D75" s="10" t="s">
        <v>389</v>
      </c>
      <c r="E75" s="10" t="s">
        <v>27</v>
      </c>
      <c r="F75" s="45">
        <v>45624.0</v>
      </c>
      <c r="G75" s="10" t="s">
        <v>30</v>
      </c>
      <c r="H75" s="10" t="s">
        <v>30</v>
      </c>
      <c r="I75" s="10">
        <v>1000000.0</v>
      </c>
      <c r="J75" s="10">
        <v>1000000.0</v>
      </c>
      <c r="K75" s="10" t="s">
        <v>165</v>
      </c>
      <c r="L75" s="10" t="s">
        <v>42</v>
      </c>
      <c r="M75" s="30" t="s">
        <v>390</v>
      </c>
      <c r="N75" s="10" t="s">
        <v>391</v>
      </c>
      <c r="O75" s="20"/>
      <c r="P75" s="20"/>
      <c r="Q75" s="20"/>
      <c r="R75" s="21"/>
      <c r="S75" s="21"/>
      <c r="T75" s="21"/>
      <c r="U75" s="21"/>
      <c r="V75" s="21"/>
      <c r="W75" s="7" t="str">
        <f t="shared" si="1"/>
        <v>#VALUE!</v>
      </c>
      <c r="X75" s="7" t="str">
        <f t="shared" si="2"/>
        <v>#VALUE!</v>
      </c>
      <c r="Y75" s="7" t="str">
        <f t="shared" si="3"/>
        <v>#VALUE!</v>
      </c>
      <c r="Z75" s="14">
        <v>3.0</v>
      </c>
      <c r="AA75" s="14">
        <v>2.0</v>
      </c>
      <c r="AB75" s="13" t="str">
        <f t="shared" si="4"/>
        <v>#VALUE!</v>
      </c>
      <c r="AC75" s="15" t="str">
        <f t="shared" si="5"/>
        <v>#VALUE!</v>
      </c>
      <c r="AD75" s="13" t="str">
        <f t="shared" si="6"/>
        <v>#VALUE!</v>
      </c>
      <c r="AE75" s="13" t="str">
        <f t="shared" si="7"/>
        <v>#VALUE!</v>
      </c>
      <c r="AF75" s="13" t="str">
        <f t="shared" si="8"/>
        <v>#VALUE!</v>
      </c>
      <c r="AG75" s="21"/>
      <c r="AH75" s="21"/>
      <c r="AI75" s="21"/>
      <c r="AJ75" s="21"/>
    </row>
    <row r="76">
      <c r="A76" s="7">
        <v>73.0</v>
      </c>
      <c r="B76" s="8">
        <v>76.0</v>
      </c>
      <c r="C76" s="7" t="s">
        <v>392</v>
      </c>
      <c r="D76" s="7" t="s">
        <v>393</v>
      </c>
      <c r="E76" s="7" t="s">
        <v>394</v>
      </c>
      <c r="F76" s="41">
        <v>45625.0</v>
      </c>
      <c r="G76" s="39" t="s">
        <v>387</v>
      </c>
      <c r="H76" s="8" t="s">
        <v>395</v>
      </c>
      <c r="I76" s="7">
        <v>1100000.0</v>
      </c>
      <c r="J76" s="7">
        <v>1100000.0</v>
      </c>
      <c r="K76" s="7" t="s">
        <v>396</v>
      </c>
      <c r="L76" s="7" t="s">
        <v>42</v>
      </c>
      <c r="M76" s="11" t="s">
        <v>397</v>
      </c>
      <c r="N76" s="7"/>
      <c r="O76" s="12"/>
      <c r="P76" s="7" t="s">
        <v>76</v>
      </c>
      <c r="Q76" s="12"/>
      <c r="R76" s="13"/>
      <c r="S76" s="13"/>
      <c r="T76" s="13"/>
      <c r="U76" s="13"/>
      <c r="V76" s="13"/>
      <c r="W76" s="7" t="str">
        <f t="shared" si="1"/>
        <v>#VALUE!</v>
      </c>
      <c r="X76" s="7" t="str">
        <f t="shared" si="2"/>
        <v>#VALUE!</v>
      </c>
      <c r="Y76" s="7" t="str">
        <f t="shared" si="3"/>
        <v>#VALUE!</v>
      </c>
      <c r="Z76" s="14">
        <v>3.0</v>
      </c>
      <c r="AA76" s="14">
        <v>2.0</v>
      </c>
      <c r="AB76" s="13" t="str">
        <f t="shared" si="4"/>
        <v>#VALUE!</v>
      </c>
      <c r="AC76" s="15" t="str">
        <f t="shared" si="5"/>
        <v>#VALUE!</v>
      </c>
      <c r="AD76" s="13" t="str">
        <f t="shared" si="6"/>
        <v>#VALUE!</v>
      </c>
      <c r="AE76" s="13" t="str">
        <f t="shared" si="7"/>
        <v>#VALUE!</v>
      </c>
      <c r="AF76" s="13" t="str">
        <f t="shared" si="8"/>
        <v>#VALUE!</v>
      </c>
      <c r="AG76" s="13"/>
      <c r="AH76" s="13"/>
      <c r="AI76" s="13"/>
      <c r="AJ76" s="13"/>
    </row>
    <row r="77">
      <c r="A77" s="7">
        <v>74.0</v>
      </c>
      <c r="B77" s="8">
        <v>78.0</v>
      </c>
      <c r="C77" s="7" t="s">
        <v>398</v>
      </c>
      <c r="D77" s="7" t="s">
        <v>399</v>
      </c>
      <c r="E77" s="7" t="s">
        <v>400</v>
      </c>
      <c r="F77" s="36">
        <v>45626.0</v>
      </c>
      <c r="G77" s="7" t="s">
        <v>401</v>
      </c>
      <c r="H77" s="8" t="s">
        <v>402</v>
      </c>
      <c r="I77" s="7">
        <v>1700000.0</v>
      </c>
      <c r="J77" s="7">
        <v>1700000.0</v>
      </c>
      <c r="K77" s="7" t="s">
        <v>165</v>
      </c>
      <c r="L77" s="7" t="s">
        <v>42</v>
      </c>
      <c r="M77" s="11" t="s">
        <v>403</v>
      </c>
      <c r="N77" s="7"/>
      <c r="O77" s="12"/>
      <c r="P77" s="7" t="s">
        <v>51</v>
      </c>
      <c r="Q77" s="12"/>
      <c r="R77" s="13"/>
      <c r="S77" s="13"/>
      <c r="T77" s="13"/>
      <c r="U77" s="13"/>
      <c r="V77" s="13"/>
      <c r="W77" s="7" t="str">
        <f t="shared" si="1"/>
        <v>02.12.2024 </v>
      </c>
      <c r="X77" s="7" t="str">
        <f t="shared" si="2"/>
        <v> 02.05.2025</v>
      </c>
      <c r="Y77" s="7">
        <f t="shared" si="3"/>
        <v>21.57142857</v>
      </c>
      <c r="Z77" s="14">
        <v>3.0</v>
      </c>
      <c r="AA77" s="14">
        <v>2.0</v>
      </c>
      <c r="AB77" s="13">
        <f t="shared" si="4"/>
        <v>129.4285714</v>
      </c>
      <c r="AC77" s="15">
        <f t="shared" si="5"/>
        <v>151</v>
      </c>
      <c r="AD77" s="13">
        <f t="shared" si="6"/>
        <v>21.57142857</v>
      </c>
      <c r="AE77" s="13">
        <f t="shared" si="7"/>
        <v>129.4285714</v>
      </c>
      <c r="AF77" s="13">
        <f t="shared" si="8"/>
        <v>0</v>
      </c>
      <c r="AG77" s="13"/>
      <c r="AH77" s="13"/>
      <c r="AI77" s="13"/>
      <c r="AJ77" s="13"/>
    </row>
    <row r="78">
      <c r="A78" s="7">
        <v>75.0</v>
      </c>
      <c r="B78" s="8" t="s">
        <v>30</v>
      </c>
      <c r="C78" s="7" t="s">
        <v>404</v>
      </c>
      <c r="D78" s="7" t="s">
        <v>405</v>
      </c>
      <c r="E78" s="7" t="s">
        <v>27</v>
      </c>
      <c r="F78" s="36">
        <v>45626.0</v>
      </c>
      <c r="G78" s="7" t="s">
        <v>28</v>
      </c>
      <c r="H78" s="8" t="s">
        <v>30</v>
      </c>
      <c r="I78" s="7">
        <v>2000000.0</v>
      </c>
      <c r="J78" s="7">
        <v>2000000.0</v>
      </c>
      <c r="K78" s="7" t="s">
        <v>327</v>
      </c>
      <c r="L78" s="7" t="s">
        <v>406</v>
      </c>
      <c r="M78" s="11" t="s">
        <v>407</v>
      </c>
      <c r="N78" s="7" t="s">
        <v>408</v>
      </c>
      <c r="O78" s="12"/>
      <c r="P78" s="7" t="s">
        <v>409</v>
      </c>
      <c r="Q78" s="12"/>
      <c r="R78" s="13"/>
      <c r="S78" s="13"/>
      <c r="T78" s="13"/>
      <c r="U78" s="13"/>
      <c r="V78" s="13"/>
      <c r="W78" s="7" t="str">
        <f t="shared" si="1"/>
        <v>#VALUE!</v>
      </c>
      <c r="X78" s="7" t="str">
        <f t="shared" si="2"/>
        <v>#VALUE!</v>
      </c>
      <c r="Y78" s="7" t="str">
        <f t="shared" si="3"/>
        <v>#VALUE!</v>
      </c>
      <c r="Z78" s="14">
        <v>3.0</v>
      </c>
      <c r="AA78" s="14">
        <v>2.0</v>
      </c>
      <c r="AB78" s="13" t="str">
        <f t="shared" si="4"/>
        <v>#VALUE!</v>
      </c>
      <c r="AC78" s="15" t="str">
        <f t="shared" si="5"/>
        <v>#VALUE!</v>
      </c>
      <c r="AD78" s="13" t="str">
        <f t="shared" si="6"/>
        <v>#VALUE!</v>
      </c>
      <c r="AE78" s="13" t="str">
        <f t="shared" si="7"/>
        <v>#VALUE!</v>
      </c>
      <c r="AF78" s="13" t="str">
        <f t="shared" si="8"/>
        <v>#VALUE!</v>
      </c>
      <c r="AG78" s="13"/>
      <c r="AH78" s="13"/>
      <c r="AI78" s="13"/>
      <c r="AJ78" s="13"/>
    </row>
    <row r="79">
      <c r="A79" s="7">
        <v>76.0</v>
      </c>
      <c r="B79" s="8">
        <v>79.0</v>
      </c>
      <c r="C79" s="7" t="s">
        <v>410</v>
      </c>
      <c r="D79" s="7" t="s">
        <v>411</v>
      </c>
      <c r="E79" s="7" t="s">
        <v>27</v>
      </c>
      <c r="F79" s="36">
        <v>45626.0</v>
      </c>
      <c r="G79" s="7" t="s">
        <v>28</v>
      </c>
      <c r="H79" s="8" t="s">
        <v>412</v>
      </c>
      <c r="I79" s="7">
        <v>2000000.0</v>
      </c>
      <c r="J79" s="7">
        <v>2000000.0</v>
      </c>
      <c r="K79" s="7" t="s">
        <v>413</v>
      </c>
      <c r="L79" s="7" t="s">
        <v>414</v>
      </c>
      <c r="M79" s="11" t="s">
        <v>415</v>
      </c>
      <c r="N79" s="7"/>
      <c r="O79" s="12"/>
      <c r="P79" s="7" t="s">
        <v>32</v>
      </c>
      <c r="Q79" s="12"/>
      <c r="R79" s="13"/>
      <c r="S79" s="13"/>
      <c r="T79" s="13"/>
      <c r="U79" s="13"/>
      <c r="V79" s="13"/>
      <c r="W79" s="7" t="str">
        <f t="shared" si="1"/>
        <v>02.12.2024 </v>
      </c>
      <c r="X79" s="7" t="str">
        <f t="shared" si="2"/>
        <v>р 02.11.25)</v>
      </c>
      <c r="Y79" s="7" t="str">
        <f t="shared" si="3"/>
        <v>#VALUE!</v>
      </c>
      <c r="Z79" s="14">
        <v>3.0</v>
      </c>
      <c r="AA79" s="14">
        <v>2.0</v>
      </c>
      <c r="AB79" s="13" t="str">
        <f t="shared" si="4"/>
        <v>#VALUE!</v>
      </c>
      <c r="AC79" s="15" t="str">
        <f t="shared" si="5"/>
        <v>#VALUE!</v>
      </c>
      <c r="AD79" s="13" t="str">
        <f t="shared" si="6"/>
        <v>#VALUE!</v>
      </c>
      <c r="AE79" s="13" t="str">
        <f t="shared" si="7"/>
        <v>#VALUE!</v>
      </c>
      <c r="AF79" s="13" t="str">
        <f t="shared" si="8"/>
        <v>#VALUE!</v>
      </c>
      <c r="AG79" s="13"/>
      <c r="AH79" s="13"/>
      <c r="AI79" s="13"/>
      <c r="AJ79" s="13"/>
    </row>
    <row r="80">
      <c r="A80" s="7">
        <v>77.0</v>
      </c>
      <c r="B80" s="8">
        <v>80.0</v>
      </c>
      <c r="C80" s="7" t="s">
        <v>416</v>
      </c>
      <c r="D80" s="7" t="s">
        <v>417</v>
      </c>
      <c r="E80" s="7" t="s">
        <v>319</v>
      </c>
      <c r="F80" s="36">
        <v>45629.0</v>
      </c>
      <c r="G80" s="7" t="s">
        <v>401</v>
      </c>
      <c r="H80" s="8" t="s">
        <v>418</v>
      </c>
      <c r="I80" s="7">
        <v>1500000.0</v>
      </c>
      <c r="J80" s="7">
        <v>1500000.0</v>
      </c>
      <c r="K80" s="7" t="s">
        <v>247</v>
      </c>
      <c r="L80" s="7" t="s">
        <v>277</v>
      </c>
      <c r="M80" s="29" t="s">
        <v>419</v>
      </c>
      <c r="N80" s="7"/>
      <c r="O80" s="12"/>
      <c r="P80" s="7" t="s">
        <v>420</v>
      </c>
      <c r="Q80" s="12"/>
      <c r="R80" s="13"/>
      <c r="S80" s="13"/>
      <c r="T80" s="13"/>
      <c r="U80" s="13"/>
      <c r="V80" s="13"/>
      <c r="W80" s="7" t="str">
        <f t="shared" si="1"/>
        <v>02.12.2024 </v>
      </c>
      <c r="X80" s="7" t="str">
        <f t="shared" si="2"/>
        <v> 02.09.2025</v>
      </c>
      <c r="Y80" s="7">
        <f t="shared" si="3"/>
        <v>39.14285714</v>
      </c>
      <c r="Z80" s="14">
        <v>3.0</v>
      </c>
      <c r="AA80" s="14">
        <v>2.0</v>
      </c>
      <c r="AB80" s="13">
        <f t="shared" si="4"/>
        <v>234.8571429</v>
      </c>
      <c r="AC80" s="15">
        <f t="shared" si="5"/>
        <v>274</v>
      </c>
      <c r="AD80" s="13">
        <f t="shared" si="6"/>
        <v>39.14285714</v>
      </c>
      <c r="AE80" s="13">
        <f t="shared" si="7"/>
        <v>234.8571429</v>
      </c>
      <c r="AF80" s="13">
        <f t="shared" si="8"/>
        <v>0</v>
      </c>
      <c r="AG80" s="13"/>
      <c r="AH80" s="13"/>
      <c r="AI80" s="13"/>
      <c r="AJ80" s="13"/>
    </row>
    <row r="81">
      <c r="A81" s="7">
        <v>78.0</v>
      </c>
      <c r="B81" s="7" t="s">
        <v>30</v>
      </c>
      <c r="C81" s="7" t="s">
        <v>421</v>
      </c>
      <c r="D81" s="7" t="s">
        <v>422</v>
      </c>
      <c r="E81" s="7" t="s">
        <v>319</v>
      </c>
      <c r="F81" s="36">
        <v>45643.0</v>
      </c>
      <c r="G81" s="7" t="s">
        <v>423</v>
      </c>
      <c r="H81" s="8" t="s">
        <v>424</v>
      </c>
      <c r="I81" s="7">
        <v>1800000.0</v>
      </c>
      <c r="J81" s="7">
        <v>1400000.0</v>
      </c>
      <c r="K81" s="12"/>
      <c r="L81" s="7" t="s">
        <v>425</v>
      </c>
      <c r="M81" s="11" t="s">
        <v>426</v>
      </c>
      <c r="N81" s="38" t="s">
        <v>427</v>
      </c>
      <c r="O81" s="12"/>
      <c r="P81" s="7" t="s">
        <v>428</v>
      </c>
      <c r="Q81" s="12"/>
      <c r="R81" s="13"/>
      <c r="S81" s="13"/>
      <c r="T81" s="13"/>
      <c r="U81" s="13"/>
      <c r="V81" s="13"/>
      <c r="W81" s="7" t="str">
        <f t="shared" si="1"/>
        <v>17.12.2025</v>
      </c>
      <c r="X81" s="7" t="str">
        <f t="shared" si="2"/>
        <v>17.06.2025</v>
      </c>
      <c r="Y81" s="7" t="str">
        <f t="shared" si="3"/>
        <v>#NUM!</v>
      </c>
      <c r="Z81" s="14">
        <v>3.0</v>
      </c>
      <c r="AA81" s="14">
        <v>2.0</v>
      </c>
      <c r="AB81" s="13" t="str">
        <f t="shared" si="4"/>
        <v>#NUM!</v>
      </c>
      <c r="AC81" s="15" t="str">
        <f t="shared" si="5"/>
        <v>#NUM!</v>
      </c>
      <c r="AD81" s="13" t="str">
        <f t="shared" si="6"/>
        <v>#NUM!</v>
      </c>
      <c r="AE81" s="13" t="str">
        <f t="shared" si="7"/>
        <v>#NUM!</v>
      </c>
      <c r="AF81" s="13" t="str">
        <f t="shared" si="8"/>
        <v>#NUM!</v>
      </c>
      <c r="AG81" s="13"/>
      <c r="AH81" s="13"/>
      <c r="AI81" s="13"/>
      <c r="AJ81" s="13"/>
    </row>
    <row r="82">
      <c r="A82" s="7">
        <v>79.0</v>
      </c>
      <c r="B82" s="8" t="s">
        <v>30</v>
      </c>
      <c r="C82" s="7" t="s">
        <v>429</v>
      </c>
      <c r="D82" s="46" t="s">
        <v>430</v>
      </c>
      <c r="E82" s="7" t="s">
        <v>319</v>
      </c>
      <c r="F82" s="36">
        <v>45646.0</v>
      </c>
      <c r="G82" s="7" t="s">
        <v>28</v>
      </c>
      <c r="H82" s="8" t="s">
        <v>431</v>
      </c>
      <c r="I82" s="7">
        <v>2150000.0</v>
      </c>
      <c r="J82" s="7">
        <v>2150000.0</v>
      </c>
      <c r="K82" s="7" t="s">
        <v>432</v>
      </c>
      <c r="L82" s="7" t="s">
        <v>433</v>
      </c>
      <c r="M82" s="11" t="s">
        <v>434</v>
      </c>
      <c r="N82" s="7"/>
      <c r="O82" s="12"/>
      <c r="P82" s="7" t="s">
        <v>32</v>
      </c>
      <c r="Q82" s="12"/>
      <c r="R82" s="13"/>
      <c r="S82" s="13"/>
      <c r="T82" s="13"/>
      <c r="U82" s="13"/>
      <c r="V82" s="13"/>
      <c r="W82" s="7" t="str">
        <f t="shared" si="1"/>
        <v>23.12.2024 </v>
      </c>
      <c r="X82" s="7" t="str">
        <f t="shared" si="2"/>
        <v> 07.10.2025</v>
      </c>
      <c r="Y82" s="7">
        <f t="shared" si="3"/>
        <v>41.14285714</v>
      </c>
      <c r="Z82" s="14">
        <v>3.0</v>
      </c>
      <c r="AA82" s="14">
        <v>2.0</v>
      </c>
      <c r="AB82" s="13">
        <f t="shared" si="4"/>
        <v>246.8571429</v>
      </c>
      <c r="AC82" s="15">
        <f t="shared" si="5"/>
        <v>288</v>
      </c>
      <c r="AD82" s="13">
        <f t="shared" si="6"/>
        <v>41.14285714</v>
      </c>
      <c r="AE82" s="13">
        <f t="shared" si="7"/>
        <v>246.8571429</v>
      </c>
      <c r="AF82" s="13">
        <f t="shared" si="8"/>
        <v>0</v>
      </c>
      <c r="AG82" s="13"/>
      <c r="AH82" s="13"/>
      <c r="AI82" s="13"/>
      <c r="AJ82" s="13"/>
    </row>
    <row r="83">
      <c r="A83" s="7">
        <v>80.0</v>
      </c>
      <c r="B83" s="8" t="s">
        <v>30</v>
      </c>
      <c r="C83" s="7" t="s">
        <v>435</v>
      </c>
      <c r="D83" s="7" t="s">
        <v>436</v>
      </c>
      <c r="E83" s="7" t="s">
        <v>27</v>
      </c>
      <c r="F83" s="36">
        <v>45647.0</v>
      </c>
      <c r="G83" s="7" t="s">
        <v>255</v>
      </c>
      <c r="H83" s="23"/>
      <c r="I83" s="7">
        <v>1500000.0</v>
      </c>
      <c r="J83" s="7">
        <v>1500000.0</v>
      </c>
      <c r="K83" s="7" t="s">
        <v>327</v>
      </c>
      <c r="L83" s="7" t="s">
        <v>437</v>
      </c>
      <c r="M83" s="11" t="s">
        <v>438</v>
      </c>
      <c r="N83" s="7" t="s">
        <v>439</v>
      </c>
      <c r="O83" s="12"/>
      <c r="P83" s="7" t="s">
        <v>440</v>
      </c>
      <c r="Q83" s="12"/>
      <c r="R83" s="13"/>
      <c r="S83" s="13"/>
      <c r="T83" s="13"/>
      <c r="U83" s="13"/>
      <c r="V83" s="13"/>
      <c r="W83" s="7" t="str">
        <f t="shared" si="1"/>
        <v>#VALUE!</v>
      </c>
      <c r="X83" s="7" t="str">
        <f t="shared" si="2"/>
        <v>#VALUE!</v>
      </c>
      <c r="Y83" s="7" t="str">
        <f t="shared" si="3"/>
        <v>#VALUE!</v>
      </c>
      <c r="Z83" s="14">
        <v>3.0</v>
      </c>
      <c r="AA83" s="14">
        <v>2.0</v>
      </c>
      <c r="AB83" s="13" t="str">
        <f t="shared" si="4"/>
        <v>#VALUE!</v>
      </c>
      <c r="AC83" s="15" t="str">
        <f t="shared" si="5"/>
        <v>#VALUE!</v>
      </c>
      <c r="AD83" s="13" t="str">
        <f t="shared" si="6"/>
        <v>#VALUE!</v>
      </c>
      <c r="AE83" s="13" t="str">
        <f t="shared" si="7"/>
        <v>#VALUE!</v>
      </c>
      <c r="AF83" s="13" t="str">
        <f t="shared" si="8"/>
        <v>#VALUE!</v>
      </c>
      <c r="AG83" s="13"/>
      <c r="AH83" s="13"/>
      <c r="AI83" s="13"/>
      <c r="AJ83" s="13"/>
    </row>
    <row r="84">
      <c r="A84" s="7">
        <v>81.0</v>
      </c>
      <c r="B84" s="8" t="s">
        <v>30</v>
      </c>
      <c r="C84" s="7" t="s">
        <v>441</v>
      </c>
      <c r="D84" s="7" t="s">
        <v>442</v>
      </c>
      <c r="E84" s="7" t="s">
        <v>319</v>
      </c>
      <c r="F84" s="36">
        <v>45677.0</v>
      </c>
      <c r="G84" s="7" t="s">
        <v>443</v>
      </c>
      <c r="H84" s="8" t="s">
        <v>444</v>
      </c>
      <c r="I84" s="7">
        <v>2500000.0</v>
      </c>
      <c r="J84" s="7">
        <v>1750000.0</v>
      </c>
      <c r="K84" s="7" t="s">
        <v>445</v>
      </c>
      <c r="L84" s="7" t="s">
        <v>446</v>
      </c>
      <c r="M84" s="11" t="s">
        <v>447</v>
      </c>
      <c r="N84" s="25" t="s">
        <v>88</v>
      </c>
      <c r="O84" s="12"/>
      <c r="P84" s="7" t="s">
        <v>32</v>
      </c>
      <c r="Q84" s="12"/>
      <c r="R84" s="13"/>
      <c r="S84" s="13"/>
      <c r="T84" s="13"/>
      <c r="U84" s="13"/>
      <c r="V84" s="13"/>
      <c r="W84" s="7" t="str">
        <f t="shared" si="1"/>
        <v>21.1.2025 </v>
      </c>
      <c r="X84" s="7" t="str">
        <f t="shared" si="2"/>
        <v>21.10.2025</v>
      </c>
      <c r="Y84" s="7">
        <f t="shared" si="3"/>
        <v>39</v>
      </c>
      <c r="Z84" s="14">
        <v>3.0</v>
      </c>
      <c r="AA84" s="14">
        <v>2.0</v>
      </c>
      <c r="AB84" s="13">
        <f t="shared" si="4"/>
        <v>234</v>
      </c>
      <c r="AC84" s="15">
        <f t="shared" si="5"/>
        <v>273</v>
      </c>
      <c r="AD84" s="13">
        <f t="shared" si="6"/>
        <v>39</v>
      </c>
      <c r="AE84" s="13">
        <f t="shared" si="7"/>
        <v>234</v>
      </c>
      <c r="AF84" s="13">
        <f t="shared" si="8"/>
        <v>0</v>
      </c>
      <c r="AG84" s="13"/>
      <c r="AH84" s="13"/>
      <c r="AI84" s="13"/>
      <c r="AJ84" s="13"/>
    </row>
    <row r="85">
      <c r="A85" s="7">
        <v>82.0</v>
      </c>
      <c r="B85" s="8">
        <v>87.0</v>
      </c>
      <c r="C85" s="7" t="s">
        <v>448</v>
      </c>
      <c r="D85" s="7" t="s">
        <v>449</v>
      </c>
      <c r="E85" s="7" t="s">
        <v>319</v>
      </c>
      <c r="F85" s="36">
        <v>45693.0</v>
      </c>
      <c r="G85" s="7" t="s">
        <v>401</v>
      </c>
      <c r="H85" s="7" t="s">
        <v>450</v>
      </c>
      <c r="I85" s="7">
        <v>1700000.0</v>
      </c>
      <c r="J85" s="7">
        <v>1700000.0</v>
      </c>
      <c r="K85" s="7" t="s">
        <v>327</v>
      </c>
      <c r="L85" s="7" t="s">
        <v>277</v>
      </c>
      <c r="M85" s="11" t="s">
        <v>451</v>
      </c>
      <c r="N85" s="7"/>
      <c r="O85" s="12"/>
      <c r="P85" s="7" t="s">
        <v>32</v>
      </c>
      <c r="Q85" s="12"/>
      <c r="R85" s="13"/>
      <c r="S85" s="13"/>
      <c r="T85" s="13"/>
      <c r="U85" s="13"/>
      <c r="V85" s="13"/>
      <c r="W85" s="7" t="str">
        <f t="shared" si="1"/>
        <v>05.02.2025 </v>
      </c>
      <c r="X85" s="7" t="str">
        <f t="shared" si="2"/>
        <v>23 декабря)</v>
      </c>
      <c r="Y85" s="7" t="str">
        <f t="shared" si="3"/>
        <v>#VALUE!</v>
      </c>
      <c r="Z85" s="14">
        <v>3.0</v>
      </c>
      <c r="AA85" s="14">
        <v>2.0</v>
      </c>
      <c r="AB85" s="13" t="str">
        <f t="shared" si="4"/>
        <v>#VALUE!</v>
      </c>
      <c r="AC85" s="15" t="str">
        <f t="shared" si="5"/>
        <v>#VALUE!</v>
      </c>
      <c r="AD85" s="13" t="str">
        <f t="shared" si="6"/>
        <v>#VALUE!</v>
      </c>
      <c r="AE85" s="13" t="str">
        <f t="shared" si="7"/>
        <v>#VALUE!</v>
      </c>
      <c r="AF85" s="13" t="str">
        <f t="shared" si="8"/>
        <v>#VALUE!</v>
      </c>
      <c r="AG85" s="13"/>
      <c r="AH85" s="13"/>
      <c r="AI85" s="13"/>
      <c r="AJ85" s="13"/>
    </row>
    <row r="86">
      <c r="A86" s="7">
        <v>83.0</v>
      </c>
      <c r="B86" s="8">
        <v>88.0</v>
      </c>
      <c r="C86" s="7" t="s">
        <v>452</v>
      </c>
      <c r="D86" s="7" t="s">
        <v>453</v>
      </c>
      <c r="E86" s="7" t="s">
        <v>319</v>
      </c>
      <c r="F86" s="36">
        <v>45693.0</v>
      </c>
      <c r="G86" s="7" t="s">
        <v>28</v>
      </c>
      <c r="H86" s="8" t="s">
        <v>454</v>
      </c>
      <c r="I86" s="7">
        <v>2500000.0</v>
      </c>
      <c r="J86" s="7">
        <v>2500000.0</v>
      </c>
      <c r="K86" s="12"/>
      <c r="L86" s="7" t="s">
        <v>277</v>
      </c>
      <c r="M86" s="47" t="s">
        <v>455</v>
      </c>
      <c r="N86" s="7"/>
      <c r="O86" s="12"/>
      <c r="P86" s="7" t="s">
        <v>32</v>
      </c>
      <c r="Q86" s="12"/>
      <c r="R86" s="13"/>
      <c r="S86" s="13"/>
      <c r="T86" s="13"/>
      <c r="U86" s="13"/>
      <c r="V86" s="13"/>
      <c r="W86" s="7" t="str">
        <f t="shared" si="1"/>
        <v>06.02.2025 </v>
      </c>
      <c r="X86" s="7" t="str">
        <f t="shared" si="2"/>
        <v> 06.11.2025</v>
      </c>
      <c r="Y86" s="7">
        <f t="shared" si="3"/>
        <v>39</v>
      </c>
      <c r="Z86" s="14">
        <v>3.0</v>
      </c>
      <c r="AA86" s="14">
        <v>2.0</v>
      </c>
      <c r="AB86" s="13">
        <f t="shared" si="4"/>
        <v>234</v>
      </c>
      <c r="AC86" s="15">
        <f t="shared" si="5"/>
        <v>273</v>
      </c>
      <c r="AD86" s="13">
        <f t="shared" si="6"/>
        <v>39</v>
      </c>
      <c r="AE86" s="13">
        <f t="shared" si="7"/>
        <v>234</v>
      </c>
      <c r="AF86" s="13">
        <f t="shared" si="8"/>
        <v>0</v>
      </c>
      <c r="AG86" s="13"/>
      <c r="AH86" s="13"/>
      <c r="AI86" s="13"/>
      <c r="AJ86" s="13"/>
    </row>
    <row r="87">
      <c r="A87" s="48">
        <v>84.0</v>
      </c>
      <c r="B87" s="8">
        <v>89.0</v>
      </c>
      <c r="C87" s="7" t="s">
        <v>456</v>
      </c>
      <c r="D87" s="7" t="s">
        <v>457</v>
      </c>
      <c r="E87" s="7" t="s">
        <v>319</v>
      </c>
      <c r="F87" s="36">
        <v>45697.0</v>
      </c>
      <c r="G87" s="7" t="s">
        <v>28</v>
      </c>
      <c r="H87" s="8" t="s">
        <v>458</v>
      </c>
      <c r="I87" s="7">
        <v>2000000.0</v>
      </c>
      <c r="J87" s="7">
        <v>2000000.0</v>
      </c>
      <c r="K87" s="7" t="s">
        <v>165</v>
      </c>
      <c r="L87" s="7" t="s">
        <v>42</v>
      </c>
      <c r="M87" s="11" t="s">
        <v>459</v>
      </c>
      <c r="N87" s="7"/>
      <c r="O87" s="12"/>
      <c r="P87" s="7" t="s">
        <v>32</v>
      </c>
      <c r="Q87" s="12"/>
      <c r="R87" s="13"/>
      <c r="S87" s="13"/>
      <c r="T87" s="13"/>
      <c r="U87" s="13"/>
      <c r="V87" s="13"/>
      <c r="W87" s="7" t="str">
        <f t="shared" si="1"/>
        <v>10.02.2025 </v>
      </c>
      <c r="X87" s="7" t="str">
        <f t="shared" si="2"/>
        <v> 10.11.2025</v>
      </c>
      <c r="Y87" s="7">
        <f t="shared" si="3"/>
        <v>39</v>
      </c>
      <c r="Z87" s="14">
        <v>3.0</v>
      </c>
      <c r="AA87" s="14">
        <v>2.0</v>
      </c>
      <c r="AB87" s="13">
        <f t="shared" si="4"/>
        <v>234</v>
      </c>
      <c r="AC87" s="15">
        <f t="shared" si="5"/>
        <v>273</v>
      </c>
      <c r="AD87" s="13">
        <f t="shared" si="6"/>
        <v>39</v>
      </c>
      <c r="AE87" s="13">
        <f t="shared" si="7"/>
        <v>234</v>
      </c>
      <c r="AF87" s="13">
        <f t="shared" si="8"/>
        <v>0</v>
      </c>
      <c r="AG87" s="13"/>
      <c r="AH87" s="13"/>
      <c r="AI87" s="13"/>
      <c r="AJ87" s="13"/>
    </row>
    <row r="88">
      <c r="A88" s="48">
        <v>85.0</v>
      </c>
      <c r="B88" s="23"/>
      <c r="C88" s="7" t="s">
        <v>460</v>
      </c>
      <c r="D88" s="7" t="s">
        <v>461</v>
      </c>
      <c r="E88" s="7" t="s">
        <v>319</v>
      </c>
      <c r="F88" s="36">
        <v>45698.0</v>
      </c>
      <c r="G88" s="7" t="s">
        <v>401</v>
      </c>
      <c r="H88" s="8" t="s">
        <v>458</v>
      </c>
      <c r="I88" s="7">
        <v>1800000.0</v>
      </c>
      <c r="J88" s="7">
        <v>1800000.0</v>
      </c>
      <c r="K88" s="7" t="s">
        <v>348</v>
      </c>
      <c r="L88" s="7" t="s">
        <v>42</v>
      </c>
      <c r="M88" s="11" t="s">
        <v>462</v>
      </c>
      <c r="N88" s="7"/>
      <c r="O88" s="12"/>
      <c r="P88" s="7" t="s">
        <v>32</v>
      </c>
      <c r="Q88" s="12"/>
      <c r="R88" s="13"/>
      <c r="S88" s="13"/>
      <c r="T88" s="13"/>
      <c r="U88" s="13"/>
      <c r="V88" s="13"/>
      <c r="W88" s="7" t="str">
        <f t="shared" si="1"/>
        <v>10.02.2025 </v>
      </c>
      <c r="X88" s="7" t="str">
        <f t="shared" si="2"/>
        <v> 10.11.2025</v>
      </c>
      <c r="Y88" s="7">
        <f t="shared" si="3"/>
        <v>39</v>
      </c>
      <c r="Z88" s="14">
        <v>3.0</v>
      </c>
      <c r="AA88" s="14">
        <v>2.0</v>
      </c>
      <c r="AB88" s="13">
        <f t="shared" si="4"/>
        <v>234</v>
      </c>
      <c r="AC88" s="15">
        <f t="shared" si="5"/>
        <v>273</v>
      </c>
      <c r="AD88" s="13">
        <f t="shared" si="6"/>
        <v>39</v>
      </c>
      <c r="AE88" s="13">
        <f t="shared" si="7"/>
        <v>234</v>
      </c>
      <c r="AF88" s="13">
        <f t="shared" si="8"/>
        <v>0</v>
      </c>
      <c r="AG88" s="13"/>
      <c r="AH88" s="13"/>
      <c r="AI88" s="13"/>
      <c r="AJ88" s="13"/>
    </row>
    <row r="89">
      <c r="A89" s="48">
        <v>86.0</v>
      </c>
      <c r="B89" s="48">
        <v>83.0</v>
      </c>
      <c r="C89" s="7" t="s">
        <v>463</v>
      </c>
      <c r="D89" s="7" t="s">
        <v>464</v>
      </c>
      <c r="E89" s="7" t="s">
        <v>27</v>
      </c>
      <c r="F89" s="36">
        <v>45677.0</v>
      </c>
      <c r="G89" s="7" t="s">
        <v>465</v>
      </c>
      <c r="H89" s="8" t="s">
        <v>466</v>
      </c>
      <c r="I89" s="7">
        <v>1000000.0</v>
      </c>
      <c r="J89" s="7">
        <v>1000000.0</v>
      </c>
      <c r="K89" s="12"/>
      <c r="L89" s="7" t="s">
        <v>42</v>
      </c>
      <c r="M89" s="11" t="s">
        <v>467</v>
      </c>
      <c r="N89" s="7"/>
      <c r="O89" s="12"/>
      <c r="P89" s="7" t="s">
        <v>468</v>
      </c>
      <c r="Q89" s="12"/>
      <c r="R89" s="13"/>
      <c r="S89" s="13"/>
      <c r="T89" s="13"/>
      <c r="U89" s="13"/>
      <c r="V89" s="13"/>
      <c r="W89" s="7" t="str">
        <f t="shared" si="1"/>
        <v>21.01.2025 </v>
      </c>
      <c r="X89" s="7" t="str">
        <f t="shared" si="2"/>
        <v> 30.10.2025</v>
      </c>
      <c r="Y89" s="7">
        <f t="shared" si="3"/>
        <v>40.28571429</v>
      </c>
      <c r="Z89" s="14">
        <v>3.0</v>
      </c>
      <c r="AA89" s="14">
        <v>2.0</v>
      </c>
      <c r="AB89" s="13">
        <f t="shared" si="4"/>
        <v>241.7142857</v>
      </c>
      <c r="AC89" s="15">
        <f t="shared" si="5"/>
        <v>282</v>
      </c>
      <c r="AD89" s="13">
        <f t="shared" si="6"/>
        <v>40.28571429</v>
      </c>
      <c r="AE89" s="13">
        <f t="shared" si="7"/>
        <v>241.7142857</v>
      </c>
      <c r="AF89" s="13">
        <f t="shared" si="8"/>
        <v>0</v>
      </c>
      <c r="AG89" s="13"/>
      <c r="AH89" s="13"/>
      <c r="AI89" s="13"/>
      <c r="AJ89" s="13"/>
    </row>
    <row r="90">
      <c r="A90" s="48">
        <v>97.0</v>
      </c>
      <c r="B90" s="48">
        <v>86.0</v>
      </c>
      <c r="C90" s="49" t="s">
        <v>469</v>
      </c>
      <c r="D90" s="7" t="s">
        <v>470</v>
      </c>
      <c r="E90" s="7" t="s">
        <v>319</v>
      </c>
      <c r="F90" s="9">
        <v>45678.0</v>
      </c>
      <c r="G90" s="7" t="s">
        <v>471</v>
      </c>
      <c r="H90" s="48" t="s">
        <v>472</v>
      </c>
      <c r="I90" s="7">
        <v>3500000.0</v>
      </c>
      <c r="J90" s="7">
        <v>2000000.0</v>
      </c>
      <c r="K90" s="7" t="s">
        <v>165</v>
      </c>
      <c r="L90" s="7" t="s">
        <v>473</v>
      </c>
      <c r="M90" s="11" t="s">
        <v>474</v>
      </c>
      <c r="N90" s="7"/>
      <c r="O90" s="12"/>
      <c r="P90" s="7" t="s">
        <v>475</v>
      </c>
      <c r="Q90" s="12"/>
      <c r="R90" s="13"/>
      <c r="S90" s="13"/>
      <c r="T90" s="13"/>
      <c r="U90" s="13"/>
      <c r="V90" s="13"/>
      <c r="W90" s="7" t="str">
        <f t="shared" si="1"/>
        <v>12.12.2025</v>
      </c>
      <c r="X90" s="7" t="str">
        <f t="shared" si="2"/>
        <v>12.09.2026</v>
      </c>
      <c r="Y90" s="7">
        <f t="shared" si="3"/>
        <v>39.14285714</v>
      </c>
      <c r="Z90" s="14">
        <v>3.0</v>
      </c>
      <c r="AA90" s="14">
        <v>2.0</v>
      </c>
      <c r="AB90" s="13">
        <f t="shared" si="4"/>
        <v>234.8571429</v>
      </c>
      <c r="AC90" s="15">
        <f t="shared" si="5"/>
        <v>90</v>
      </c>
      <c r="AD90" s="13">
        <f t="shared" si="6"/>
        <v>12.85714286</v>
      </c>
      <c r="AE90" s="13">
        <f t="shared" si="7"/>
        <v>77.14285714</v>
      </c>
      <c r="AF90" s="13">
        <f t="shared" si="8"/>
        <v>157.7142857</v>
      </c>
      <c r="AG90" s="13"/>
      <c r="AH90" s="13"/>
      <c r="AI90" s="13"/>
      <c r="AJ90" s="13"/>
    </row>
    <row r="91">
      <c r="A91" s="7">
        <v>88.0</v>
      </c>
      <c r="B91" s="8">
        <v>92.0</v>
      </c>
      <c r="C91" s="7" t="s">
        <v>476</v>
      </c>
      <c r="D91" s="7" t="s">
        <v>477</v>
      </c>
      <c r="E91" s="7" t="s">
        <v>290</v>
      </c>
      <c r="F91" s="9">
        <v>45703.0</v>
      </c>
      <c r="G91" s="7" t="s">
        <v>401</v>
      </c>
      <c r="H91" s="8" t="s">
        <v>478</v>
      </c>
      <c r="I91" s="7">
        <v>2300000.0</v>
      </c>
      <c r="J91" s="7">
        <v>2300000.0</v>
      </c>
      <c r="K91" s="7" t="s">
        <v>165</v>
      </c>
      <c r="L91" s="7" t="s">
        <v>42</v>
      </c>
      <c r="M91" s="11" t="s">
        <v>479</v>
      </c>
      <c r="N91" s="12"/>
      <c r="O91" s="12"/>
      <c r="P91" s="7" t="s">
        <v>480</v>
      </c>
      <c r="Q91" s="12"/>
      <c r="R91" s="13"/>
      <c r="S91" s="13"/>
      <c r="T91" s="13"/>
      <c r="U91" s="13"/>
      <c r="V91" s="13"/>
      <c r="W91" s="7" t="str">
        <f t="shared" si="1"/>
        <v>19.02.2025 </v>
      </c>
      <c r="X91" s="7" t="str">
        <f t="shared" si="2"/>
        <v> 19.11.2025</v>
      </c>
      <c r="Y91" s="7">
        <f t="shared" si="3"/>
        <v>39</v>
      </c>
      <c r="Z91" s="14">
        <v>3.0</v>
      </c>
      <c r="AA91" s="14">
        <v>2.0</v>
      </c>
      <c r="AB91" s="13">
        <f t="shared" si="4"/>
        <v>234</v>
      </c>
      <c r="AC91" s="15">
        <f t="shared" si="5"/>
        <v>273</v>
      </c>
      <c r="AD91" s="13">
        <f t="shared" si="6"/>
        <v>39</v>
      </c>
      <c r="AE91" s="13">
        <f t="shared" si="7"/>
        <v>234</v>
      </c>
      <c r="AF91" s="13">
        <f t="shared" si="8"/>
        <v>0</v>
      </c>
      <c r="AG91" s="13"/>
      <c r="AH91" s="13"/>
      <c r="AI91" s="13"/>
      <c r="AJ91" s="13"/>
    </row>
    <row r="92">
      <c r="A92" s="10">
        <v>89.0</v>
      </c>
      <c r="B92" s="10">
        <v>91.0</v>
      </c>
      <c r="C92" s="10" t="s">
        <v>481</v>
      </c>
      <c r="D92" s="10" t="s">
        <v>482</v>
      </c>
      <c r="E92" s="10" t="s">
        <v>290</v>
      </c>
      <c r="F92" s="18">
        <v>45703.0</v>
      </c>
      <c r="G92" s="10" t="s">
        <v>401</v>
      </c>
      <c r="H92" s="10" t="s">
        <v>483</v>
      </c>
      <c r="I92" s="10">
        <v>2000000.0</v>
      </c>
      <c r="J92" s="10">
        <v>0.0</v>
      </c>
      <c r="K92" s="10">
        <v>0.0</v>
      </c>
      <c r="L92" s="10">
        <v>0.0</v>
      </c>
      <c r="M92" s="20"/>
      <c r="N92" s="20"/>
      <c r="O92" s="20"/>
      <c r="P92" s="10" t="s">
        <v>72</v>
      </c>
      <c r="Q92" s="20"/>
      <c r="R92" s="21"/>
      <c r="S92" s="21"/>
      <c r="T92" s="21"/>
      <c r="U92" s="21"/>
      <c r="V92" s="21"/>
      <c r="W92" s="7" t="str">
        <f t="shared" si="1"/>
        <v>17.02.2025 </v>
      </c>
      <c r="X92" s="7" t="str">
        <f t="shared" si="2"/>
        <v> 17.11.2025</v>
      </c>
      <c r="Y92" s="7">
        <f t="shared" si="3"/>
        <v>39</v>
      </c>
      <c r="Z92" s="14">
        <v>3.0</v>
      </c>
      <c r="AA92" s="14">
        <v>2.0</v>
      </c>
      <c r="AB92" s="13">
        <f t="shared" si="4"/>
        <v>234</v>
      </c>
      <c r="AC92" s="15">
        <f t="shared" si="5"/>
        <v>273</v>
      </c>
      <c r="AD92" s="13">
        <f t="shared" si="6"/>
        <v>39</v>
      </c>
      <c r="AE92" s="13">
        <f t="shared" si="7"/>
        <v>234</v>
      </c>
      <c r="AF92" s="13">
        <f t="shared" si="8"/>
        <v>0</v>
      </c>
      <c r="AG92" s="21"/>
      <c r="AH92" s="21"/>
      <c r="AI92" s="21"/>
      <c r="AJ92" s="21"/>
    </row>
    <row r="93">
      <c r="A93" s="7">
        <v>90.0</v>
      </c>
      <c r="B93" s="8">
        <v>100.0</v>
      </c>
      <c r="C93" s="7" t="s">
        <v>484</v>
      </c>
      <c r="D93" s="7" t="s">
        <v>485</v>
      </c>
      <c r="E93" s="7" t="s">
        <v>62</v>
      </c>
      <c r="F93" s="50">
        <v>45747.0</v>
      </c>
      <c r="G93" s="7" t="s">
        <v>401</v>
      </c>
      <c r="H93" s="8" t="s">
        <v>486</v>
      </c>
      <c r="I93" s="7">
        <v>1950000.0</v>
      </c>
      <c r="J93" s="7">
        <v>1950000.0</v>
      </c>
      <c r="K93" s="12"/>
      <c r="L93" s="7" t="s">
        <v>487</v>
      </c>
      <c r="M93" s="11" t="s">
        <v>488</v>
      </c>
      <c r="N93" s="12"/>
      <c r="O93" s="12"/>
      <c r="P93" s="7" t="s">
        <v>32</v>
      </c>
      <c r="Q93" s="12"/>
      <c r="R93" s="13"/>
      <c r="S93" s="13"/>
      <c r="T93" s="13"/>
      <c r="U93" s="13"/>
      <c r="V93" s="13"/>
      <c r="W93" s="7" t="str">
        <f t="shared" si="1"/>
        <v>31.03.2025</v>
      </c>
      <c r="X93" s="7" t="str">
        <f t="shared" si="2"/>
        <v>31.12.2025</v>
      </c>
      <c r="Y93" s="7">
        <f t="shared" si="3"/>
        <v>39.28571429</v>
      </c>
      <c r="Z93" s="14">
        <v>3.0</v>
      </c>
      <c r="AA93" s="14">
        <v>2.0</v>
      </c>
      <c r="AB93" s="13">
        <f t="shared" si="4"/>
        <v>235.7142857</v>
      </c>
      <c r="AC93" s="15">
        <f t="shared" si="5"/>
        <v>275</v>
      </c>
      <c r="AD93" s="13">
        <f t="shared" si="6"/>
        <v>39.28571429</v>
      </c>
      <c r="AE93" s="13">
        <f t="shared" si="7"/>
        <v>235.7142857</v>
      </c>
      <c r="AF93" s="13">
        <f t="shared" si="8"/>
        <v>0</v>
      </c>
      <c r="AG93" s="13"/>
      <c r="AH93" s="13"/>
      <c r="AI93" s="13"/>
      <c r="AJ93" s="13"/>
    </row>
    <row r="94">
      <c r="A94" s="7">
        <v>91.0</v>
      </c>
      <c r="B94" s="8">
        <v>94.0</v>
      </c>
      <c r="C94" s="7" t="s">
        <v>489</v>
      </c>
      <c r="D94" s="7" t="s">
        <v>490</v>
      </c>
      <c r="E94" s="7" t="s">
        <v>27</v>
      </c>
      <c r="F94" s="50">
        <v>45713.0</v>
      </c>
      <c r="G94" s="7" t="s">
        <v>491</v>
      </c>
      <c r="H94" s="8" t="s">
        <v>492</v>
      </c>
      <c r="I94" s="7">
        <v>2500000.0</v>
      </c>
      <c r="J94" s="7">
        <v>2500000.0</v>
      </c>
      <c r="K94" s="7" t="s">
        <v>165</v>
      </c>
      <c r="L94" s="7" t="s">
        <v>42</v>
      </c>
      <c r="M94" s="11" t="s">
        <v>493</v>
      </c>
      <c r="N94" s="25" t="s">
        <v>88</v>
      </c>
      <c r="O94" s="12"/>
      <c r="P94" s="7" t="s">
        <v>32</v>
      </c>
      <c r="Q94" s="12"/>
      <c r="R94" s="13"/>
      <c r="S94" s="13"/>
      <c r="T94" s="13"/>
      <c r="U94" s="13"/>
      <c r="V94" s="13"/>
      <c r="W94" s="7" t="str">
        <f t="shared" si="1"/>
        <v>26.02.2025</v>
      </c>
      <c r="X94" s="7" t="str">
        <f t="shared" si="2"/>
        <v>26.11.2025</v>
      </c>
      <c r="Y94" s="7">
        <f t="shared" si="3"/>
        <v>39</v>
      </c>
      <c r="Z94" s="14">
        <v>3.0</v>
      </c>
      <c r="AA94" s="14">
        <v>2.0</v>
      </c>
      <c r="AB94" s="13">
        <f t="shared" si="4"/>
        <v>234</v>
      </c>
      <c r="AC94" s="15">
        <f t="shared" si="5"/>
        <v>273</v>
      </c>
      <c r="AD94" s="13">
        <f t="shared" si="6"/>
        <v>39</v>
      </c>
      <c r="AE94" s="13">
        <f t="shared" si="7"/>
        <v>234</v>
      </c>
      <c r="AF94" s="13">
        <f t="shared" si="8"/>
        <v>0</v>
      </c>
      <c r="AG94" s="13"/>
      <c r="AH94" s="13"/>
      <c r="AI94" s="13"/>
      <c r="AJ94" s="13"/>
    </row>
    <row r="95">
      <c r="A95" s="7">
        <v>92.0</v>
      </c>
      <c r="B95" s="8">
        <v>95.0</v>
      </c>
      <c r="C95" s="7" t="s">
        <v>494</v>
      </c>
      <c r="D95" s="7" t="s">
        <v>495</v>
      </c>
      <c r="E95" s="7" t="s">
        <v>62</v>
      </c>
      <c r="F95" s="50">
        <v>45726.0</v>
      </c>
      <c r="G95" s="12"/>
      <c r="H95" s="12"/>
      <c r="I95" s="12"/>
      <c r="J95" s="12"/>
      <c r="K95" s="12"/>
      <c r="L95" s="12"/>
      <c r="M95" s="11" t="s">
        <v>496</v>
      </c>
      <c r="N95" s="12"/>
      <c r="O95" s="12"/>
      <c r="P95" s="7" t="s">
        <v>368</v>
      </c>
      <c r="Q95" s="12"/>
      <c r="R95" s="13"/>
      <c r="S95" s="13"/>
      <c r="T95" s="13"/>
      <c r="U95" s="13"/>
      <c r="V95" s="13"/>
      <c r="W95" s="7" t="str">
        <f t="shared" si="1"/>
        <v>#VALUE!</v>
      </c>
      <c r="X95" s="7" t="str">
        <f t="shared" si="2"/>
        <v>#VALUE!</v>
      </c>
      <c r="Y95" s="7" t="str">
        <f t="shared" si="3"/>
        <v>#VALUE!</v>
      </c>
      <c r="Z95" s="14">
        <v>3.0</v>
      </c>
      <c r="AA95" s="14">
        <v>2.0</v>
      </c>
      <c r="AB95" s="13" t="str">
        <f t="shared" si="4"/>
        <v>#VALUE!</v>
      </c>
      <c r="AC95" s="15" t="str">
        <f t="shared" si="5"/>
        <v>#VALUE!</v>
      </c>
      <c r="AD95" s="13" t="str">
        <f t="shared" si="6"/>
        <v>#VALUE!</v>
      </c>
      <c r="AE95" s="13" t="str">
        <f t="shared" si="7"/>
        <v>#VALUE!</v>
      </c>
      <c r="AF95" s="13" t="str">
        <f t="shared" si="8"/>
        <v>#VALUE!</v>
      </c>
      <c r="AG95" s="13"/>
      <c r="AH95" s="13"/>
      <c r="AI95" s="13"/>
      <c r="AJ95" s="13"/>
    </row>
    <row r="96">
      <c r="A96" s="7">
        <v>93.0</v>
      </c>
      <c r="B96" s="8">
        <v>96.0</v>
      </c>
      <c r="C96" s="7" t="s">
        <v>497</v>
      </c>
      <c r="D96" s="7" t="s">
        <v>498</v>
      </c>
      <c r="E96" s="7" t="s">
        <v>290</v>
      </c>
      <c r="F96" s="9">
        <v>45716.0</v>
      </c>
      <c r="G96" s="7" t="s">
        <v>401</v>
      </c>
      <c r="H96" s="8" t="s">
        <v>499</v>
      </c>
      <c r="I96" s="7">
        <v>2000000.0</v>
      </c>
      <c r="J96" s="7">
        <v>2000000.0</v>
      </c>
      <c r="K96" s="7" t="s">
        <v>165</v>
      </c>
      <c r="L96" s="7" t="s">
        <v>42</v>
      </c>
      <c r="M96" s="11" t="s">
        <v>500</v>
      </c>
      <c r="N96" s="12"/>
      <c r="O96" s="12"/>
      <c r="P96" s="7" t="s">
        <v>501</v>
      </c>
      <c r="Q96" s="12"/>
      <c r="R96" s="13"/>
      <c r="S96" s="13"/>
      <c r="T96" s="13"/>
      <c r="U96" s="13"/>
      <c r="V96" s="13"/>
      <c r="W96" s="7" t="str">
        <f t="shared" si="1"/>
        <v>03.03.2025</v>
      </c>
      <c r="X96" s="7" t="str">
        <f t="shared" si="2"/>
        <v>03.12.2025</v>
      </c>
      <c r="Y96" s="7">
        <f t="shared" si="3"/>
        <v>39.28571429</v>
      </c>
      <c r="Z96" s="14">
        <v>3.0</v>
      </c>
      <c r="AA96" s="14">
        <v>2.0</v>
      </c>
      <c r="AB96" s="13">
        <f t="shared" si="4"/>
        <v>235.7142857</v>
      </c>
      <c r="AC96" s="15">
        <f t="shared" si="5"/>
        <v>275</v>
      </c>
      <c r="AD96" s="13">
        <f t="shared" si="6"/>
        <v>39.28571429</v>
      </c>
      <c r="AE96" s="13">
        <f t="shared" si="7"/>
        <v>235.7142857</v>
      </c>
      <c r="AF96" s="13">
        <f t="shared" si="8"/>
        <v>0</v>
      </c>
      <c r="AG96" s="13"/>
      <c r="AH96" s="13"/>
      <c r="AI96" s="13"/>
      <c r="AJ96" s="13"/>
    </row>
    <row r="97">
      <c r="A97" s="7">
        <v>94.0</v>
      </c>
      <c r="B97" s="8">
        <v>96.0</v>
      </c>
      <c r="C97" s="7" t="s">
        <v>502</v>
      </c>
      <c r="D97" s="7" t="s">
        <v>503</v>
      </c>
      <c r="E97" s="7" t="s">
        <v>319</v>
      </c>
      <c r="F97" s="9">
        <v>45728.0</v>
      </c>
      <c r="G97" s="7" t="s">
        <v>28</v>
      </c>
      <c r="H97" s="8" t="s">
        <v>504</v>
      </c>
      <c r="I97" s="7">
        <v>2300000.0</v>
      </c>
      <c r="J97" s="7">
        <v>2300000.0</v>
      </c>
      <c r="K97" s="7" t="s">
        <v>327</v>
      </c>
      <c r="L97" s="7" t="s">
        <v>505</v>
      </c>
      <c r="M97" s="11" t="s">
        <v>506</v>
      </c>
      <c r="N97" s="12"/>
      <c r="O97" s="12"/>
      <c r="P97" s="7" t="s">
        <v>168</v>
      </c>
      <c r="Q97" s="12"/>
      <c r="R97" s="13"/>
      <c r="S97" s="13"/>
      <c r="T97" s="13"/>
      <c r="U97" s="13"/>
      <c r="V97" s="13"/>
      <c r="W97" s="7" t="str">
        <f t="shared" si="1"/>
        <v>12.03.2025</v>
      </c>
      <c r="X97" s="7" t="str">
        <f t="shared" si="2"/>
        <v>12.12.2025</v>
      </c>
      <c r="Y97" s="7">
        <f t="shared" si="3"/>
        <v>39.28571429</v>
      </c>
      <c r="Z97" s="14">
        <v>3.0</v>
      </c>
      <c r="AA97" s="14">
        <v>2.0</v>
      </c>
      <c r="AB97" s="13">
        <f t="shared" si="4"/>
        <v>235.7142857</v>
      </c>
      <c r="AC97" s="15">
        <f t="shared" si="5"/>
        <v>275</v>
      </c>
      <c r="AD97" s="13">
        <f t="shared" si="6"/>
        <v>39.28571429</v>
      </c>
      <c r="AE97" s="13">
        <f t="shared" si="7"/>
        <v>235.7142857</v>
      </c>
      <c r="AF97" s="13">
        <f t="shared" si="8"/>
        <v>0</v>
      </c>
      <c r="AG97" s="13"/>
      <c r="AH97" s="13"/>
      <c r="AI97" s="13"/>
      <c r="AJ97" s="13"/>
    </row>
    <row r="98">
      <c r="A98" s="7">
        <v>95.0</v>
      </c>
      <c r="B98" s="8">
        <v>96.0</v>
      </c>
      <c r="C98" s="7" t="s">
        <v>507</v>
      </c>
      <c r="D98" s="7" t="s">
        <v>508</v>
      </c>
      <c r="E98" s="7" t="s">
        <v>319</v>
      </c>
      <c r="F98" s="50">
        <v>45731.0</v>
      </c>
      <c r="G98" s="7" t="s">
        <v>509</v>
      </c>
      <c r="H98" s="8" t="s">
        <v>510</v>
      </c>
      <c r="I98" s="7">
        <v>940000.0</v>
      </c>
      <c r="J98" s="7">
        <v>940000.0</v>
      </c>
      <c r="K98" s="7" t="s">
        <v>327</v>
      </c>
      <c r="L98" s="12"/>
      <c r="M98" s="11" t="s">
        <v>511</v>
      </c>
      <c r="N98" s="12"/>
      <c r="O98" s="12"/>
      <c r="P98" s="7" t="s">
        <v>51</v>
      </c>
      <c r="Q98" s="12"/>
      <c r="R98" s="13"/>
      <c r="S98" s="13"/>
      <c r="T98" s="13"/>
      <c r="U98" s="13"/>
      <c r="V98" s="13"/>
      <c r="W98" s="7" t="str">
        <f t="shared" si="1"/>
        <v>15.03.2025</v>
      </c>
      <c r="X98" s="7" t="str">
        <f t="shared" si="2"/>
        <v>31.08.2025</v>
      </c>
      <c r="Y98" s="7">
        <f t="shared" si="3"/>
        <v>24.14285714</v>
      </c>
      <c r="Z98" s="14">
        <v>3.0</v>
      </c>
      <c r="AA98" s="14">
        <v>2.0</v>
      </c>
      <c r="AB98" s="13">
        <f t="shared" si="4"/>
        <v>144.8571429</v>
      </c>
      <c r="AC98" s="15">
        <f t="shared" si="5"/>
        <v>169</v>
      </c>
      <c r="AD98" s="13">
        <f t="shared" si="6"/>
        <v>24.14285714</v>
      </c>
      <c r="AE98" s="13">
        <f t="shared" si="7"/>
        <v>144.8571429</v>
      </c>
      <c r="AF98" s="13">
        <f t="shared" si="8"/>
        <v>0</v>
      </c>
      <c r="AG98" s="13"/>
      <c r="AH98" s="13"/>
      <c r="AI98" s="13"/>
      <c r="AJ98" s="13"/>
    </row>
    <row r="99">
      <c r="A99" s="7">
        <v>96.0</v>
      </c>
      <c r="B99" s="8">
        <v>98.0</v>
      </c>
      <c r="C99" s="7" t="s">
        <v>512</v>
      </c>
      <c r="D99" s="7" t="s">
        <v>513</v>
      </c>
      <c r="E99" s="7" t="s">
        <v>319</v>
      </c>
      <c r="F99" s="9">
        <v>45743.0</v>
      </c>
      <c r="G99" s="7" t="s">
        <v>514</v>
      </c>
      <c r="H99" s="12"/>
      <c r="I99" s="7">
        <v>1150000.0</v>
      </c>
      <c r="J99" s="7">
        <v>1150000.0</v>
      </c>
      <c r="K99" s="12"/>
      <c r="L99" s="7" t="s">
        <v>42</v>
      </c>
      <c r="M99" s="11" t="s">
        <v>515</v>
      </c>
      <c r="N99" s="12"/>
      <c r="O99" s="12"/>
      <c r="P99" s="7" t="s">
        <v>51</v>
      </c>
      <c r="Q99" s="12"/>
      <c r="R99" s="13"/>
      <c r="S99" s="13"/>
      <c r="T99" s="13"/>
      <c r="U99" s="13"/>
      <c r="V99" s="13"/>
      <c r="W99" s="7" t="str">
        <f t="shared" si="1"/>
        <v>#VALUE!</v>
      </c>
      <c r="X99" s="7" t="str">
        <f t="shared" si="2"/>
        <v>#VALUE!</v>
      </c>
      <c r="Y99" s="7" t="str">
        <f t="shared" si="3"/>
        <v>#VALUE!</v>
      </c>
      <c r="Z99" s="14">
        <v>3.0</v>
      </c>
      <c r="AA99" s="14">
        <v>2.0</v>
      </c>
      <c r="AB99" s="13" t="str">
        <f t="shared" si="4"/>
        <v>#VALUE!</v>
      </c>
      <c r="AC99" s="15" t="str">
        <f t="shared" si="5"/>
        <v>#VALUE!</v>
      </c>
      <c r="AD99" s="13" t="str">
        <f t="shared" si="6"/>
        <v>#VALUE!</v>
      </c>
      <c r="AE99" s="13" t="str">
        <f t="shared" si="7"/>
        <v>#VALUE!</v>
      </c>
      <c r="AF99" s="13" t="str">
        <f t="shared" si="8"/>
        <v>#VALUE!</v>
      </c>
      <c r="AG99" s="13"/>
      <c r="AH99" s="13"/>
      <c r="AI99" s="13"/>
      <c r="AJ99" s="13"/>
    </row>
    <row r="100">
      <c r="A100" s="7">
        <v>104.0</v>
      </c>
      <c r="B100" s="8">
        <v>101.0</v>
      </c>
      <c r="C100" s="7" t="s">
        <v>516</v>
      </c>
      <c r="D100" s="7" t="s">
        <v>517</v>
      </c>
      <c r="E100" s="7" t="s">
        <v>62</v>
      </c>
      <c r="F100" s="9">
        <v>45747.0</v>
      </c>
      <c r="G100" s="7" t="s">
        <v>28</v>
      </c>
      <c r="H100" s="8" t="s">
        <v>518</v>
      </c>
      <c r="I100" s="7">
        <v>3050000.0</v>
      </c>
      <c r="J100" s="7">
        <v>3050000.0</v>
      </c>
      <c r="K100" s="7" t="s">
        <v>519</v>
      </c>
      <c r="L100" s="7" t="s">
        <v>520</v>
      </c>
      <c r="M100" s="11" t="s">
        <v>521</v>
      </c>
      <c r="N100" s="12"/>
      <c r="O100" s="12"/>
      <c r="P100" s="7" t="s">
        <v>522</v>
      </c>
      <c r="Q100" s="12"/>
      <c r="R100" s="13"/>
      <c r="S100" s="13"/>
      <c r="T100" s="13"/>
      <c r="U100" s="13"/>
      <c r="V100" s="13"/>
      <c r="W100" s="7" t="str">
        <f t="shared" si="1"/>
        <v>01.04.2025</v>
      </c>
      <c r="X100" s="7" t="str">
        <f t="shared" si="2"/>
        <v>01.12.2025</v>
      </c>
      <c r="Y100" s="7">
        <f t="shared" si="3"/>
        <v>34.85714286</v>
      </c>
      <c r="Z100" s="14">
        <v>3.0</v>
      </c>
      <c r="AA100" s="14">
        <v>2.0</v>
      </c>
      <c r="AB100" s="13">
        <f t="shared" si="4"/>
        <v>209.1428571</v>
      </c>
      <c r="AC100" s="15">
        <f t="shared" si="5"/>
        <v>244</v>
      </c>
      <c r="AD100" s="13">
        <f t="shared" si="6"/>
        <v>34.85714286</v>
      </c>
      <c r="AE100" s="13">
        <f t="shared" si="7"/>
        <v>209.1428571</v>
      </c>
      <c r="AF100" s="13">
        <f t="shared" si="8"/>
        <v>0</v>
      </c>
      <c r="AG100" s="13"/>
      <c r="AH100" s="13"/>
      <c r="AI100" s="13"/>
      <c r="AJ100" s="13"/>
    </row>
    <row r="101">
      <c r="A101" s="7">
        <v>97.0</v>
      </c>
      <c r="B101" s="8">
        <v>102.0</v>
      </c>
      <c r="C101" s="7" t="s">
        <v>523</v>
      </c>
      <c r="D101" s="7" t="s">
        <v>524</v>
      </c>
      <c r="E101" s="7" t="s">
        <v>62</v>
      </c>
      <c r="F101" s="9">
        <v>45750.0</v>
      </c>
      <c r="G101" s="7" t="s">
        <v>525</v>
      </c>
      <c r="H101" s="48" t="s">
        <v>526</v>
      </c>
      <c r="I101" s="7">
        <v>475000.0</v>
      </c>
      <c r="J101" s="7">
        <v>475000.0</v>
      </c>
      <c r="K101" s="7" t="s">
        <v>527</v>
      </c>
      <c r="L101" s="12"/>
      <c r="M101" s="11" t="s">
        <v>528</v>
      </c>
      <c r="N101" s="12"/>
      <c r="O101" s="12"/>
      <c r="P101" s="7" t="s">
        <v>529</v>
      </c>
      <c r="Q101" s="12"/>
      <c r="R101" s="13"/>
      <c r="S101" s="13"/>
      <c r="T101" s="13"/>
      <c r="U101" s="13"/>
      <c r="V101" s="13"/>
      <c r="W101" s="7" t="str">
        <f t="shared" si="1"/>
        <v>03.04.2025</v>
      </c>
      <c r="X101" s="7" t="str">
        <f t="shared" si="2"/>
        <v>31.08.2025</v>
      </c>
      <c r="Y101" s="7">
        <f t="shared" si="3"/>
        <v>21.42857143</v>
      </c>
      <c r="Z101" s="14">
        <v>3.0</v>
      </c>
      <c r="AA101" s="14">
        <v>2.0</v>
      </c>
      <c r="AB101" s="13">
        <f t="shared" si="4"/>
        <v>128.5714286</v>
      </c>
      <c r="AC101" s="15">
        <f t="shared" si="5"/>
        <v>150</v>
      </c>
      <c r="AD101" s="13">
        <f t="shared" si="6"/>
        <v>21.42857143</v>
      </c>
      <c r="AE101" s="13">
        <f t="shared" si="7"/>
        <v>128.5714286</v>
      </c>
      <c r="AF101" s="13">
        <f t="shared" si="8"/>
        <v>0</v>
      </c>
      <c r="AG101" s="13"/>
      <c r="AH101" s="13"/>
      <c r="AI101" s="13"/>
      <c r="AJ101" s="13"/>
    </row>
    <row r="102">
      <c r="A102" s="7">
        <v>98.0</v>
      </c>
      <c r="B102" s="7">
        <v>104.0</v>
      </c>
      <c r="C102" s="7" t="s">
        <v>530</v>
      </c>
      <c r="D102" s="7" t="s">
        <v>531</v>
      </c>
      <c r="E102" s="51" t="s">
        <v>62</v>
      </c>
      <c r="F102" s="9">
        <v>45752.0</v>
      </c>
      <c r="G102" s="7" t="s">
        <v>532</v>
      </c>
      <c r="H102" s="48" t="s">
        <v>533</v>
      </c>
      <c r="I102" s="7">
        <v>740000.0</v>
      </c>
      <c r="J102" s="7">
        <v>740000.0</v>
      </c>
      <c r="K102" s="7" t="s">
        <v>165</v>
      </c>
      <c r="L102" s="12"/>
      <c r="M102" s="12"/>
      <c r="N102" s="12"/>
      <c r="O102" s="12"/>
      <c r="P102" s="7" t="s">
        <v>51</v>
      </c>
      <c r="Q102" s="12"/>
      <c r="R102" s="13"/>
      <c r="S102" s="13"/>
      <c r="T102" s="13"/>
      <c r="U102" s="13"/>
      <c r="V102" s="13"/>
      <c r="W102" s="7" t="str">
        <f t="shared" si="1"/>
        <v>07.04.2025</v>
      </c>
      <c r="X102" s="7" t="str">
        <f t="shared" si="2"/>
        <v>31.08.2026</v>
      </c>
      <c r="Y102" s="7">
        <f t="shared" si="3"/>
        <v>73</v>
      </c>
      <c r="Z102" s="14">
        <v>3.0</v>
      </c>
      <c r="AA102" s="14">
        <v>2.0</v>
      </c>
      <c r="AB102" s="13">
        <f t="shared" si="4"/>
        <v>438</v>
      </c>
      <c r="AC102" s="15">
        <f t="shared" si="5"/>
        <v>339</v>
      </c>
      <c r="AD102" s="13">
        <f t="shared" si="6"/>
        <v>48.42857143</v>
      </c>
      <c r="AE102" s="13">
        <f t="shared" si="7"/>
        <v>290.5714286</v>
      </c>
      <c r="AF102" s="13">
        <f t="shared" si="8"/>
        <v>147.4285714</v>
      </c>
      <c r="AG102" s="13"/>
      <c r="AH102" s="13"/>
      <c r="AI102" s="13"/>
      <c r="AJ102" s="13"/>
    </row>
    <row r="103">
      <c r="A103" s="7">
        <v>99.0</v>
      </c>
      <c r="B103" s="8">
        <v>103.0</v>
      </c>
      <c r="C103" s="7" t="s">
        <v>534</v>
      </c>
      <c r="D103" s="7" t="s">
        <v>535</v>
      </c>
      <c r="E103" s="7" t="s">
        <v>62</v>
      </c>
      <c r="F103" s="9">
        <v>45751.0</v>
      </c>
      <c r="G103" s="7" t="s">
        <v>401</v>
      </c>
      <c r="H103" s="48" t="s">
        <v>533</v>
      </c>
      <c r="I103" s="7">
        <v>1595000.0</v>
      </c>
      <c r="J103" s="7">
        <v>1595000.0</v>
      </c>
      <c r="K103" s="7" t="s">
        <v>327</v>
      </c>
      <c r="L103" s="52" t="s">
        <v>536</v>
      </c>
      <c r="M103" s="29" t="s">
        <v>537</v>
      </c>
      <c r="N103" s="12"/>
      <c r="O103" s="12"/>
      <c r="P103" s="7" t="s">
        <v>32</v>
      </c>
      <c r="Q103" s="12"/>
      <c r="R103" s="13"/>
      <c r="S103" s="13"/>
      <c r="T103" s="13"/>
      <c r="U103" s="13"/>
      <c r="V103" s="13"/>
      <c r="W103" s="7" t="str">
        <f t="shared" si="1"/>
        <v>07.04.2025</v>
      </c>
      <c r="X103" s="7" t="str">
        <f t="shared" si="2"/>
        <v>31.08.2026</v>
      </c>
      <c r="Y103" s="7">
        <f t="shared" si="3"/>
        <v>73</v>
      </c>
      <c r="Z103" s="14">
        <v>3.0</v>
      </c>
      <c r="AA103" s="14">
        <v>2.0</v>
      </c>
      <c r="AB103" s="13">
        <f t="shared" si="4"/>
        <v>438</v>
      </c>
      <c r="AC103" s="15">
        <f t="shared" si="5"/>
        <v>339</v>
      </c>
      <c r="AD103" s="13">
        <f t="shared" si="6"/>
        <v>48.42857143</v>
      </c>
      <c r="AE103" s="13">
        <f t="shared" si="7"/>
        <v>290.5714286</v>
      </c>
      <c r="AF103" s="13">
        <f t="shared" si="8"/>
        <v>147.4285714</v>
      </c>
      <c r="AG103" s="13"/>
      <c r="AH103" s="13"/>
      <c r="AI103" s="13"/>
      <c r="AJ103" s="13"/>
    </row>
    <row r="104">
      <c r="A104" s="7">
        <v>100.0</v>
      </c>
      <c r="B104" s="12"/>
      <c r="C104" s="7" t="s">
        <v>538</v>
      </c>
      <c r="D104" s="7" t="s">
        <v>539</v>
      </c>
      <c r="E104" s="7" t="s">
        <v>27</v>
      </c>
      <c r="F104" s="9">
        <v>45726.0</v>
      </c>
      <c r="G104" s="7" t="s">
        <v>465</v>
      </c>
      <c r="H104" s="8" t="s">
        <v>540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3"/>
      <c r="S104" s="13"/>
      <c r="T104" s="13"/>
      <c r="U104" s="13"/>
      <c r="V104" s="13"/>
      <c r="W104" s="7" t="str">
        <f t="shared" si="1"/>
        <v>10.03.2025</v>
      </c>
      <c r="X104" s="7" t="str">
        <f t="shared" si="2"/>
        <v>10.12.2025</v>
      </c>
      <c r="Y104" s="7">
        <f t="shared" si="3"/>
        <v>39.28571429</v>
      </c>
      <c r="Z104" s="14">
        <v>3.0</v>
      </c>
      <c r="AA104" s="14">
        <v>2.0</v>
      </c>
      <c r="AB104" s="13">
        <f t="shared" si="4"/>
        <v>235.7142857</v>
      </c>
      <c r="AC104" s="15">
        <f t="shared" si="5"/>
        <v>275</v>
      </c>
      <c r="AD104" s="13">
        <f t="shared" si="6"/>
        <v>39.28571429</v>
      </c>
      <c r="AE104" s="13">
        <f t="shared" si="7"/>
        <v>235.7142857</v>
      </c>
      <c r="AF104" s="13">
        <f t="shared" si="8"/>
        <v>0</v>
      </c>
      <c r="AG104" s="13"/>
      <c r="AH104" s="13"/>
      <c r="AI104" s="13"/>
      <c r="AJ104" s="13"/>
    </row>
    <row r="105">
      <c r="A105" s="10">
        <v>102.0</v>
      </c>
      <c r="B105" s="10">
        <v>95.0</v>
      </c>
      <c r="C105" s="10" t="s">
        <v>541</v>
      </c>
      <c r="D105" s="10" t="s">
        <v>542</v>
      </c>
      <c r="E105" s="10" t="s">
        <v>290</v>
      </c>
      <c r="F105" s="18">
        <v>45734.0</v>
      </c>
      <c r="G105" s="10" t="s">
        <v>543</v>
      </c>
      <c r="H105" s="10" t="s">
        <v>544</v>
      </c>
      <c r="I105" s="10">
        <v>1500000.0</v>
      </c>
      <c r="J105" s="10">
        <v>100000.0</v>
      </c>
      <c r="K105" s="10" t="s">
        <v>545</v>
      </c>
      <c r="L105" s="10" t="s">
        <v>260</v>
      </c>
      <c r="M105" s="20"/>
      <c r="N105" s="20"/>
      <c r="O105" s="20"/>
      <c r="P105" s="10" t="s">
        <v>168</v>
      </c>
      <c r="Q105" s="20"/>
      <c r="R105" s="21"/>
      <c r="S105" s="21"/>
      <c r="T105" s="21"/>
      <c r="U105" s="21"/>
      <c r="V105" s="21"/>
      <c r="W105" s="7" t="str">
        <f t="shared" si="1"/>
        <v>18.03.2025</v>
      </c>
      <c r="X105" s="7" t="str">
        <f t="shared" si="2"/>
        <v>18.06.2925</v>
      </c>
      <c r="Y105" s="7">
        <f t="shared" si="3"/>
        <v>46972.85714</v>
      </c>
      <c r="Z105" s="14">
        <v>3.0</v>
      </c>
      <c r="AA105" s="14">
        <v>2.0</v>
      </c>
      <c r="AB105" s="13">
        <f t="shared" si="4"/>
        <v>281837.1429</v>
      </c>
      <c r="AC105" s="15">
        <f t="shared" si="5"/>
        <v>359</v>
      </c>
      <c r="AD105" s="13">
        <f t="shared" si="6"/>
        <v>51.28571429</v>
      </c>
      <c r="AE105" s="13">
        <f t="shared" si="7"/>
        <v>307.7142857</v>
      </c>
      <c r="AF105" s="13">
        <f t="shared" si="8"/>
        <v>281529.4286</v>
      </c>
      <c r="AG105" s="21"/>
      <c r="AH105" s="21"/>
      <c r="AI105" s="21"/>
      <c r="AJ105" s="21"/>
    </row>
    <row r="106">
      <c r="A106" s="7">
        <v>103.0</v>
      </c>
      <c r="B106" s="23"/>
      <c r="C106" s="12"/>
      <c r="D106" s="7" t="s">
        <v>546</v>
      </c>
      <c r="E106" s="7" t="s">
        <v>290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3"/>
      <c r="S106" s="13"/>
      <c r="T106" s="13"/>
      <c r="U106" s="13"/>
      <c r="V106" s="13"/>
      <c r="W106" s="7" t="str">
        <f t="shared" si="1"/>
        <v>#VALUE!</v>
      </c>
      <c r="X106" s="7" t="str">
        <f t="shared" si="2"/>
        <v>#VALUE!</v>
      </c>
      <c r="Y106" s="7" t="str">
        <f t="shared" si="3"/>
        <v>#VALUE!</v>
      </c>
      <c r="Z106" s="14">
        <v>3.0</v>
      </c>
      <c r="AA106" s="14">
        <v>2.0</v>
      </c>
      <c r="AB106" s="13" t="str">
        <f t="shared" si="4"/>
        <v>#VALUE!</v>
      </c>
      <c r="AC106" s="15" t="str">
        <f t="shared" si="5"/>
        <v>#VALUE!</v>
      </c>
      <c r="AD106" s="13" t="str">
        <f t="shared" si="6"/>
        <v>#VALUE!</v>
      </c>
      <c r="AE106" s="13" t="str">
        <f t="shared" si="7"/>
        <v>#VALUE!</v>
      </c>
      <c r="AF106" s="13" t="str">
        <f t="shared" si="8"/>
        <v>#VALUE!</v>
      </c>
      <c r="AG106" s="13"/>
      <c r="AH106" s="13"/>
      <c r="AI106" s="13"/>
      <c r="AJ106" s="13"/>
    </row>
    <row r="107">
      <c r="A107" s="12"/>
      <c r="B107" s="12"/>
      <c r="C107" s="12"/>
      <c r="D107" s="10" t="s">
        <v>547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3"/>
      <c r="S107" s="13"/>
      <c r="T107" s="13"/>
      <c r="U107" s="13"/>
      <c r="V107" s="13"/>
      <c r="W107" s="7" t="str">
        <f t="shared" si="1"/>
        <v>#VALUE!</v>
      </c>
      <c r="X107" s="7" t="str">
        <f t="shared" si="2"/>
        <v>#VALUE!</v>
      </c>
      <c r="Y107" s="7" t="str">
        <f t="shared" si="3"/>
        <v>#VALUE!</v>
      </c>
      <c r="Z107" s="14">
        <v>3.0</v>
      </c>
      <c r="AA107" s="14">
        <v>2.0</v>
      </c>
      <c r="AB107" s="13" t="str">
        <f t="shared" si="4"/>
        <v>#VALUE!</v>
      </c>
      <c r="AC107" s="15" t="str">
        <f t="shared" si="5"/>
        <v>#VALUE!</v>
      </c>
      <c r="AD107" s="13" t="str">
        <f t="shared" si="6"/>
        <v>#VALUE!</v>
      </c>
      <c r="AE107" s="13" t="str">
        <f t="shared" si="7"/>
        <v>#VALUE!</v>
      </c>
      <c r="AF107" s="13" t="str">
        <f t="shared" si="8"/>
        <v>#VALUE!</v>
      </c>
      <c r="AG107" s="13"/>
      <c r="AH107" s="13"/>
      <c r="AI107" s="13"/>
      <c r="AJ107" s="13"/>
    </row>
    <row r="108">
      <c r="A108" s="12"/>
      <c r="B108" s="7">
        <v>11.0</v>
      </c>
      <c r="C108" s="7" t="s">
        <v>548</v>
      </c>
      <c r="D108" s="7" t="s">
        <v>549</v>
      </c>
      <c r="E108" s="7" t="s">
        <v>27</v>
      </c>
      <c r="F108" s="9">
        <v>45677.0</v>
      </c>
      <c r="G108" s="7" t="s">
        <v>550</v>
      </c>
      <c r="H108" s="8" t="s">
        <v>551</v>
      </c>
      <c r="I108" s="7">
        <v>2000000.0</v>
      </c>
      <c r="J108" s="7">
        <v>2000000.0</v>
      </c>
      <c r="K108" s="12"/>
      <c r="L108" s="7" t="s">
        <v>42</v>
      </c>
      <c r="M108" s="12"/>
      <c r="N108" s="7">
        <v>2026.0</v>
      </c>
      <c r="O108" s="12"/>
      <c r="P108" s="12"/>
      <c r="Q108" s="12"/>
      <c r="R108" s="13"/>
      <c r="S108" s="13"/>
      <c r="T108" s="13"/>
      <c r="U108" s="13"/>
      <c r="V108" s="13"/>
      <c r="W108" s="7" t="str">
        <f t="shared" si="1"/>
        <v>20.01.2025</v>
      </c>
      <c r="X108" s="7" t="str">
        <f t="shared" si="2"/>
        <v>20.09.2025</v>
      </c>
      <c r="Y108" s="7">
        <f t="shared" si="3"/>
        <v>34.71428571</v>
      </c>
      <c r="Z108" s="14">
        <v>3.0</v>
      </c>
      <c r="AA108" s="14">
        <v>2.0</v>
      </c>
      <c r="AB108" s="13">
        <f t="shared" si="4"/>
        <v>208.2857143</v>
      </c>
      <c r="AC108" s="15">
        <f t="shared" si="5"/>
        <v>243</v>
      </c>
      <c r="AD108" s="13">
        <f t="shared" si="6"/>
        <v>34.71428571</v>
      </c>
      <c r="AE108" s="13">
        <f t="shared" si="7"/>
        <v>208.2857143</v>
      </c>
      <c r="AF108" s="13">
        <f t="shared" si="8"/>
        <v>0</v>
      </c>
      <c r="AG108" s="13"/>
      <c r="AH108" s="13"/>
      <c r="AI108" s="13"/>
      <c r="AJ108" s="13"/>
    </row>
    <row r="109">
      <c r="A109" s="12"/>
      <c r="B109" s="12"/>
      <c r="C109" s="12"/>
      <c r="D109" s="10" t="s">
        <v>552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3"/>
      <c r="S109" s="13"/>
      <c r="T109" s="13"/>
      <c r="U109" s="13"/>
      <c r="V109" s="13"/>
      <c r="W109" s="7" t="str">
        <f t="shared" si="1"/>
        <v>#VALUE!</v>
      </c>
      <c r="X109" s="7" t="str">
        <f t="shared" si="2"/>
        <v>#VALUE!</v>
      </c>
      <c r="Y109" s="7" t="str">
        <f t="shared" si="3"/>
        <v>#VALUE!</v>
      </c>
      <c r="Z109" s="14">
        <v>3.0</v>
      </c>
      <c r="AA109" s="14">
        <v>2.0</v>
      </c>
      <c r="AB109" s="13" t="str">
        <f t="shared" si="4"/>
        <v>#VALUE!</v>
      </c>
      <c r="AC109" s="15" t="str">
        <f t="shared" si="5"/>
        <v>#VALUE!</v>
      </c>
      <c r="AD109" s="13" t="str">
        <f t="shared" si="6"/>
        <v>#VALUE!</v>
      </c>
      <c r="AE109" s="13" t="str">
        <f t="shared" si="7"/>
        <v>#VALUE!</v>
      </c>
      <c r="AF109" s="13" t="str">
        <f t="shared" si="8"/>
        <v>#VALUE!</v>
      </c>
      <c r="AG109" s="13"/>
      <c r="AH109" s="13"/>
      <c r="AI109" s="13"/>
      <c r="AJ109" s="13"/>
    </row>
    <row r="110">
      <c r="A110" s="7"/>
      <c r="B110" s="7">
        <v>105.0</v>
      </c>
      <c r="C110" s="7" t="s">
        <v>553</v>
      </c>
      <c r="D110" s="7" t="s">
        <v>554</v>
      </c>
      <c r="E110" s="7" t="s">
        <v>27</v>
      </c>
      <c r="F110" s="9">
        <v>45804.0</v>
      </c>
      <c r="G110" s="53" t="s">
        <v>555</v>
      </c>
      <c r="H110" s="7" t="s">
        <v>556</v>
      </c>
      <c r="I110" s="7">
        <v>1800000.0</v>
      </c>
      <c r="J110" s="7">
        <v>1800000.0</v>
      </c>
      <c r="K110" s="7" t="s">
        <v>165</v>
      </c>
      <c r="L110" s="7" t="s">
        <v>42</v>
      </c>
      <c r="M110" s="7"/>
      <c r="N110" s="7">
        <v>2026.0</v>
      </c>
      <c r="O110" s="12"/>
      <c r="P110" s="7" t="s">
        <v>368</v>
      </c>
      <c r="Q110" s="12"/>
      <c r="R110" s="14" t="s">
        <v>557</v>
      </c>
      <c r="S110" s="14">
        <v>1000000.0</v>
      </c>
      <c r="T110" s="13" t="str">
        <f>H110</f>
        <v>27.05.2025-27.02.2026</v>
      </c>
      <c r="U110" s="13"/>
      <c r="V110" s="13"/>
      <c r="W110" s="7" t="str">
        <f t="shared" si="1"/>
        <v>27.05.2025</v>
      </c>
      <c r="X110" s="7" t="str">
        <f t="shared" si="2"/>
        <v>27.02.2026</v>
      </c>
      <c r="Y110" s="7">
        <f t="shared" si="3"/>
        <v>39.42857143</v>
      </c>
      <c r="Z110" s="14">
        <v>3.0</v>
      </c>
      <c r="AA110" s="14">
        <v>2.0</v>
      </c>
      <c r="AB110" s="13">
        <f t="shared" si="4"/>
        <v>236.5714286</v>
      </c>
      <c r="AC110" s="15">
        <f t="shared" si="5"/>
        <v>276</v>
      </c>
      <c r="AD110" s="13">
        <f t="shared" si="6"/>
        <v>39.42857143</v>
      </c>
      <c r="AE110" s="13">
        <f t="shared" si="7"/>
        <v>236.5714286</v>
      </c>
      <c r="AF110" s="13">
        <f t="shared" si="8"/>
        <v>0</v>
      </c>
      <c r="AG110" s="13"/>
      <c r="AH110" s="13"/>
      <c r="AI110" s="13"/>
      <c r="AJ110" s="13"/>
    </row>
    <row r="111">
      <c r="A111" s="7"/>
      <c r="B111" s="7">
        <v>106.0</v>
      </c>
      <c r="C111" s="7" t="s">
        <v>558</v>
      </c>
      <c r="D111" s="7" t="s">
        <v>559</v>
      </c>
      <c r="E111" s="7" t="s">
        <v>62</v>
      </c>
      <c r="F111" s="9">
        <v>45808.0</v>
      </c>
      <c r="G111" s="7" t="s">
        <v>560</v>
      </c>
      <c r="H111" s="8" t="s">
        <v>561</v>
      </c>
      <c r="I111" s="7">
        <v>1300000.0</v>
      </c>
      <c r="J111" s="7">
        <v>1300000.0</v>
      </c>
      <c r="K111" s="7" t="s">
        <v>562</v>
      </c>
      <c r="L111" s="7" t="s">
        <v>42</v>
      </c>
      <c r="M111" s="11" t="s">
        <v>563</v>
      </c>
      <c r="N111" s="7" t="s">
        <v>564</v>
      </c>
      <c r="O111" s="12"/>
      <c r="P111" s="12"/>
      <c r="Q111" s="12"/>
      <c r="R111" s="13"/>
      <c r="S111" s="13"/>
      <c r="T111" s="13"/>
      <c r="U111" s="13"/>
      <c r="V111" s="13"/>
      <c r="W111" s="7" t="str">
        <f t="shared" si="1"/>
        <v>02.06.2025 </v>
      </c>
      <c r="X111" s="7" t="str">
        <f t="shared" si="2"/>
        <v> 02.11.2025</v>
      </c>
      <c r="Y111" s="7">
        <f t="shared" si="3"/>
        <v>21.85714286</v>
      </c>
      <c r="Z111" s="14">
        <v>3.0</v>
      </c>
      <c r="AA111" s="14">
        <v>2.0</v>
      </c>
      <c r="AB111" s="13">
        <f t="shared" si="4"/>
        <v>131.1428571</v>
      </c>
      <c r="AC111" s="15">
        <f t="shared" si="5"/>
        <v>153</v>
      </c>
      <c r="AD111" s="13">
        <f t="shared" si="6"/>
        <v>21.85714286</v>
      </c>
      <c r="AE111" s="13">
        <f t="shared" si="7"/>
        <v>131.1428571</v>
      </c>
      <c r="AF111" s="13">
        <f t="shared" si="8"/>
        <v>0</v>
      </c>
      <c r="AG111" s="13"/>
      <c r="AH111" s="13"/>
      <c r="AI111" s="13"/>
      <c r="AJ111" s="13"/>
    </row>
    <row r="112">
      <c r="A112" s="20"/>
      <c r="B112" s="10">
        <v>107.0</v>
      </c>
      <c r="C112" s="10" t="s">
        <v>565</v>
      </c>
      <c r="D112" s="10" t="s">
        <v>566</v>
      </c>
      <c r="E112" s="10" t="s">
        <v>567</v>
      </c>
      <c r="F112" s="18">
        <v>45808.0</v>
      </c>
      <c r="G112" s="10" t="s">
        <v>568</v>
      </c>
      <c r="H112" s="20"/>
      <c r="I112" s="10">
        <v>900000.0</v>
      </c>
      <c r="J112" s="10">
        <v>900000.0</v>
      </c>
      <c r="K112" s="10" t="s">
        <v>569</v>
      </c>
      <c r="L112" s="10" t="s">
        <v>42</v>
      </c>
      <c r="M112" s="19" t="s">
        <v>570</v>
      </c>
      <c r="N112" s="10" t="s">
        <v>564</v>
      </c>
      <c r="O112" s="20"/>
      <c r="P112" s="20"/>
      <c r="Q112" s="20"/>
      <c r="R112" s="21"/>
      <c r="S112" s="21"/>
      <c r="T112" s="21"/>
      <c r="U112" s="21"/>
      <c r="V112" s="21"/>
      <c r="W112" s="10" t="str">
        <f t="shared" si="1"/>
        <v>#VALUE!</v>
      </c>
      <c r="X112" s="10" t="str">
        <f t="shared" si="2"/>
        <v>#VALUE!</v>
      </c>
      <c r="Y112" s="10" t="str">
        <f t="shared" si="3"/>
        <v>#VALUE!</v>
      </c>
      <c r="Z112" s="54">
        <v>3.0</v>
      </c>
      <c r="AA112" s="54">
        <v>2.0</v>
      </c>
      <c r="AB112" s="21" t="str">
        <f t="shared" si="4"/>
        <v>#VALUE!</v>
      </c>
      <c r="AC112" s="55" t="str">
        <f t="shared" si="5"/>
        <v>#VALUE!</v>
      </c>
      <c r="AD112" s="21" t="str">
        <f t="shared" si="6"/>
        <v>#VALUE!</v>
      </c>
      <c r="AE112" s="21" t="str">
        <f t="shared" si="7"/>
        <v>#VALUE!</v>
      </c>
      <c r="AF112" s="21" t="str">
        <f t="shared" si="8"/>
        <v>#VALUE!</v>
      </c>
      <c r="AG112" s="21"/>
      <c r="AH112" s="21"/>
      <c r="AI112" s="21"/>
      <c r="AJ112" s="21"/>
    </row>
    <row r="113">
      <c r="A113" s="12"/>
      <c r="B113" s="7">
        <v>108.0</v>
      </c>
      <c r="C113" s="7" t="s">
        <v>571</v>
      </c>
      <c r="D113" s="7" t="s">
        <v>572</v>
      </c>
      <c r="E113" s="7" t="s">
        <v>27</v>
      </c>
      <c r="F113" s="9">
        <v>45810.0</v>
      </c>
      <c r="G113" s="7" t="s">
        <v>573</v>
      </c>
      <c r="H113" s="7" t="s">
        <v>574</v>
      </c>
      <c r="I113" s="7">
        <v>1500000.0</v>
      </c>
      <c r="J113" s="7">
        <v>1500000.0</v>
      </c>
      <c r="K113" s="7" t="s">
        <v>348</v>
      </c>
      <c r="L113" s="8" t="s">
        <v>575</v>
      </c>
      <c r="M113" s="11" t="s">
        <v>576</v>
      </c>
      <c r="N113" s="7" t="s">
        <v>564</v>
      </c>
      <c r="O113" s="12"/>
      <c r="P113" s="12"/>
      <c r="Q113" s="12"/>
      <c r="R113" s="13"/>
      <c r="S113" s="13"/>
      <c r="T113" s="13"/>
      <c r="U113" s="13"/>
      <c r="V113" s="13"/>
      <c r="W113" s="7" t="str">
        <f t="shared" si="1"/>
        <v>02.06.2025 </v>
      </c>
      <c r="X113" s="7" t="str">
        <f t="shared" si="2"/>
        <v> 02.03.2026</v>
      </c>
      <c r="Y113" s="7">
        <f t="shared" si="3"/>
        <v>39</v>
      </c>
      <c r="Z113" s="14">
        <v>3.0</v>
      </c>
      <c r="AA113" s="14">
        <v>2.0</v>
      </c>
      <c r="AB113" s="13">
        <f t="shared" si="4"/>
        <v>234</v>
      </c>
      <c r="AC113" s="15">
        <f t="shared" si="5"/>
        <v>273</v>
      </c>
      <c r="AD113" s="13">
        <f t="shared" si="6"/>
        <v>39</v>
      </c>
      <c r="AE113" s="13">
        <f t="shared" si="7"/>
        <v>234</v>
      </c>
      <c r="AF113" s="13">
        <f t="shared" si="8"/>
        <v>0</v>
      </c>
      <c r="AG113" s="13"/>
      <c r="AH113" s="13"/>
      <c r="AI113" s="13"/>
      <c r="AJ113" s="13"/>
    </row>
    <row r="114">
      <c r="A114" s="53"/>
      <c r="B114" s="53">
        <v>108.0</v>
      </c>
      <c r="C114" s="53" t="s">
        <v>577</v>
      </c>
      <c r="D114" s="56" t="s">
        <v>578</v>
      </c>
      <c r="E114" s="53" t="s">
        <v>62</v>
      </c>
      <c r="F114" s="57">
        <v>45839.0</v>
      </c>
      <c r="G114" s="53" t="s">
        <v>579</v>
      </c>
      <c r="H114" s="58"/>
      <c r="I114" s="53">
        <v>900000.0</v>
      </c>
      <c r="J114" s="53">
        <v>900000.0</v>
      </c>
      <c r="K114" s="53" t="s">
        <v>580</v>
      </c>
      <c r="L114" s="53" t="s">
        <v>42</v>
      </c>
      <c r="M114" s="59" t="s">
        <v>581</v>
      </c>
      <c r="N114" s="53" t="s">
        <v>582</v>
      </c>
      <c r="O114" s="53"/>
      <c r="P114" s="53" t="s">
        <v>368</v>
      </c>
      <c r="Q114" s="53"/>
      <c r="R114" s="60"/>
      <c r="S114" s="60"/>
      <c r="T114" s="60"/>
      <c r="U114" s="60"/>
      <c r="V114" s="60"/>
      <c r="W114" s="7" t="str">
        <f t="shared" si="1"/>
        <v>#VALUE!</v>
      </c>
      <c r="X114" s="7" t="str">
        <f t="shared" si="2"/>
        <v>#VALUE!</v>
      </c>
      <c r="Y114" s="7" t="str">
        <f t="shared" si="3"/>
        <v>#VALUE!</v>
      </c>
      <c r="Z114" s="14">
        <v>3.0</v>
      </c>
      <c r="AA114" s="14">
        <v>2.0</v>
      </c>
      <c r="AB114" s="13" t="str">
        <f t="shared" si="4"/>
        <v>#VALUE!</v>
      </c>
      <c r="AC114" s="15" t="str">
        <f t="shared" si="5"/>
        <v>#VALUE!</v>
      </c>
      <c r="AD114" s="13" t="str">
        <f t="shared" si="6"/>
        <v>#VALUE!</v>
      </c>
      <c r="AE114" s="13" t="str">
        <f t="shared" si="7"/>
        <v>#VALUE!</v>
      </c>
      <c r="AF114" s="13" t="str">
        <f t="shared" si="8"/>
        <v>#VALUE!</v>
      </c>
      <c r="AG114" s="60"/>
      <c r="AH114" s="60"/>
      <c r="AI114" s="60"/>
      <c r="AJ114" s="60"/>
    </row>
    <row r="115">
      <c r="A115" s="53"/>
      <c r="B115" s="53">
        <v>109.0</v>
      </c>
      <c r="C115" s="53" t="s">
        <v>583</v>
      </c>
      <c r="D115" s="56" t="s">
        <v>584</v>
      </c>
      <c r="E115" s="53" t="s">
        <v>62</v>
      </c>
      <c r="F115" s="57">
        <v>45853.0</v>
      </c>
      <c r="G115" s="53" t="s">
        <v>585</v>
      </c>
      <c r="H115" s="53" t="s">
        <v>586</v>
      </c>
      <c r="I115" s="53">
        <v>2300000.0</v>
      </c>
      <c r="J115" s="53">
        <v>1800000.0</v>
      </c>
      <c r="K115" s="53" t="s">
        <v>587</v>
      </c>
      <c r="L115" s="53" t="s">
        <v>588</v>
      </c>
      <c r="M115" s="59" t="s">
        <v>589</v>
      </c>
      <c r="N115" s="53" t="s">
        <v>590</v>
      </c>
      <c r="O115" s="53"/>
      <c r="P115" s="53" t="s">
        <v>368</v>
      </c>
      <c r="Q115" s="53"/>
      <c r="R115" s="60"/>
      <c r="S115" s="60"/>
      <c r="T115" s="60"/>
      <c r="U115" s="60"/>
      <c r="V115" s="60"/>
      <c r="W115" s="7" t="str">
        <f t="shared" si="1"/>
        <v>16.07.2025</v>
      </c>
      <c r="X115" s="7" t="str">
        <f t="shared" si="2"/>
        <v>16.04.2026</v>
      </c>
      <c r="Y115" s="7">
        <f t="shared" si="3"/>
        <v>39.14285714</v>
      </c>
      <c r="Z115" s="14">
        <v>3.0</v>
      </c>
      <c r="AA115" s="14">
        <v>2.0</v>
      </c>
      <c r="AB115" s="13">
        <f t="shared" si="4"/>
        <v>234.8571429</v>
      </c>
      <c r="AC115" s="15">
        <f t="shared" si="5"/>
        <v>239</v>
      </c>
      <c r="AD115" s="13">
        <f t="shared" si="6"/>
        <v>34.14285714</v>
      </c>
      <c r="AE115" s="13">
        <f t="shared" si="7"/>
        <v>204.8571429</v>
      </c>
      <c r="AF115" s="13">
        <f t="shared" si="8"/>
        <v>30</v>
      </c>
      <c r="AG115" s="60"/>
      <c r="AH115" s="60"/>
      <c r="AI115" s="60"/>
      <c r="AJ115" s="60"/>
    </row>
    <row r="116">
      <c r="A116" s="53"/>
      <c r="B116" s="53">
        <v>110.0</v>
      </c>
      <c r="C116" s="53" t="s">
        <v>591</v>
      </c>
      <c r="D116" s="53" t="s">
        <v>592</v>
      </c>
      <c r="E116" s="53" t="s">
        <v>27</v>
      </c>
      <c r="F116" s="57">
        <v>45861.0</v>
      </c>
      <c r="G116" s="53" t="s">
        <v>555</v>
      </c>
      <c r="H116" s="61" t="s">
        <v>593</v>
      </c>
      <c r="I116" s="53">
        <v>1900000.0</v>
      </c>
      <c r="J116" s="53">
        <v>1900000.0</v>
      </c>
      <c r="K116" s="53" t="s">
        <v>594</v>
      </c>
      <c r="L116" s="53" t="s">
        <v>42</v>
      </c>
      <c r="M116" s="59" t="s">
        <v>595</v>
      </c>
      <c r="N116" s="61">
        <v>2027.0</v>
      </c>
      <c r="O116" s="53"/>
      <c r="P116" s="53" t="s">
        <v>368</v>
      </c>
      <c r="Q116" s="53"/>
      <c r="R116" s="60"/>
      <c r="S116" s="60"/>
      <c r="T116" s="60"/>
      <c r="U116" s="60"/>
      <c r="V116" s="60"/>
      <c r="W116" s="7" t="str">
        <f t="shared" si="1"/>
        <v>23.07.2025</v>
      </c>
      <c r="X116" s="7" t="str">
        <f t="shared" si="2"/>
        <v>.02-09.02)</v>
      </c>
      <c r="Y116" s="7" t="str">
        <f t="shared" si="3"/>
        <v>#VALUE!</v>
      </c>
      <c r="Z116" s="14">
        <v>3.0</v>
      </c>
      <c r="AA116" s="14">
        <v>2.0</v>
      </c>
      <c r="AB116" s="13" t="str">
        <f t="shared" si="4"/>
        <v>#VALUE!</v>
      </c>
      <c r="AC116" s="15" t="str">
        <f t="shared" si="5"/>
        <v>#VALUE!</v>
      </c>
      <c r="AD116" s="13" t="str">
        <f t="shared" si="6"/>
        <v>#VALUE!</v>
      </c>
      <c r="AE116" s="13" t="str">
        <f t="shared" si="7"/>
        <v>#VALUE!</v>
      </c>
      <c r="AF116" s="13" t="str">
        <f t="shared" si="8"/>
        <v>#VALUE!</v>
      </c>
      <c r="AG116" s="60"/>
      <c r="AH116" s="60"/>
      <c r="AI116" s="60"/>
      <c r="AJ116" s="60"/>
    </row>
    <row r="117">
      <c r="A117" s="53"/>
      <c r="B117" s="53">
        <v>111.0</v>
      </c>
      <c r="C117" s="61" t="s">
        <v>596</v>
      </c>
      <c r="D117" s="61" t="s">
        <v>597</v>
      </c>
      <c r="E117" s="61" t="s">
        <v>27</v>
      </c>
      <c r="F117" s="62">
        <v>45862.0</v>
      </c>
      <c r="G117" s="61" t="s">
        <v>598</v>
      </c>
      <c r="H117" s="61" t="s">
        <v>599</v>
      </c>
      <c r="I117" s="61">
        <v>1500000.0</v>
      </c>
      <c r="J117" s="61">
        <v>1500000.0</v>
      </c>
      <c r="K117" s="61" t="s">
        <v>562</v>
      </c>
      <c r="L117" s="61" t="s">
        <v>42</v>
      </c>
      <c r="M117" s="59" t="s">
        <v>600</v>
      </c>
      <c r="N117" s="63"/>
      <c r="O117" s="53"/>
      <c r="P117" s="53" t="s">
        <v>307</v>
      </c>
      <c r="Q117" s="53"/>
      <c r="R117" s="60"/>
      <c r="S117" s="60"/>
      <c r="T117" s="60"/>
      <c r="U117" s="60"/>
      <c r="V117" s="60"/>
      <c r="W117" s="7" t="str">
        <f t="shared" si="1"/>
        <v>24.07.2025</v>
      </c>
      <c r="X117" s="7" t="str">
        <f t="shared" si="2"/>
        <v>24.04.2026</v>
      </c>
      <c r="Y117" s="7">
        <f t="shared" si="3"/>
        <v>39.14285714</v>
      </c>
      <c r="Z117" s="14">
        <v>3.0</v>
      </c>
      <c r="AA117" s="14">
        <v>2.0</v>
      </c>
      <c r="AB117" s="13">
        <f t="shared" si="4"/>
        <v>234.8571429</v>
      </c>
      <c r="AC117" s="15">
        <f t="shared" si="5"/>
        <v>231</v>
      </c>
      <c r="AD117" s="13">
        <f t="shared" si="6"/>
        <v>33</v>
      </c>
      <c r="AE117" s="13">
        <f t="shared" si="7"/>
        <v>198</v>
      </c>
      <c r="AF117" s="13">
        <f t="shared" si="8"/>
        <v>36.85714286</v>
      </c>
      <c r="AG117" s="60"/>
      <c r="AH117" s="60"/>
      <c r="AI117" s="60"/>
      <c r="AJ117" s="60"/>
    </row>
    <row r="118">
      <c r="A118" s="53"/>
      <c r="B118" s="53">
        <v>112.0</v>
      </c>
      <c r="C118" s="53" t="s">
        <v>601</v>
      </c>
      <c r="D118" s="53" t="s">
        <v>602</v>
      </c>
      <c r="E118" s="53" t="s">
        <v>62</v>
      </c>
      <c r="F118" s="57">
        <v>45870.0</v>
      </c>
      <c r="G118" s="53" t="s">
        <v>555</v>
      </c>
      <c r="H118" s="53" t="s">
        <v>603</v>
      </c>
      <c r="I118" s="53">
        <v>1800000.0</v>
      </c>
      <c r="J118" s="53">
        <v>1300000.0</v>
      </c>
      <c r="K118" s="53" t="s">
        <v>604</v>
      </c>
      <c r="L118" s="53" t="s">
        <v>605</v>
      </c>
      <c r="M118" s="59" t="s">
        <v>606</v>
      </c>
      <c r="N118" s="53" t="s">
        <v>590</v>
      </c>
      <c r="O118" s="53"/>
      <c r="P118" s="61" t="s">
        <v>368</v>
      </c>
      <c r="Q118" s="53"/>
      <c r="R118" s="60"/>
      <c r="S118" s="60"/>
      <c r="T118" s="60"/>
      <c r="U118" s="60"/>
      <c r="V118" s="60"/>
      <c r="W118" s="7" t="str">
        <f t="shared" si="1"/>
        <v>04.08.2025</v>
      </c>
      <c r="X118" s="7" t="str">
        <f t="shared" si="2"/>
        <v>08.05.2026</v>
      </c>
      <c r="Y118" s="7">
        <f t="shared" si="3"/>
        <v>39.57142857</v>
      </c>
      <c r="Z118" s="14">
        <v>3.0</v>
      </c>
      <c r="AA118" s="14">
        <v>2.0</v>
      </c>
      <c r="AB118" s="13">
        <f t="shared" si="4"/>
        <v>237.4285714</v>
      </c>
      <c r="AC118" s="15">
        <f t="shared" si="5"/>
        <v>220</v>
      </c>
      <c r="AD118" s="13">
        <f t="shared" si="6"/>
        <v>31.42857143</v>
      </c>
      <c r="AE118" s="13">
        <f t="shared" si="7"/>
        <v>188.5714286</v>
      </c>
      <c r="AF118" s="13">
        <f t="shared" si="8"/>
        <v>48.85714286</v>
      </c>
      <c r="AG118" s="60"/>
      <c r="AH118" s="60"/>
      <c r="AI118" s="60"/>
      <c r="AJ118" s="60"/>
    </row>
    <row r="119">
      <c r="A119" s="53"/>
      <c r="B119" s="53">
        <v>113.0</v>
      </c>
      <c r="C119" s="53" t="s">
        <v>607</v>
      </c>
      <c r="D119" s="53" t="s">
        <v>608</v>
      </c>
      <c r="E119" s="53" t="s">
        <v>62</v>
      </c>
      <c r="F119" s="57">
        <v>45870.0</v>
      </c>
      <c r="G119" s="61" t="s">
        <v>609</v>
      </c>
      <c r="H119" s="61" t="s">
        <v>603</v>
      </c>
      <c r="I119" s="61">
        <v>1300000.0</v>
      </c>
      <c r="J119" s="61">
        <v>1300000.0</v>
      </c>
      <c r="K119" s="61" t="s">
        <v>562</v>
      </c>
      <c r="L119" s="61" t="s">
        <v>42</v>
      </c>
      <c r="M119" s="59" t="s">
        <v>610</v>
      </c>
      <c r="N119" s="53"/>
      <c r="O119" s="53"/>
      <c r="P119" s="61" t="s">
        <v>368</v>
      </c>
      <c r="Q119" s="53"/>
      <c r="R119" s="60"/>
      <c r="S119" s="60"/>
      <c r="T119" s="60"/>
      <c r="U119" s="60"/>
      <c r="V119" s="60"/>
      <c r="W119" s="7" t="str">
        <f t="shared" si="1"/>
        <v>04.08.2025</v>
      </c>
      <c r="X119" s="7" t="str">
        <f t="shared" si="2"/>
        <v>08.05.2026</v>
      </c>
      <c r="Y119" s="7">
        <f t="shared" si="3"/>
        <v>39.57142857</v>
      </c>
      <c r="Z119" s="14">
        <v>3.0</v>
      </c>
      <c r="AA119" s="14">
        <v>2.0</v>
      </c>
      <c r="AB119" s="13">
        <f t="shared" si="4"/>
        <v>237.4285714</v>
      </c>
      <c r="AC119" s="15">
        <f t="shared" si="5"/>
        <v>220</v>
      </c>
      <c r="AD119" s="13">
        <f t="shared" si="6"/>
        <v>31.42857143</v>
      </c>
      <c r="AE119" s="13">
        <f t="shared" si="7"/>
        <v>188.5714286</v>
      </c>
      <c r="AF119" s="13">
        <f t="shared" si="8"/>
        <v>48.85714286</v>
      </c>
      <c r="AG119" s="60"/>
      <c r="AH119" s="60"/>
      <c r="AI119" s="60"/>
      <c r="AJ119" s="60"/>
    </row>
    <row r="120">
      <c r="A120" s="64"/>
      <c r="B120" s="65">
        <v>114.0</v>
      </c>
      <c r="C120" s="65" t="s">
        <v>611</v>
      </c>
      <c r="D120" s="65" t="s">
        <v>612</v>
      </c>
      <c r="E120" s="65" t="s">
        <v>27</v>
      </c>
      <c r="F120" s="66">
        <v>45877.0</v>
      </c>
      <c r="G120" s="65" t="s">
        <v>613</v>
      </c>
      <c r="H120" s="65" t="s">
        <v>614</v>
      </c>
      <c r="I120" s="65">
        <v>1500000.0</v>
      </c>
      <c r="J120" s="65">
        <v>1500000.0</v>
      </c>
      <c r="K120" s="65" t="s">
        <v>545</v>
      </c>
      <c r="L120" s="65" t="s">
        <v>42</v>
      </c>
      <c r="M120" s="67" t="s">
        <v>615</v>
      </c>
      <c r="N120" s="65" t="s">
        <v>590</v>
      </c>
      <c r="O120" s="64"/>
      <c r="P120" s="65" t="s">
        <v>368</v>
      </c>
      <c r="Q120" s="64"/>
      <c r="R120" s="68" t="s">
        <v>616</v>
      </c>
      <c r="S120" s="69"/>
      <c r="T120" s="69"/>
      <c r="U120" s="69"/>
      <c r="V120" s="69"/>
      <c r="W120" s="65" t="str">
        <f t="shared" si="1"/>
        <v>09.08.2025</v>
      </c>
      <c r="X120" s="65" t="str">
        <f t="shared" si="2"/>
        <v>09.05.2026</v>
      </c>
      <c r="Y120" s="65">
        <f t="shared" si="3"/>
        <v>39</v>
      </c>
      <c r="Z120" s="68">
        <v>3.0</v>
      </c>
      <c r="AA120" s="68">
        <v>2.0</v>
      </c>
      <c r="AB120" s="69">
        <f t="shared" si="4"/>
        <v>234</v>
      </c>
      <c r="AC120" s="70">
        <f t="shared" si="5"/>
        <v>215</v>
      </c>
      <c r="AD120" s="69">
        <f t="shared" si="6"/>
        <v>30.71428571</v>
      </c>
      <c r="AE120" s="69">
        <f t="shared" si="7"/>
        <v>184.2857143</v>
      </c>
      <c r="AF120" s="69">
        <f t="shared" si="8"/>
        <v>49.71428571</v>
      </c>
      <c r="AG120" s="69"/>
      <c r="AH120" s="69"/>
      <c r="AI120" s="69"/>
      <c r="AJ120" s="69"/>
    </row>
    <row r="121">
      <c r="A121" s="12"/>
      <c r="B121" s="7">
        <v>115.0</v>
      </c>
      <c r="C121" s="7" t="s">
        <v>617</v>
      </c>
      <c r="D121" s="7" t="s">
        <v>618</v>
      </c>
      <c r="E121" s="7" t="s">
        <v>27</v>
      </c>
      <c r="F121" s="9">
        <v>374599.0</v>
      </c>
      <c r="G121" s="7" t="s">
        <v>619</v>
      </c>
      <c r="H121" s="12"/>
      <c r="I121" s="7">
        <v>1000000.0</v>
      </c>
      <c r="J121" s="7">
        <v>1000000.0</v>
      </c>
      <c r="K121" s="7" t="s">
        <v>620</v>
      </c>
      <c r="L121" s="7" t="s">
        <v>42</v>
      </c>
      <c r="M121" s="11" t="s">
        <v>621</v>
      </c>
      <c r="N121" s="12"/>
      <c r="O121" s="12"/>
      <c r="P121" s="7" t="s">
        <v>368</v>
      </c>
      <c r="Q121" s="12"/>
      <c r="R121" s="13"/>
      <c r="S121" s="13"/>
      <c r="T121" s="13"/>
      <c r="U121" s="13"/>
      <c r="V121" s="13"/>
      <c r="W121" s="7" t="str">
        <f t="shared" si="1"/>
        <v>#VALUE!</v>
      </c>
      <c r="X121" s="7" t="str">
        <f t="shared" si="2"/>
        <v>#VALUE!</v>
      </c>
      <c r="Y121" s="7" t="str">
        <f t="shared" si="3"/>
        <v>#VALUE!</v>
      </c>
      <c r="Z121" s="14">
        <v>3.0</v>
      </c>
      <c r="AA121" s="14">
        <v>2.0</v>
      </c>
      <c r="AB121" s="13" t="str">
        <f t="shared" si="4"/>
        <v>#VALUE!</v>
      </c>
      <c r="AC121" s="15" t="str">
        <f t="shared" si="5"/>
        <v>#VALUE!</v>
      </c>
      <c r="AD121" s="13" t="str">
        <f t="shared" si="6"/>
        <v>#VALUE!</v>
      </c>
      <c r="AE121" s="13" t="str">
        <f t="shared" si="7"/>
        <v>#VALUE!</v>
      </c>
      <c r="AF121" s="13" t="str">
        <f t="shared" si="8"/>
        <v>#VALUE!</v>
      </c>
      <c r="AG121" s="13"/>
      <c r="AH121" s="13"/>
      <c r="AI121" s="13"/>
      <c r="AJ121" s="13"/>
    </row>
    <row r="122">
      <c r="A122" s="12"/>
      <c r="B122" s="7">
        <v>116.0</v>
      </c>
      <c r="C122" s="7" t="s">
        <v>622</v>
      </c>
      <c r="D122" s="7" t="s">
        <v>623</v>
      </c>
      <c r="E122" s="7" t="s">
        <v>27</v>
      </c>
      <c r="F122" s="9">
        <v>45885.0</v>
      </c>
      <c r="G122" s="7" t="s">
        <v>624</v>
      </c>
      <c r="H122" s="7" t="s">
        <v>625</v>
      </c>
      <c r="I122" s="7">
        <v>1500000.0</v>
      </c>
      <c r="J122" s="7">
        <v>1500000.0</v>
      </c>
      <c r="K122" s="7" t="s">
        <v>562</v>
      </c>
      <c r="L122" s="7" t="s">
        <v>42</v>
      </c>
      <c r="M122" s="11" t="s">
        <v>626</v>
      </c>
      <c r="N122" s="7" t="s">
        <v>590</v>
      </c>
      <c r="O122" s="12"/>
      <c r="P122" s="7" t="s">
        <v>368</v>
      </c>
      <c r="Q122" s="12"/>
      <c r="R122" s="13"/>
      <c r="S122" s="13"/>
      <c r="T122" s="13"/>
      <c r="U122" s="13"/>
      <c r="V122" s="13"/>
      <c r="W122" s="7" t="str">
        <f t="shared" si="1"/>
        <v>18.08.2025</v>
      </c>
      <c r="X122" s="7" t="str">
        <f t="shared" si="2"/>
        <v>18.05.2026</v>
      </c>
      <c r="Y122" s="7">
        <f t="shared" si="3"/>
        <v>39</v>
      </c>
      <c r="Z122" s="14">
        <v>3.0</v>
      </c>
      <c r="AA122" s="14">
        <v>2.0</v>
      </c>
      <c r="AB122" s="13">
        <f t="shared" si="4"/>
        <v>234</v>
      </c>
      <c r="AC122" s="15">
        <f t="shared" si="5"/>
        <v>206</v>
      </c>
      <c r="AD122" s="13">
        <f t="shared" si="6"/>
        <v>29.42857143</v>
      </c>
      <c r="AE122" s="13">
        <f t="shared" si="7"/>
        <v>176.5714286</v>
      </c>
      <c r="AF122" s="13">
        <f t="shared" si="8"/>
        <v>57.42857143</v>
      </c>
      <c r="AG122" s="13"/>
      <c r="AH122" s="13"/>
      <c r="AI122" s="13"/>
      <c r="AJ122" s="13"/>
    </row>
    <row r="123">
      <c r="A123" s="12"/>
      <c r="B123" s="7">
        <v>117.0</v>
      </c>
      <c r="C123" s="7" t="s">
        <v>627</v>
      </c>
      <c r="D123" s="7" t="s">
        <v>628</v>
      </c>
      <c r="E123" s="7" t="s">
        <v>62</v>
      </c>
      <c r="F123" s="9">
        <v>45886.0</v>
      </c>
      <c r="G123" s="7" t="s">
        <v>629</v>
      </c>
      <c r="H123" s="7" t="s">
        <v>630</v>
      </c>
      <c r="I123" s="7">
        <v>1400000.0</v>
      </c>
      <c r="J123" s="7">
        <v>1400000.0</v>
      </c>
      <c r="K123" s="7" t="s">
        <v>562</v>
      </c>
      <c r="L123" s="7" t="s">
        <v>42</v>
      </c>
      <c r="M123" s="11" t="s">
        <v>631</v>
      </c>
      <c r="N123" s="12"/>
      <c r="O123" s="12"/>
      <c r="P123" s="7" t="s">
        <v>368</v>
      </c>
      <c r="Q123" s="12"/>
      <c r="R123" s="13"/>
      <c r="S123" s="13"/>
      <c r="T123" s="13"/>
      <c r="U123" s="13"/>
      <c r="V123" s="13"/>
      <c r="W123" s="7" t="str">
        <f t="shared" si="1"/>
        <v>18.08.2025 </v>
      </c>
      <c r="X123" s="7" t="str">
        <f t="shared" si="2"/>
        <v> 18.05.2026</v>
      </c>
      <c r="Y123" s="7">
        <f t="shared" si="3"/>
        <v>39</v>
      </c>
      <c r="Z123" s="14">
        <v>3.0</v>
      </c>
      <c r="AA123" s="14">
        <v>2.0</v>
      </c>
      <c r="AB123" s="13">
        <f t="shared" si="4"/>
        <v>234</v>
      </c>
      <c r="AC123" s="15">
        <f t="shared" si="5"/>
        <v>206</v>
      </c>
      <c r="AD123" s="13">
        <f t="shared" si="6"/>
        <v>29.42857143</v>
      </c>
      <c r="AE123" s="13">
        <f t="shared" si="7"/>
        <v>176.5714286</v>
      </c>
      <c r="AF123" s="13">
        <f t="shared" si="8"/>
        <v>57.42857143</v>
      </c>
      <c r="AG123" s="13"/>
      <c r="AH123" s="13"/>
      <c r="AI123" s="13"/>
      <c r="AJ123" s="13"/>
    </row>
    <row r="124">
      <c r="A124" s="12"/>
      <c r="B124" s="7">
        <v>118.0</v>
      </c>
      <c r="C124" s="7" t="s">
        <v>632</v>
      </c>
      <c r="D124" s="7" t="s">
        <v>633</v>
      </c>
      <c r="E124" s="7" t="s">
        <v>62</v>
      </c>
      <c r="F124" s="9">
        <v>45889.0</v>
      </c>
      <c r="G124" s="7" t="s">
        <v>634</v>
      </c>
      <c r="H124" s="7" t="s">
        <v>635</v>
      </c>
      <c r="I124" s="7">
        <v>3000000.0</v>
      </c>
      <c r="J124" s="7">
        <v>3000000.0</v>
      </c>
      <c r="K124" s="7" t="s">
        <v>636</v>
      </c>
      <c r="L124" s="7" t="s">
        <v>42</v>
      </c>
      <c r="M124" s="11" t="s">
        <v>637</v>
      </c>
      <c r="N124" s="7" t="s">
        <v>590</v>
      </c>
      <c r="O124" s="12"/>
      <c r="P124" s="7" t="s">
        <v>368</v>
      </c>
      <c r="Q124" s="12"/>
      <c r="R124" s="13"/>
      <c r="S124" s="13"/>
      <c r="T124" s="13"/>
      <c r="U124" s="13"/>
      <c r="V124" s="13"/>
      <c r="W124" s="7" t="str">
        <f t="shared" si="1"/>
        <v>01.09.2025</v>
      </c>
      <c r="X124" s="7" t="str">
        <f t="shared" si="2"/>
        <v>01.06.2026</v>
      </c>
      <c r="Y124" s="7">
        <f t="shared" si="3"/>
        <v>39</v>
      </c>
      <c r="Z124" s="14">
        <v>3.0</v>
      </c>
      <c r="AA124" s="14">
        <v>2.0</v>
      </c>
      <c r="AB124" s="13">
        <f t="shared" si="4"/>
        <v>234</v>
      </c>
      <c r="AC124" s="15">
        <f t="shared" si="5"/>
        <v>192</v>
      </c>
      <c r="AD124" s="13">
        <f t="shared" si="6"/>
        <v>27.42857143</v>
      </c>
      <c r="AE124" s="13">
        <f t="shared" si="7"/>
        <v>164.5714286</v>
      </c>
      <c r="AF124" s="13">
        <f t="shared" si="8"/>
        <v>69.42857143</v>
      </c>
      <c r="AG124" s="13"/>
      <c r="AH124" s="13"/>
      <c r="AI124" s="13"/>
      <c r="AJ124" s="13"/>
    </row>
    <row r="125">
      <c r="A125" s="20"/>
      <c r="B125" s="10">
        <v>119.0</v>
      </c>
      <c r="C125" s="10" t="s">
        <v>638</v>
      </c>
      <c r="D125" s="71" t="s">
        <v>639</v>
      </c>
      <c r="E125" s="10" t="s">
        <v>62</v>
      </c>
      <c r="F125" s="18">
        <v>45896.0</v>
      </c>
      <c r="G125" s="10" t="s">
        <v>640</v>
      </c>
      <c r="H125" s="10" t="s">
        <v>641</v>
      </c>
      <c r="I125" s="10">
        <v>1500000.0</v>
      </c>
      <c r="J125" s="10">
        <v>1500000.0</v>
      </c>
      <c r="K125" s="10" t="s">
        <v>562</v>
      </c>
      <c r="L125" s="10" t="s">
        <v>42</v>
      </c>
      <c r="M125" s="19" t="s">
        <v>642</v>
      </c>
      <c r="N125" s="20"/>
      <c r="O125" s="10" t="s">
        <v>643</v>
      </c>
      <c r="P125" s="10" t="s">
        <v>368</v>
      </c>
      <c r="Q125" s="20"/>
      <c r="R125" s="21"/>
      <c r="S125" s="21"/>
      <c r="T125" s="21"/>
      <c r="U125" s="21"/>
      <c r="V125" s="21"/>
      <c r="W125" s="7" t="str">
        <f t="shared" si="1"/>
        <v>29.08.2025</v>
      </c>
      <c r="X125" s="7" t="str">
        <f t="shared" si="2"/>
        <v>29.07.2026</v>
      </c>
      <c r="Y125" s="7">
        <f t="shared" si="3"/>
        <v>47.71428571</v>
      </c>
      <c r="Z125" s="14">
        <v>3.0</v>
      </c>
      <c r="AA125" s="14">
        <v>2.0</v>
      </c>
      <c r="AB125" s="13">
        <f t="shared" si="4"/>
        <v>286.2857143</v>
      </c>
      <c r="AC125" s="15">
        <f t="shared" si="5"/>
        <v>195</v>
      </c>
      <c r="AD125" s="13">
        <f t="shared" si="6"/>
        <v>27.85714286</v>
      </c>
      <c r="AE125" s="13">
        <f t="shared" si="7"/>
        <v>167.1428571</v>
      </c>
      <c r="AF125" s="13">
        <f t="shared" si="8"/>
        <v>119.1428571</v>
      </c>
      <c r="AG125" s="21"/>
      <c r="AH125" s="21"/>
      <c r="AI125" s="21"/>
      <c r="AJ125" s="21"/>
    </row>
    <row r="126" ht="27.75" customHeight="1">
      <c r="A126" s="12"/>
      <c r="B126" s="7">
        <v>121.0</v>
      </c>
      <c r="C126" s="7" t="s">
        <v>644</v>
      </c>
      <c r="D126" s="7" t="s">
        <v>645</v>
      </c>
      <c r="E126" s="7" t="s">
        <v>62</v>
      </c>
      <c r="F126" s="9">
        <v>45900.0</v>
      </c>
      <c r="G126" s="7" t="s">
        <v>619</v>
      </c>
      <c r="H126" s="12"/>
      <c r="I126" s="7">
        <v>1000000.0</v>
      </c>
      <c r="J126" s="7">
        <v>1000000.0</v>
      </c>
      <c r="K126" s="7" t="s">
        <v>646</v>
      </c>
      <c r="L126" s="7" t="s">
        <v>42</v>
      </c>
      <c r="M126" s="11" t="s">
        <v>647</v>
      </c>
      <c r="N126" s="7">
        <v>2026.0</v>
      </c>
      <c r="O126" s="12"/>
      <c r="P126" s="7" t="s">
        <v>368</v>
      </c>
      <c r="Q126" s="12"/>
      <c r="R126" s="13"/>
      <c r="S126" s="13"/>
      <c r="T126" s="13"/>
      <c r="U126" s="13"/>
      <c r="V126" s="13"/>
      <c r="W126" s="7" t="str">
        <f t="shared" si="1"/>
        <v>#VALUE!</v>
      </c>
      <c r="X126" s="7" t="str">
        <f t="shared" si="2"/>
        <v>#VALUE!</v>
      </c>
      <c r="Y126" s="7" t="str">
        <f t="shared" si="3"/>
        <v>#VALUE!</v>
      </c>
      <c r="Z126" s="14">
        <v>3.0</v>
      </c>
      <c r="AA126" s="14">
        <v>2.0</v>
      </c>
      <c r="AB126" s="13" t="str">
        <f t="shared" si="4"/>
        <v>#VALUE!</v>
      </c>
      <c r="AC126" s="15" t="str">
        <f t="shared" si="5"/>
        <v>#VALUE!</v>
      </c>
      <c r="AD126" s="13" t="str">
        <f t="shared" si="6"/>
        <v>#VALUE!</v>
      </c>
      <c r="AE126" s="13" t="str">
        <f t="shared" si="7"/>
        <v>#VALUE!</v>
      </c>
      <c r="AF126" s="13" t="str">
        <f t="shared" si="8"/>
        <v>#VALUE!</v>
      </c>
      <c r="AG126" s="13"/>
      <c r="AH126" s="13"/>
      <c r="AI126" s="13"/>
      <c r="AJ126" s="13"/>
    </row>
    <row r="127">
      <c r="A127" s="12"/>
      <c r="B127" s="7">
        <v>120.0</v>
      </c>
      <c r="C127" s="7" t="s">
        <v>648</v>
      </c>
      <c r="D127" s="7" t="s">
        <v>649</v>
      </c>
      <c r="E127" s="7" t="s">
        <v>27</v>
      </c>
      <c r="F127" s="9">
        <v>45897.0</v>
      </c>
      <c r="G127" s="7" t="s">
        <v>650</v>
      </c>
      <c r="H127" s="7" t="s">
        <v>651</v>
      </c>
      <c r="I127" s="7">
        <v>2000000.0</v>
      </c>
      <c r="J127" s="7">
        <v>2000000.0</v>
      </c>
      <c r="K127" s="7" t="s">
        <v>545</v>
      </c>
      <c r="L127" s="8" t="s">
        <v>652</v>
      </c>
      <c r="M127" s="11" t="s">
        <v>653</v>
      </c>
      <c r="N127" s="7">
        <v>2027.0</v>
      </c>
      <c r="O127" s="12"/>
      <c r="P127" s="7" t="s">
        <v>307</v>
      </c>
      <c r="Q127" s="12"/>
      <c r="R127" s="13"/>
      <c r="S127" s="13"/>
      <c r="T127" s="13"/>
      <c r="U127" s="13"/>
      <c r="V127" s="13"/>
      <c r="W127" s="7" t="str">
        <f t="shared" si="1"/>
        <v>29.08.2025</v>
      </c>
      <c r="X127" s="7" t="str">
        <f t="shared" si="2"/>
        <v>29.05.2026</v>
      </c>
      <c r="Y127" s="7">
        <f t="shared" si="3"/>
        <v>39</v>
      </c>
      <c r="Z127" s="14">
        <v>3.0</v>
      </c>
      <c r="AA127" s="14">
        <v>2.0</v>
      </c>
      <c r="AB127" s="13">
        <f t="shared" si="4"/>
        <v>234</v>
      </c>
      <c r="AC127" s="15">
        <f t="shared" si="5"/>
        <v>195</v>
      </c>
      <c r="AD127" s="13">
        <f t="shared" si="6"/>
        <v>27.85714286</v>
      </c>
      <c r="AE127" s="13">
        <f t="shared" si="7"/>
        <v>167.1428571</v>
      </c>
      <c r="AF127" s="13">
        <f t="shared" si="8"/>
        <v>66.85714286</v>
      </c>
      <c r="AG127" s="13"/>
      <c r="AH127" s="13"/>
      <c r="AI127" s="13"/>
      <c r="AJ127" s="13"/>
    </row>
    <row r="128">
      <c r="A128" s="12"/>
      <c r="B128" s="7">
        <v>122.0</v>
      </c>
      <c r="C128" s="7" t="s">
        <v>654</v>
      </c>
      <c r="D128" s="7" t="s">
        <v>655</v>
      </c>
      <c r="E128" s="7" t="s">
        <v>62</v>
      </c>
      <c r="F128" s="9">
        <v>45905.0</v>
      </c>
      <c r="G128" s="51" t="s">
        <v>656</v>
      </c>
      <c r="H128" s="7" t="s">
        <v>657</v>
      </c>
      <c r="I128" s="7">
        <v>1500000.0</v>
      </c>
      <c r="J128" s="7">
        <v>1500000.0</v>
      </c>
      <c r="K128" s="7" t="s">
        <v>562</v>
      </c>
      <c r="L128" s="7" t="s">
        <v>42</v>
      </c>
      <c r="M128" s="11" t="s">
        <v>658</v>
      </c>
      <c r="N128" s="12"/>
      <c r="O128" s="12"/>
      <c r="P128" s="7" t="s">
        <v>368</v>
      </c>
      <c r="Q128" s="12"/>
      <c r="R128" s="13"/>
      <c r="S128" s="13"/>
      <c r="T128" s="13"/>
      <c r="U128" s="13"/>
      <c r="V128" s="13"/>
      <c r="W128" s="7" t="str">
        <f t="shared" si="1"/>
        <v>05.09.2025</v>
      </c>
      <c r="X128" s="7" t="str">
        <f t="shared" si="2"/>
        <v>05.06.2026</v>
      </c>
      <c r="Y128" s="7">
        <f t="shared" si="3"/>
        <v>39</v>
      </c>
      <c r="Z128" s="14">
        <v>3.0</v>
      </c>
      <c r="AA128" s="14">
        <v>2.0</v>
      </c>
      <c r="AB128" s="13">
        <f t="shared" si="4"/>
        <v>234</v>
      </c>
      <c r="AC128" s="15">
        <f t="shared" si="5"/>
        <v>188</v>
      </c>
      <c r="AD128" s="13">
        <f t="shared" si="6"/>
        <v>26.85714286</v>
      </c>
      <c r="AE128" s="13">
        <f t="shared" si="7"/>
        <v>161.1428571</v>
      </c>
      <c r="AF128" s="13">
        <f t="shared" si="8"/>
        <v>72.85714286</v>
      </c>
      <c r="AG128" s="13"/>
      <c r="AH128" s="13"/>
      <c r="AI128" s="13"/>
      <c r="AJ128" s="13"/>
    </row>
    <row r="129">
      <c r="A129" s="12"/>
      <c r="B129" s="7">
        <v>123.0</v>
      </c>
      <c r="C129" s="7" t="s">
        <v>659</v>
      </c>
      <c r="D129" s="7" t="s">
        <v>660</v>
      </c>
      <c r="E129" s="7" t="s">
        <v>62</v>
      </c>
      <c r="F129" s="9">
        <v>45905.0</v>
      </c>
      <c r="G129" s="7" t="s">
        <v>661</v>
      </c>
      <c r="H129" s="7" t="s">
        <v>662</v>
      </c>
      <c r="I129" s="7">
        <v>1900000.0</v>
      </c>
      <c r="J129" s="7">
        <v>1900000.0</v>
      </c>
      <c r="K129" s="7" t="s">
        <v>562</v>
      </c>
      <c r="L129" s="7" t="s">
        <v>42</v>
      </c>
      <c r="M129" s="11" t="s">
        <v>663</v>
      </c>
      <c r="N129" s="7">
        <v>2027.0</v>
      </c>
      <c r="O129" s="12"/>
      <c r="P129" s="7" t="s">
        <v>368</v>
      </c>
      <c r="Q129" s="12"/>
      <c r="R129" s="13"/>
      <c r="S129" s="13"/>
      <c r="T129" s="13"/>
      <c r="U129" s="13"/>
      <c r="V129" s="13"/>
      <c r="W129" s="7" t="str">
        <f t="shared" si="1"/>
        <v>06.09.2025</v>
      </c>
      <c r="X129" s="7" t="str">
        <f t="shared" si="2"/>
        <v>06.06.2026</v>
      </c>
      <c r="Y129" s="7">
        <f t="shared" si="3"/>
        <v>39</v>
      </c>
      <c r="Z129" s="14">
        <v>3.0</v>
      </c>
      <c r="AA129" s="14">
        <v>2.0</v>
      </c>
      <c r="AB129" s="13">
        <f t="shared" si="4"/>
        <v>234</v>
      </c>
      <c r="AC129" s="15">
        <f t="shared" si="5"/>
        <v>187</v>
      </c>
      <c r="AD129" s="13">
        <f t="shared" si="6"/>
        <v>26.71428571</v>
      </c>
      <c r="AE129" s="13">
        <f t="shared" si="7"/>
        <v>160.2857143</v>
      </c>
      <c r="AF129" s="13">
        <f t="shared" si="8"/>
        <v>73.71428571</v>
      </c>
      <c r="AG129" s="13"/>
      <c r="AH129" s="13"/>
      <c r="AI129" s="13"/>
      <c r="AJ129" s="13"/>
    </row>
    <row r="130">
      <c r="A130" s="12"/>
      <c r="B130" s="7">
        <v>124.0</v>
      </c>
      <c r="C130" s="7" t="s">
        <v>664</v>
      </c>
      <c r="D130" s="7" t="s">
        <v>665</v>
      </c>
      <c r="E130" s="7" t="s">
        <v>62</v>
      </c>
      <c r="F130" s="9">
        <v>45906.0</v>
      </c>
      <c r="G130" s="7" t="s">
        <v>629</v>
      </c>
      <c r="H130" s="7" t="s">
        <v>666</v>
      </c>
      <c r="I130" s="7">
        <v>1500000.0</v>
      </c>
      <c r="J130" s="7">
        <v>1500000.0</v>
      </c>
      <c r="K130" s="7" t="s">
        <v>562</v>
      </c>
      <c r="L130" s="7" t="s">
        <v>42</v>
      </c>
      <c r="M130" s="11" t="s">
        <v>667</v>
      </c>
      <c r="N130" s="12"/>
      <c r="O130" s="12"/>
      <c r="P130" s="7" t="s">
        <v>368</v>
      </c>
      <c r="Q130" s="12"/>
      <c r="R130" s="13"/>
      <c r="S130" s="13"/>
      <c r="T130" s="13"/>
      <c r="U130" s="13"/>
      <c r="V130" s="13"/>
      <c r="W130" s="7" t="str">
        <f t="shared" si="1"/>
        <v>08.09.2025</v>
      </c>
      <c r="X130" s="7" t="str">
        <f t="shared" si="2"/>
        <v>08.06.2026</v>
      </c>
      <c r="Y130" s="7">
        <f t="shared" si="3"/>
        <v>39</v>
      </c>
      <c r="Z130" s="14">
        <v>3.0</v>
      </c>
      <c r="AA130" s="14">
        <v>2.0</v>
      </c>
      <c r="AB130" s="13">
        <f t="shared" si="4"/>
        <v>234</v>
      </c>
      <c r="AC130" s="15">
        <f t="shared" si="5"/>
        <v>185</v>
      </c>
      <c r="AD130" s="13">
        <f t="shared" si="6"/>
        <v>26.42857143</v>
      </c>
      <c r="AE130" s="13">
        <f t="shared" si="7"/>
        <v>158.5714286</v>
      </c>
      <c r="AF130" s="13">
        <f t="shared" si="8"/>
        <v>75.42857143</v>
      </c>
      <c r="AG130" s="13"/>
      <c r="AH130" s="13"/>
      <c r="AI130" s="13"/>
      <c r="AJ130" s="13"/>
    </row>
    <row r="131">
      <c r="A131" s="12"/>
      <c r="B131" s="7">
        <v>125.0</v>
      </c>
      <c r="C131" s="7" t="s">
        <v>668</v>
      </c>
      <c r="D131" s="7" t="s">
        <v>669</v>
      </c>
      <c r="E131" s="7" t="s">
        <v>27</v>
      </c>
      <c r="F131" s="9">
        <v>45912.0</v>
      </c>
      <c r="G131" s="7" t="s">
        <v>629</v>
      </c>
      <c r="H131" s="7" t="s">
        <v>670</v>
      </c>
      <c r="I131" s="7">
        <v>2000000.0</v>
      </c>
      <c r="J131" s="7">
        <v>1100000.0</v>
      </c>
      <c r="K131" s="7" t="s">
        <v>671</v>
      </c>
      <c r="L131" s="7" t="s">
        <v>672</v>
      </c>
      <c r="M131" s="11" t="s">
        <v>673</v>
      </c>
      <c r="N131" s="12"/>
      <c r="O131" s="12"/>
      <c r="P131" s="7" t="s">
        <v>368</v>
      </c>
      <c r="Q131" s="12"/>
      <c r="R131" s="13"/>
      <c r="S131" s="13"/>
      <c r="T131" s="13"/>
      <c r="U131" s="13"/>
      <c r="V131" s="13"/>
      <c r="W131" s="7" t="str">
        <f t="shared" si="1"/>
        <v>15.09.2025</v>
      </c>
      <c r="X131" s="7" t="str">
        <f t="shared" si="2"/>
        <v>15.06.2026</v>
      </c>
      <c r="Y131" s="7">
        <f t="shared" si="3"/>
        <v>39</v>
      </c>
      <c r="Z131" s="14">
        <v>3.0</v>
      </c>
      <c r="AA131" s="14">
        <v>2.0</v>
      </c>
      <c r="AB131" s="13">
        <f t="shared" si="4"/>
        <v>234</v>
      </c>
      <c r="AC131" s="15">
        <f t="shared" si="5"/>
        <v>178</v>
      </c>
      <c r="AD131" s="13">
        <f t="shared" si="6"/>
        <v>25.42857143</v>
      </c>
      <c r="AE131" s="13">
        <f t="shared" si="7"/>
        <v>152.5714286</v>
      </c>
      <c r="AF131" s="13">
        <f t="shared" si="8"/>
        <v>81.42857143</v>
      </c>
      <c r="AG131" s="13"/>
      <c r="AH131" s="13"/>
      <c r="AI131" s="13"/>
      <c r="AJ131" s="13"/>
    </row>
    <row r="132">
      <c r="A132" s="12"/>
      <c r="B132" s="7">
        <v>125.0</v>
      </c>
      <c r="C132" s="7" t="s">
        <v>674</v>
      </c>
      <c r="D132" s="7" t="s">
        <v>675</v>
      </c>
      <c r="E132" s="7" t="s">
        <v>62</v>
      </c>
      <c r="F132" s="9">
        <v>45912.0</v>
      </c>
      <c r="G132" s="7" t="s">
        <v>255</v>
      </c>
      <c r="H132" s="7" t="s">
        <v>676</v>
      </c>
      <c r="I132" s="7">
        <v>1000000.0</v>
      </c>
      <c r="J132" s="7">
        <v>700000.0</v>
      </c>
      <c r="K132" s="51" t="s">
        <v>327</v>
      </c>
      <c r="L132" s="7" t="s">
        <v>677</v>
      </c>
      <c r="M132" s="11" t="s">
        <v>678</v>
      </c>
      <c r="N132" s="7" t="s">
        <v>590</v>
      </c>
      <c r="O132" s="12"/>
      <c r="P132" s="7" t="s">
        <v>368</v>
      </c>
      <c r="Q132" s="12"/>
      <c r="R132" s="13"/>
      <c r="S132" s="13"/>
      <c r="T132" s="13"/>
      <c r="U132" s="13"/>
      <c r="V132" s="13"/>
      <c r="W132" s="7" t="str">
        <f t="shared" si="1"/>
        <v>#VALUE!</v>
      </c>
      <c r="X132" s="7" t="str">
        <f t="shared" si="2"/>
        <v>#VALUE!</v>
      </c>
      <c r="Y132" s="7" t="str">
        <f t="shared" si="3"/>
        <v>#VALUE!</v>
      </c>
      <c r="Z132" s="14">
        <v>3.0</v>
      </c>
      <c r="AA132" s="14">
        <v>2.0</v>
      </c>
      <c r="AB132" s="13" t="str">
        <f t="shared" si="4"/>
        <v>#VALUE!</v>
      </c>
      <c r="AC132" s="15" t="str">
        <f t="shared" si="5"/>
        <v>#VALUE!</v>
      </c>
      <c r="AD132" s="13" t="str">
        <f t="shared" si="6"/>
        <v>#VALUE!</v>
      </c>
      <c r="AE132" s="13" t="str">
        <f t="shared" si="7"/>
        <v>#VALUE!</v>
      </c>
      <c r="AF132" s="13" t="str">
        <f t="shared" si="8"/>
        <v>#VALUE!</v>
      </c>
      <c r="AG132" s="13"/>
      <c r="AH132" s="13"/>
      <c r="AI132" s="13"/>
      <c r="AJ132" s="13"/>
    </row>
    <row r="133">
      <c r="A133" s="12"/>
      <c r="B133" s="7">
        <v>126.0</v>
      </c>
      <c r="C133" s="7" t="s">
        <v>679</v>
      </c>
      <c r="D133" s="7" t="s">
        <v>680</v>
      </c>
      <c r="E133" s="7" t="s">
        <v>62</v>
      </c>
      <c r="F133" s="9">
        <v>45918.0</v>
      </c>
      <c r="G133" s="7" t="s">
        <v>629</v>
      </c>
      <c r="H133" s="7" t="s">
        <v>681</v>
      </c>
      <c r="I133" s="7">
        <v>1500000.0</v>
      </c>
      <c r="J133" s="7">
        <v>1500000.0</v>
      </c>
      <c r="K133" s="7" t="s">
        <v>562</v>
      </c>
      <c r="L133" s="7" t="s">
        <v>42</v>
      </c>
      <c r="M133" s="11" t="s">
        <v>682</v>
      </c>
      <c r="N133" s="7">
        <v>2026.0</v>
      </c>
      <c r="O133" s="12"/>
      <c r="P133" s="7" t="s">
        <v>368</v>
      </c>
      <c r="Q133" s="12"/>
      <c r="R133" s="13"/>
      <c r="S133" s="13"/>
      <c r="T133" s="13"/>
      <c r="U133" s="13"/>
      <c r="V133" s="13"/>
      <c r="W133" s="7" t="str">
        <f t="shared" si="1"/>
        <v>18.09.2025</v>
      </c>
      <c r="X133" s="7" t="str">
        <f t="shared" si="2"/>
        <v>18.06.2026</v>
      </c>
      <c r="Y133" s="7">
        <f t="shared" si="3"/>
        <v>39</v>
      </c>
      <c r="Z133" s="14">
        <v>3.0</v>
      </c>
      <c r="AA133" s="14">
        <v>2.0</v>
      </c>
      <c r="AB133" s="13">
        <f t="shared" si="4"/>
        <v>234</v>
      </c>
      <c r="AC133" s="15">
        <f t="shared" si="5"/>
        <v>175</v>
      </c>
      <c r="AD133" s="13">
        <f t="shared" si="6"/>
        <v>25</v>
      </c>
      <c r="AE133" s="13">
        <f t="shared" si="7"/>
        <v>150</v>
      </c>
      <c r="AF133" s="13">
        <f t="shared" si="8"/>
        <v>84</v>
      </c>
      <c r="AG133" s="13"/>
      <c r="AH133" s="13"/>
      <c r="AI133" s="13"/>
      <c r="AJ133" s="13"/>
    </row>
    <row r="134" ht="21.75" customHeight="1">
      <c r="A134" s="12"/>
      <c r="B134" s="7">
        <v>127.0</v>
      </c>
      <c r="C134" s="7" t="s">
        <v>683</v>
      </c>
      <c r="D134" s="7" t="s">
        <v>684</v>
      </c>
      <c r="E134" s="7" t="s">
        <v>27</v>
      </c>
      <c r="F134" s="9">
        <v>45920.0</v>
      </c>
      <c r="G134" s="7" t="s">
        <v>629</v>
      </c>
      <c r="H134" s="7" t="s">
        <v>685</v>
      </c>
      <c r="I134" s="7">
        <v>1920000.0</v>
      </c>
      <c r="J134" s="7">
        <f>1420000</f>
        <v>1420000</v>
      </c>
      <c r="K134" s="7" t="s">
        <v>686</v>
      </c>
      <c r="L134" s="7" t="s">
        <v>672</v>
      </c>
      <c r="M134" s="29" t="s">
        <v>687</v>
      </c>
      <c r="N134" s="12"/>
      <c r="O134" s="12"/>
      <c r="P134" s="7" t="s">
        <v>368</v>
      </c>
      <c r="Q134" s="12"/>
      <c r="R134" s="13"/>
      <c r="S134" s="13"/>
      <c r="T134" s="13"/>
      <c r="U134" s="13"/>
      <c r="V134" s="13"/>
      <c r="W134" s="7" t="str">
        <f t="shared" si="1"/>
        <v>22.09.2025</v>
      </c>
      <c r="X134" s="7" t="str">
        <f t="shared" si="2"/>
        <v>22.06.2026</v>
      </c>
      <c r="Y134" s="7">
        <f t="shared" si="3"/>
        <v>39</v>
      </c>
      <c r="Z134" s="14">
        <v>3.0</v>
      </c>
      <c r="AA134" s="14">
        <v>2.0</v>
      </c>
      <c r="AB134" s="13">
        <f t="shared" si="4"/>
        <v>234</v>
      </c>
      <c r="AC134" s="15">
        <f t="shared" si="5"/>
        <v>171</v>
      </c>
      <c r="AD134" s="13">
        <f t="shared" si="6"/>
        <v>24.42857143</v>
      </c>
      <c r="AE134" s="13">
        <f t="shared" si="7"/>
        <v>146.5714286</v>
      </c>
      <c r="AF134" s="13">
        <f t="shared" si="8"/>
        <v>87.42857143</v>
      </c>
      <c r="AG134" s="13"/>
      <c r="AH134" s="13"/>
      <c r="AI134" s="13"/>
      <c r="AJ134" s="13"/>
    </row>
    <row r="135" ht="26.25" customHeight="1">
      <c r="A135" s="12"/>
      <c r="B135" s="7">
        <v>128.0</v>
      </c>
      <c r="C135" s="7" t="s">
        <v>688</v>
      </c>
      <c r="D135" s="7" t="s">
        <v>689</v>
      </c>
      <c r="E135" s="7" t="s">
        <v>27</v>
      </c>
      <c r="F135" s="9">
        <v>45920.0</v>
      </c>
      <c r="G135" s="7" t="s">
        <v>629</v>
      </c>
      <c r="H135" s="7" t="s">
        <v>685</v>
      </c>
      <c r="I135" s="7">
        <v>1400000.0</v>
      </c>
      <c r="J135" s="7">
        <f>155000+155000+155000+155000</f>
        <v>620000</v>
      </c>
      <c r="K135" s="51" t="s">
        <v>545</v>
      </c>
      <c r="L135" s="7" t="s">
        <v>690</v>
      </c>
      <c r="M135" s="11" t="s">
        <v>691</v>
      </c>
      <c r="N135" s="7" t="s">
        <v>692</v>
      </c>
      <c r="O135" s="12"/>
      <c r="P135" s="7" t="s">
        <v>368</v>
      </c>
      <c r="Q135" s="12"/>
      <c r="R135" s="13"/>
      <c r="S135" s="13"/>
      <c r="T135" s="13"/>
      <c r="U135" s="13"/>
      <c r="V135" s="13"/>
      <c r="W135" s="7" t="str">
        <f t="shared" si="1"/>
        <v>22.09.2025</v>
      </c>
      <c r="X135" s="7" t="str">
        <f t="shared" si="2"/>
        <v>22.06.2026</v>
      </c>
      <c r="Y135" s="7">
        <f t="shared" si="3"/>
        <v>39</v>
      </c>
      <c r="Z135" s="14">
        <v>3.0</v>
      </c>
      <c r="AA135" s="14">
        <v>2.0</v>
      </c>
      <c r="AB135" s="13">
        <f t="shared" si="4"/>
        <v>234</v>
      </c>
      <c r="AC135" s="15">
        <f t="shared" si="5"/>
        <v>171</v>
      </c>
      <c r="AD135" s="13">
        <f t="shared" si="6"/>
        <v>24.42857143</v>
      </c>
      <c r="AE135" s="13">
        <f t="shared" si="7"/>
        <v>146.5714286</v>
      </c>
      <c r="AF135" s="13">
        <f t="shared" si="8"/>
        <v>87.42857143</v>
      </c>
      <c r="AG135" s="13"/>
      <c r="AH135" s="13"/>
      <c r="AI135" s="13"/>
      <c r="AJ135" s="13"/>
    </row>
    <row r="136">
      <c r="A136" s="12"/>
      <c r="B136" s="7">
        <v>129.0</v>
      </c>
      <c r="C136" s="7" t="s">
        <v>693</v>
      </c>
      <c r="D136" s="7" t="s">
        <v>694</v>
      </c>
      <c r="E136" s="7" t="s">
        <v>27</v>
      </c>
      <c r="F136" s="9">
        <v>45920.0</v>
      </c>
      <c r="G136" s="7" t="s">
        <v>619</v>
      </c>
      <c r="H136" s="7" t="s">
        <v>695</v>
      </c>
      <c r="I136" s="7">
        <v>1250000.0</v>
      </c>
      <c r="J136" s="7">
        <v>1250000.0</v>
      </c>
      <c r="K136" s="7" t="s">
        <v>545</v>
      </c>
      <c r="L136" s="7" t="s">
        <v>42</v>
      </c>
      <c r="M136" s="29" t="s">
        <v>696</v>
      </c>
      <c r="N136" s="7" t="s">
        <v>590</v>
      </c>
      <c r="O136" s="12"/>
      <c r="P136" s="7" t="s">
        <v>368</v>
      </c>
      <c r="Q136" s="12"/>
      <c r="R136" s="13"/>
      <c r="S136" s="13"/>
      <c r="T136" s="13"/>
      <c r="U136" s="13"/>
      <c r="V136" s="13"/>
      <c r="W136" s="7" t="str">
        <f t="shared" si="1"/>
        <v>#VALUE!</v>
      </c>
      <c r="X136" s="7" t="str">
        <f t="shared" si="2"/>
        <v>#VALUE!</v>
      </c>
      <c r="Y136" s="7" t="str">
        <f t="shared" si="3"/>
        <v>#VALUE!</v>
      </c>
      <c r="Z136" s="14">
        <v>3.0</v>
      </c>
      <c r="AA136" s="14">
        <v>2.0</v>
      </c>
      <c r="AB136" s="13" t="str">
        <f t="shared" si="4"/>
        <v>#VALUE!</v>
      </c>
      <c r="AC136" s="15" t="str">
        <f t="shared" si="5"/>
        <v>#VALUE!</v>
      </c>
      <c r="AD136" s="13" t="str">
        <f t="shared" si="6"/>
        <v>#VALUE!</v>
      </c>
      <c r="AE136" s="13" t="str">
        <f t="shared" si="7"/>
        <v>#VALUE!</v>
      </c>
      <c r="AF136" s="13" t="str">
        <f t="shared" si="8"/>
        <v>#VALUE!</v>
      </c>
      <c r="AG136" s="13"/>
      <c r="AH136" s="13"/>
      <c r="AI136" s="13"/>
      <c r="AJ136" s="13"/>
    </row>
    <row r="137">
      <c r="A137" s="12"/>
      <c r="B137" s="7">
        <v>130.0</v>
      </c>
      <c r="C137" s="7" t="s">
        <v>697</v>
      </c>
      <c r="D137" s="7" t="s">
        <v>698</v>
      </c>
      <c r="E137" s="7" t="s">
        <v>62</v>
      </c>
      <c r="F137" s="9">
        <v>45924.0</v>
      </c>
      <c r="G137" s="7" t="s">
        <v>699</v>
      </c>
      <c r="H137" s="7" t="s">
        <v>700</v>
      </c>
      <c r="I137" s="7">
        <v>1000000.0</v>
      </c>
      <c r="J137" s="7">
        <v>1000000.0</v>
      </c>
      <c r="K137" s="7" t="s">
        <v>701</v>
      </c>
      <c r="L137" s="8" t="s">
        <v>702</v>
      </c>
      <c r="M137" s="11" t="s">
        <v>703</v>
      </c>
      <c r="N137" s="7" t="s">
        <v>590</v>
      </c>
      <c r="O137" s="12"/>
      <c r="P137" s="7" t="s">
        <v>368</v>
      </c>
      <c r="Q137" s="12"/>
      <c r="R137" s="13"/>
      <c r="S137" s="13"/>
      <c r="T137" s="13"/>
      <c r="U137" s="13"/>
      <c r="V137" s="13"/>
      <c r="W137" s="7" t="str">
        <f t="shared" si="1"/>
        <v>25.09.2025</v>
      </c>
      <c r="X137" s="7" t="str">
        <f t="shared" si="2"/>
        <v>25.12.2025</v>
      </c>
      <c r="Y137" s="7">
        <f t="shared" si="3"/>
        <v>13</v>
      </c>
      <c r="Z137" s="14">
        <v>3.0</v>
      </c>
      <c r="AA137" s="14">
        <v>2.0</v>
      </c>
      <c r="AB137" s="13">
        <f t="shared" si="4"/>
        <v>78</v>
      </c>
      <c r="AC137" s="15">
        <f t="shared" si="5"/>
        <v>91</v>
      </c>
      <c r="AD137" s="13">
        <f t="shared" si="6"/>
        <v>13</v>
      </c>
      <c r="AE137" s="13">
        <f t="shared" si="7"/>
        <v>78</v>
      </c>
      <c r="AF137" s="13">
        <f t="shared" si="8"/>
        <v>0</v>
      </c>
      <c r="AG137" s="13"/>
      <c r="AH137" s="13"/>
      <c r="AI137" s="13"/>
      <c r="AJ137" s="13"/>
    </row>
    <row r="138">
      <c r="A138" s="12"/>
      <c r="B138" s="7">
        <v>131.0</v>
      </c>
      <c r="C138" s="7" t="s">
        <v>704</v>
      </c>
      <c r="D138" s="7" t="s">
        <v>705</v>
      </c>
      <c r="E138" s="7" t="s">
        <v>27</v>
      </c>
      <c r="F138" s="9">
        <v>45926.0</v>
      </c>
      <c r="G138" s="7" t="s">
        <v>706</v>
      </c>
      <c r="H138" s="7" t="s">
        <v>676</v>
      </c>
      <c r="I138" s="7">
        <v>1500000.0</v>
      </c>
      <c r="J138" s="7">
        <v>1000000.0</v>
      </c>
      <c r="K138" s="7" t="s">
        <v>348</v>
      </c>
      <c r="L138" s="7" t="s">
        <v>672</v>
      </c>
      <c r="M138" s="11" t="s">
        <v>707</v>
      </c>
      <c r="N138" s="7">
        <v>2026.0</v>
      </c>
      <c r="O138" s="12"/>
      <c r="P138" s="7" t="s">
        <v>368</v>
      </c>
      <c r="Q138" s="12"/>
      <c r="R138" s="13"/>
      <c r="S138" s="13"/>
      <c r="T138" s="13"/>
      <c r="U138" s="13"/>
      <c r="V138" s="13"/>
      <c r="W138" s="7" t="str">
        <f t="shared" si="1"/>
        <v>#VALUE!</v>
      </c>
      <c r="X138" s="7" t="str">
        <f t="shared" si="2"/>
        <v>#VALUE!</v>
      </c>
      <c r="Y138" s="7" t="str">
        <f t="shared" si="3"/>
        <v>#VALUE!</v>
      </c>
      <c r="Z138" s="14">
        <v>3.0</v>
      </c>
      <c r="AA138" s="14">
        <v>2.0</v>
      </c>
      <c r="AB138" s="13" t="str">
        <f t="shared" si="4"/>
        <v>#VALUE!</v>
      </c>
      <c r="AC138" s="15" t="str">
        <f t="shared" si="5"/>
        <v>#VALUE!</v>
      </c>
      <c r="AD138" s="13" t="str">
        <f t="shared" si="6"/>
        <v>#VALUE!</v>
      </c>
      <c r="AE138" s="13" t="str">
        <f t="shared" si="7"/>
        <v>#VALUE!</v>
      </c>
      <c r="AF138" s="13" t="str">
        <f t="shared" si="8"/>
        <v>#VALUE!</v>
      </c>
      <c r="AG138" s="13"/>
      <c r="AH138" s="13"/>
      <c r="AI138" s="13"/>
      <c r="AJ138" s="13"/>
    </row>
    <row r="139">
      <c r="A139" s="12"/>
      <c r="B139" s="7">
        <v>132.0</v>
      </c>
      <c r="C139" s="7" t="s">
        <v>708</v>
      </c>
      <c r="D139" s="7" t="s">
        <v>709</v>
      </c>
      <c r="E139" s="7" t="s">
        <v>62</v>
      </c>
      <c r="F139" s="9">
        <v>45930.0</v>
      </c>
      <c r="G139" s="7" t="s">
        <v>629</v>
      </c>
      <c r="H139" s="7" t="s">
        <v>710</v>
      </c>
      <c r="I139" s="7">
        <v>2000000.0</v>
      </c>
      <c r="J139" s="7">
        <v>1500000.0</v>
      </c>
      <c r="K139" s="7" t="s">
        <v>545</v>
      </c>
      <c r="L139" s="7" t="s">
        <v>672</v>
      </c>
      <c r="M139" s="11" t="s">
        <v>711</v>
      </c>
      <c r="N139" s="7">
        <v>2027.0</v>
      </c>
      <c r="O139" s="12"/>
      <c r="P139" s="7" t="s">
        <v>368</v>
      </c>
      <c r="Q139" s="12"/>
      <c r="R139" s="13"/>
      <c r="S139" s="13"/>
      <c r="T139" s="13"/>
      <c r="U139" s="13"/>
      <c r="V139" s="13"/>
      <c r="W139" s="7" t="str">
        <f t="shared" si="1"/>
        <v>30.09.2025</v>
      </c>
      <c r="X139" s="7" t="str">
        <f t="shared" si="2"/>
        <v>30.06.2026</v>
      </c>
      <c r="Y139" s="7">
        <f t="shared" si="3"/>
        <v>39</v>
      </c>
      <c r="Z139" s="14">
        <v>3.0</v>
      </c>
      <c r="AA139" s="14">
        <v>2.0</v>
      </c>
      <c r="AB139" s="13">
        <f t="shared" si="4"/>
        <v>234</v>
      </c>
      <c r="AC139" s="15">
        <f t="shared" si="5"/>
        <v>163</v>
      </c>
      <c r="AD139" s="13">
        <f t="shared" si="6"/>
        <v>23.28571429</v>
      </c>
      <c r="AE139" s="13">
        <f t="shared" si="7"/>
        <v>139.7142857</v>
      </c>
      <c r="AF139" s="13">
        <f t="shared" si="8"/>
        <v>94.28571429</v>
      </c>
      <c r="AG139" s="13"/>
      <c r="AH139" s="13"/>
      <c r="AI139" s="13"/>
      <c r="AJ139" s="13"/>
    </row>
    <row r="140">
      <c r="A140" s="13"/>
      <c r="B140" s="14">
        <v>133.0</v>
      </c>
      <c r="C140" s="14" t="s">
        <v>712</v>
      </c>
      <c r="D140" s="14" t="s">
        <v>713</v>
      </c>
      <c r="E140" s="14" t="s">
        <v>27</v>
      </c>
      <c r="F140" s="72">
        <v>45936.0</v>
      </c>
      <c r="G140" s="7" t="s">
        <v>629</v>
      </c>
      <c r="H140" s="14" t="s">
        <v>714</v>
      </c>
      <c r="I140" s="14">
        <v>2000000.0</v>
      </c>
      <c r="J140" s="14">
        <v>1500000.0</v>
      </c>
      <c r="K140" s="7" t="s">
        <v>715</v>
      </c>
      <c r="L140" s="14" t="s">
        <v>716</v>
      </c>
      <c r="M140" s="73" t="s">
        <v>717</v>
      </c>
      <c r="N140" s="14">
        <v>2026.0</v>
      </c>
      <c r="O140" s="13"/>
      <c r="P140" s="14" t="s">
        <v>368</v>
      </c>
      <c r="Q140" s="13"/>
      <c r="R140" s="13"/>
      <c r="S140" s="13"/>
      <c r="T140" s="13"/>
      <c r="U140" s="13"/>
      <c r="V140" s="13"/>
      <c r="W140" s="7" t="str">
        <f t="shared" si="1"/>
        <v>07.10.2025</v>
      </c>
      <c r="X140" s="7" t="str">
        <f t="shared" si="2"/>
        <v>07.07.2026</v>
      </c>
      <c r="Y140" s="7">
        <f t="shared" si="3"/>
        <v>39</v>
      </c>
      <c r="Z140" s="14">
        <v>3.0</v>
      </c>
      <c r="AA140" s="14">
        <v>2.0</v>
      </c>
      <c r="AB140" s="13">
        <f t="shared" si="4"/>
        <v>234</v>
      </c>
      <c r="AC140" s="15">
        <f t="shared" si="5"/>
        <v>156</v>
      </c>
      <c r="AD140" s="13">
        <f t="shared" si="6"/>
        <v>22.28571429</v>
      </c>
      <c r="AE140" s="13">
        <f t="shared" si="7"/>
        <v>133.7142857</v>
      </c>
      <c r="AF140" s="13">
        <f t="shared" si="8"/>
        <v>100.2857143</v>
      </c>
      <c r="AG140" s="13"/>
      <c r="AH140" s="13"/>
      <c r="AI140" s="13"/>
      <c r="AJ140" s="13"/>
    </row>
    <row r="141">
      <c r="A141" s="13"/>
      <c r="B141" s="14">
        <v>134.0</v>
      </c>
      <c r="C141" s="14" t="s">
        <v>718</v>
      </c>
      <c r="D141" s="14" t="s">
        <v>719</v>
      </c>
      <c r="E141" s="14" t="s">
        <v>27</v>
      </c>
      <c r="F141" s="72">
        <v>45937.0</v>
      </c>
      <c r="G141" s="7" t="s">
        <v>613</v>
      </c>
      <c r="H141" s="14" t="s">
        <v>720</v>
      </c>
      <c r="I141" s="14">
        <v>2000000.0</v>
      </c>
      <c r="J141" s="14">
        <v>1500000.0</v>
      </c>
      <c r="K141" s="7" t="s">
        <v>545</v>
      </c>
      <c r="L141" s="14" t="s">
        <v>716</v>
      </c>
      <c r="M141" s="73" t="s">
        <v>721</v>
      </c>
      <c r="N141" s="14">
        <v>2026.0</v>
      </c>
      <c r="O141" s="13"/>
      <c r="P141" s="14" t="s">
        <v>368</v>
      </c>
      <c r="Q141" s="13"/>
      <c r="R141" s="13"/>
      <c r="S141" s="13"/>
      <c r="T141" s="13"/>
      <c r="U141" s="13"/>
      <c r="V141" s="13"/>
      <c r="W141" s="7" t="str">
        <f t="shared" si="1"/>
        <v>08.10.2025</v>
      </c>
      <c r="X141" s="7" t="str">
        <f t="shared" si="2"/>
        <v>08.07.2026</v>
      </c>
      <c r="Y141" s="7">
        <f t="shared" si="3"/>
        <v>39</v>
      </c>
      <c r="Z141" s="14">
        <v>3.0</v>
      </c>
      <c r="AA141" s="14">
        <v>2.0</v>
      </c>
      <c r="AB141" s="13">
        <f t="shared" si="4"/>
        <v>234</v>
      </c>
      <c r="AC141" s="15">
        <f t="shared" si="5"/>
        <v>155</v>
      </c>
      <c r="AD141" s="13">
        <f t="shared" si="6"/>
        <v>22.14285714</v>
      </c>
      <c r="AE141" s="13">
        <f t="shared" si="7"/>
        <v>132.8571429</v>
      </c>
      <c r="AF141" s="13">
        <f t="shared" si="8"/>
        <v>101.1428571</v>
      </c>
      <c r="AG141" s="13"/>
      <c r="AH141" s="13"/>
      <c r="AI141" s="13"/>
      <c r="AJ141" s="13"/>
    </row>
    <row r="142">
      <c r="A142" s="13"/>
      <c r="B142" s="14">
        <v>136.0</v>
      </c>
      <c r="C142" s="13"/>
      <c r="D142" s="14" t="s">
        <v>722</v>
      </c>
      <c r="E142" s="14" t="s">
        <v>27</v>
      </c>
      <c r="F142" s="72">
        <v>45938.0</v>
      </c>
      <c r="G142" s="14" t="s">
        <v>619</v>
      </c>
      <c r="H142" s="14" t="s">
        <v>676</v>
      </c>
      <c r="I142" s="14">
        <v>150000.0</v>
      </c>
      <c r="J142" s="14">
        <v>500000.0</v>
      </c>
      <c r="K142" s="7" t="s">
        <v>545</v>
      </c>
      <c r="L142" s="14" t="s">
        <v>723</v>
      </c>
      <c r="M142" s="73" t="s">
        <v>724</v>
      </c>
      <c r="N142" s="14">
        <v>2026.0</v>
      </c>
      <c r="O142" s="13"/>
      <c r="P142" s="14" t="s">
        <v>725</v>
      </c>
      <c r="Q142" s="13"/>
      <c r="R142" s="13"/>
      <c r="S142" s="13"/>
      <c r="T142" s="13"/>
      <c r="U142" s="13"/>
      <c r="V142" s="13"/>
      <c r="W142" s="7" t="str">
        <f t="shared" si="1"/>
        <v>#VALUE!</v>
      </c>
      <c r="X142" s="7" t="str">
        <f t="shared" si="2"/>
        <v>#VALUE!</v>
      </c>
      <c r="Y142" s="7" t="str">
        <f t="shared" si="3"/>
        <v>#VALUE!</v>
      </c>
      <c r="Z142" s="14">
        <v>3.0</v>
      </c>
      <c r="AA142" s="14">
        <v>2.0</v>
      </c>
      <c r="AB142" s="13" t="str">
        <f t="shared" si="4"/>
        <v>#VALUE!</v>
      </c>
      <c r="AC142" s="15" t="str">
        <f t="shared" si="5"/>
        <v>#VALUE!</v>
      </c>
      <c r="AD142" s="13" t="str">
        <f t="shared" si="6"/>
        <v>#VALUE!</v>
      </c>
      <c r="AE142" s="13" t="str">
        <f t="shared" si="7"/>
        <v>#VALUE!</v>
      </c>
      <c r="AF142" s="13" t="str">
        <f t="shared" si="8"/>
        <v>#VALUE!</v>
      </c>
      <c r="AG142" s="13"/>
      <c r="AH142" s="13"/>
      <c r="AI142" s="13"/>
      <c r="AJ142" s="13"/>
    </row>
    <row r="143">
      <c r="A143" s="21"/>
      <c r="B143" s="54">
        <v>137.0</v>
      </c>
      <c r="C143" s="54" t="s">
        <v>726</v>
      </c>
      <c r="D143" s="54" t="s">
        <v>727</v>
      </c>
      <c r="E143" s="54" t="s">
        <v>62</v>
      </c>
      <c r="F143" s="74">
        <v>45938.0</v>
      </c>
      <c r="G143" s="10" t="s">
        <v>728</v>
      </c>
      <c r="H143" s="54" t="s">
        <v>729</v>
      </c>
      <c r="I143" s="54">
        <v>1500000.0</v>
      </c>
      <c r="J143" s="54">
        <v>1000000.0</v>
      </c>
      <c r="K143" s="10" t="s">
        <v>562</v>
      </c>
      <c r="L143" s="54" t="s">
        <v>716</v>
      </c>
      <c r="M143" s="75" t="s">
        <v>730</v>
      </c>
      <c r="N143" s="54">
        <v>2026.0</v>
      </c>
      <c r="O143" s="21"/>
      <c r="P143" s="54" t="s">
        <v>368</v>
      </c>
      <c r="Q143" s="21"/>
      <c r="R143" s="21"/>
      <c r="S143" s="21"/>
      <c r="T143" s="21"/>
      <c r="U143" s="21"/>
      <c r="V143" s="21"/>
      <c r="W143" s="7" t="str">
        <f t="shared" si="1"/>
        <v>09.10.2025</v>
      </c>
      <c r="X143" s="7" t="str">
        <f t="shared" si="2"/>
        <v>09.11.2025</v>
      </c>
      <c r="Y143" s="7">
        <f t="shared" si="3"/>
        <v>4.428571429</v>
      </c>
      <c r="Z143" s="14">
        <v>3.0</v>
      </c>
      <c r="AA143" s="14">
        <v>2.0</v>
      </c>
      <c r="AB143" s="13">
        <f t="shared" si="4"/>
        <v>26.57142857</v>
      </c>
      <c r="AC143" s="15">
        <f t="shared" si="5"/>
        <v>31</v>
      </c>
      <c r="AD143" s="13">
        <f t="shared" si="6"/>
        <v>4.428571429</v>
      </c>
      <c r="AE143" s="13">
        <f t="shared" si="7"/>
        <v>26.57142857</v>
      </c>
      <c r="AF143" s="13">
        <f t="shared" si="8"/>
        <v>0</v>
      </c>
      <c r="AG143" s="21"/>
      <c r="AH143" s="21"/>
      <c r="AI143" s="21"/>
      <c r="AJ143" s="21"/>
    </row>
    <row r="144">
      <c r="A144" s="13"/>
      <c r="B144" s="14">
        <v>138.0</v>
      </c>
      <c r="C144" s="14" t="s">
        <v>731</v>
      </c>
      <c r="D144" s="14" t="s">
        <v>732</v>
      </c>
      <c r="E144" s="14" t="s">
        <v>62</v>
      </c>
      <c r="F144" s="76">
        <v>45942.0</v>
      </c>
      <c r="G144" s="14" t="s">
        <v>613</v>
      </c>
      <c r="H144" s="14" t="s">
        <v>733</v>
      </c>
      <c r="I144" s="14">
        <v>2000000.0</v>
      </c>
      <c r="J144" s="14">
        <v>1200000.0</v>
      </c>
      <c r="K144" s="7" t="s">
        <v>545</v>
      </c>
      <c r="L144" s="14" t="s">
        <v>734</v>
      </c>
      <c r="M144" s="73" t="s">
        <v>735</v>
      </c>
      <c r="N144" s="14">
        <v>2026.0</v>
      </c>
      <c r="O144" s="13"/>
      <c r="P144" s="14" t="s">
        <v>368</v>
      </c>
      <c r="Q144" s="13"/>
      <c r="R144" s="13"/>
      <c r="S144" s="13"/>
      <c r="T144" s="13"/>
      <c r="U144" s="13"/>
      <c r="V144" s="13"/>
      <c r="W144" s="7" t="str">
        <f t="shared" si="1"/>
        <v>13.09.2025</v>
      </c>
      <c r="X144" s="7" t="str">
        <f t="shared" si="2"/>
        <v>13.06.2026</v>
      </c>
      <c r="Y144" s="7">
        <f t="shared" si="3"/>
        <v>39</v>
      </c>
      <c r="Z144" s="14">
        <v>3.0</v>
      </c>
      <c r="AA144" s="14">
        <v>2.0</v>
      </c>
      <c r="AB144" s="13">
        <f t="shared" si="4"/>
        <v>234</v>
      </c>
      <c r="AC144" s="15">
        <f t="shared" si="5"/>
        <v>180</v>
      </c>
      <c r="AD144" s="13">
        <f t="shared" si="6"/>
        <v>25.71428571</v>
      </c>
      <c r="AE144" s="13">
        <f t="shared" si="7"/>
        <v>154.2857143</v>
      </c>
      <c r="AF144" s="13">
        <f t="shared" si="8"/>
        <v>79.71428571</v>
      </c>
      <c r="AG144" s="13"/>
      <c r="AH144" s="13"/>
      <c r="AI144" s="13"/>
      <c r="AJ144" s="13"/>
    </row>
    <row r="145">
      <c r="A145" s="13"/>
      <c r="B145" s="14">
        <v>139.0</v>
      </c>
      <c r="C145" s="14" t="s">
        <v>736</v>
      </c>
      <c r="D145" s="14" t="s">
        <v>737</v>
      </c>
      <c r="E145" s="14" t="s">
        <v>62</v>
      </c>
      <c r="F145" s="76">
        <v>45943.0</v>
      </c>
      <c r="G145" s="14" t="s">
        <v>661</v>
      </c>
      <c r="H145" s="14" t="s">
        <v>738</v>
      </c>
      <c r="I145" s="14">
        <v>2500000.0</v>
      </c>
      <c r="J145" s="14">
        <f>10000+500000+200000+300000</f>
        <v>1010000</v>
      </c>
      <c r="K145" s="7" t="s">
        <v>545</v>
      </c>
      <c r="L145" s="38" t="s">
        <v>739</v>
      </c>
      <c r="M145" s="77" t="s">
        <v>740</v>
      </c>
      <c r="N145" s="13"/>
      <c r="O145" s="14" t="s">
        <v>741</v>
      </c>
      <c r="P145" s="14" t="s">
        <v>368</v>
      </c>
      <c r="Q145" s="13"/>
      <c r="R145" s="13"/>
      <c r="S145" s="13"/>
      <c r="T145" s="13"/>
      <c r="U145" s="13"/>
      <c r="V145" s="13"/>
      <c r="W145" s="7" t="str">
        <f t="shared" si="1"/>
        <v>14.10.2025</v>
      </c>
      <c r="X145" s="7" t="str">
        <f t="shared" si="2"/>
        <v>14.07.2026</v>
      </c>
      <c r="Y145" s="7">
        <f t="shared" si="3"/>
        <v>39</v>
      </c>
      <c r="Z145" s="14">
        <v>3.0</v>
      </c>
      <c r="AA145" s="14">
        <v>2.0</v>
      </c>
      <c r="AB145" s="13">
        <f t="shared" si="4"/>
        <v>234</v>
      </c>
      <c r="AC145" s="15">
        <f t="shared" si="5"/>
        <v>149</v>
      </c>
      <c r="AD145" s="13">
        <f t="shared" si="6"/>
        <v>21.28571429</v>
      </c>
      <c r="AE145" s="13">
        <f t="shared" si="7"/>
        <v>127.7142857</v>
      </c>
      <c r="AF145" s="13">
        <f t="shared" si="8"/>
        <v>106.2857143</v>
      </c>
      <c r="AG145" s="13"/>
      <c r="AH145" s="13"/>
      <c r="AI145" s="13"/>
      <c r="AJ145" s="13"/>
    </row>
    <row r="146">
      <c r="A146" s="13"/>
      <c r="B146" s="14">
        <v>140.0</v>
      </c>
      <c r="C146" s="14" t="s">
        <v>742</v>
      </c>
      <c r="D146" s="14" t="s">
        <v>743</v>
      </c>
      <c r="E146" s="14" t="s">
        <v>27</v>
      </c>
      <c r="F146" s="76">
        <v>45944.0</v>
      </c>
      <c r="G146" s="14" t="s">
        <v>744</v>
      </c>
      <c r="H146" s="14" t="s">
        <v>738</v>
      </c>
      <c r="I146" s="14">
        <v>2000000.0</v>
      </c>
      <c r="J146" s="14">
        <f>1180000+320000</f>
        <v>1500000</v>
      </c>
      <c r="K146" s="7" t="s">
        <v>745</v>
      </c>
      <c r="L146" s="14" t="s">
        <v>746</v>
      </c>
      <c r="M146" s="73" t="s">
        <v>747</v>
      </c>
      <c r="N146" s="13"/>
      <c r="O146" s="13"/>
      <c r="P146" s="14" t="s">
        <v>368</v>
      </c>
      <c r="Q146" s="13"/>
      <c r="R146" s="13"/>
      <c r="S146" s="13"/>
      <c r="T146" s="13"/>
      <c r="U146" s="13"/>
      <c r="V146" s="13"/>
      <c r="W146" s="7" t="str">
        <f t="shared" si="1"/>
        <v>14.10.2025</v>
      </c>
      <c r="X146" s="7" t="str">
        <f t="shared" si="2"/>
        <v>14.07.2026</v>
      </c>
      <c r="Y146" s="7">
        <f t="shared" si="3"/>
        <v>39</v>
      </c>
      <c r="Z146" s="14">
        <v>3.0</v>
      </c>
      <c r="AA146" s="14">
        <v>2.0</v>
      </c>
      <c r="AB146" s="13">
        <f t="shared" si="4"/>
        <v>234</v>
      </c>
      <c r="AC146" s="15">
        <f t="shared" si="5"/>
        <v>149</v>
      </c>
      <c r="AD146" s="13">
        <f t="shared" si="6"/>
        <v>21.28571429</v>
      </c>
      <c r="AE146" s="13">
        <f t="shared" si="7"/>
        <v>127.7142857</v>
      </c>
      <c r="AF146" s="13">
        <f t="shared" si="8"/>
        <v>106.2857143</v>
      </c>
      <c r="AG146" s="13"/>
      <c r="AH146" s="13"/>
      <c r="AI146" s="13"/>
      <c r="AJ146" s="13"/>
    </row>
    <row r="147">
      <c r="A147" s="13"/>
      <c r="B147" s="14">
        <v>141.0</v>
      </c>
      <c r="C147" s="14" t="s">
        <v>748</v>
      </c>
      <c r="D147" s="14" t="s">
        <v>749</v>
      </c>
      <c r="E147" s="14" t="s">
        <v>62</v>
      </c>
      <c r="F147" s="76">
        <v>45952.0</v>
      </c>
      <c r="G147" s="14" t="s">
        <v>750</v>
      </c>
      <c r="H147" s="14" t="s">
        <v>751</v>
      </c>
      <c r="I147" s="14">
        <v>2500000.0</v>
      </c>
      <c r="J147" s="14">
        <v>2000000.0</v>
      </c>
      <c r="K147" s="7" t="s">
        <v>545</v>
      </c>
      <c r="L147" s="14" t="s">
        <v>716</v>
      </c>
      <c r="M147" s="73" t="s">
        <v>752</v>
      </c>
      <c r="N147" s="14">
        <v>2027.0</v>
      </c>
      <c r="O147" s="13"/>
      <c r="P147" s="14" t="s">
        <v>368</v>
      </c>
      <c r="Q147" s="13"/>
      <c r="R147" s="13"/>
      <c r="S147" s="13"/>
      <c r="T147" s="13"/>
      <c r="U147" s="13"/>
      <c r="V147" s="13"/>
      <c r="W147" s="7" t="str">
        <f t="shared" si="1"/>
        <v>22.10.2025</v>
      </c>
      <c r="X147" s="7" t="str">
        <f t="shared" si="2"/>
        <v>22.07.2026</v>
      </c>
      <c r="Y147" s="7">
        <f t="shared" si="3"/>
        <v>39</v>
      </c>
      <c r="Z147" s="14">
        <v>3.0</v>
      </c>
      <c r="AA147" s="14">
        <v>2.0</v>
      </c>
      <c r="AB147" s="13">
        <f t="shared" si="4"/>
        <v>234</v>
      </c>
      <c r="AC147" s="15">
        <f t="shared" si="5"/>
        <v>141</v>
      </c>
      <c r="AD147" s="13">
        <f t="shared" si="6"/>
        <v>20.14285714</v>
      </c>
      <c r="AE147" s="13">
        <f t="shared" si="7"/>
        <v>120.8571429</v>
      </c>
      <c r="AF147" s="13">
        <f t="shared" si="8"/>
        <v>113.1428571</v>
      </c>
      <c r="AG147" s="13"/>
      <c r="AH147" s="13"/>
      <c r="AI147" s="13"/>
      <c r="AJ147" s="13"/>
    </row>
    <row r="148">
      <c r="A148" s="13"/>
      <c r="B148" s="14">
        <v>142.0</v>
      </c>
      <c r="C148" s="14" t="s">
        <v>753</v>
      </c>
      <c r="D148" s="14" t="s">
        <v>754</v>
      </c>
      <c r="E148" s="14" t="s">
        <v>62</v>
      </c>
      <c r="F148" s="72">
        <v>45962.0</v>
      </c>
      <c r="G148" s="14" t="s">
        <v>619</v>
      </c>
      <c r="H148" s="13"/>
      <c r="I148" s="14">
        <v>1500000.0</v>
      </c>
      <c r="J148" s="14">
        <v>500000.0</v>
      </c>
      <c r="K148" s="7" t="s">
        <v>545</v>
      </c>
      <c r="L148" s="8" t="s">
        <v>755</v>
      </c>
      <c r="M148" s="73" t="s">
        <v>756</v>
      </c>
      <c r="N148" s="14">
        <v>2026.0</v>
      </c>
      <c r="O148" s="13"/>
      <c r="P148" s="14" t="s">
        <v>368</v>
      </c>
      <c r="Q148" s="13"/>
      <c r="R148" s="13"/>
      <c r="S148" s="13"/>
      <c r="T148" s="13"/>
      <c r="U148" s="13"/>
      <c r="V148" s="13"/>
      <c r="W148" s="7" t="str">
        <f t="shared" si="1"/>
        <v>#VALUE!</v>
      </c>
      <c r="X148" s="7" t="str">
        <f t="shared" si="2"/>
        <v>#VALUE!</v>
      </c>
      <c r="Y148" s="7" t="str">
        <f t="shared" si="3"/>
        <v>#VALUE!</v>
      </c>
      <c r="Z148" s="14">
        <v>3.0</v>
      </c>
      <c r="AA148" s="14">
        <v>2.0</v>
      </c>
      <c r="AB148" s="13" t="str">
        <f t="shared" si="4"/>
        <v>#VALUE!</v>
      </c>
      <c r="AC148" s="15" t="str">
        <f t="shared" si="5"/>
        <v>#VALUE!</v>
      </c>
      <c r="AD148" s="13" t="str">
        <f t="shared" si="6"/>
        <v>#VALUE!</v>
      </c>
      <c r="AE148" s="13" t="str">
        <f t="shared" si="7"/>
        <v>#VALUE!</v>
      </c>
      <c r="AF148" s="13" t="str">
        <f t="shared" si="8"/>
        <v>#VALUE!</v>
      </c>
      <c r="AG148" s="13"/>
      <c r="AH148" s="13"/>
      <c r="AI148" s="13"/>
      <c r="AJ148" s="13"/>
    </row>
    <row r="149">
      <c r="A149" s="13"/>
      <c r="B149" s="14">
        <v>143.0</v>
      </c>
      <c r="C149" s="13"/>
      <c r="D149" s="14" t="s">
        <v>757</v>
      </c>
      <c r="E149" s="14" t="s">
        <v>62</v>
      </c>
      <c r="F149" s="72">
        <v>45965.0</v>
      </c>
      <c r="G149" s="14" t="s">
        <v>619</v>
      </c>
      <c r="H149" s="78"/>
      <c r="I149" s="14">
        <v>1500000.0</v>
      </c>
      <c r="J149" s="14">
        <v>1500000.0</v>
      </c>
      <c r="K149" s="7" t="s">
        <v>562</v>
      </c>
      <c r="L149" s="79" t="s">
        <v>758</v>
      </c>
      <c r="M149" s="73" t="s">
        <v>759</v>
      </c>
      <c r="N149" s="14">
        <v>2026.0</v>
      </c>
      <c r="O149" s="13"/>
      <c r="P149" s="14" t="s">
        <v>368</v>
      </c>
      <c r="Q149" s="13"/>
      <c r="R149" s="13"/>
      <c r="S149" s="13"/>
      <c r="T149" s="13"/>
      <c r="U149" s="13"/>
      <c r="V149" s="13"/>
      <c r="W149" s="7" t="str">
        <f t="shared" si="1"/>
        <v>#VALUE!</v>
      </c>
      <c r="X149" s="7" t="str">
        <f t="shared" si="2"/>
        <v>#VALUE!</v>
      </c>
      <c r="Y149" s="7" t="str">
        <f t="shared" si="3"/>
        <v>#VALUE!</v>
      </c>
      <c r="Z149" s="14">
        <v>3.0</v>
      </c>
      <c r="AA149" s="14">
        <v>2.0</v>
      </c>
      <c r="AB149" s="13" t="str">
        <f t="shared" si="4"/>
        <v>#VALUE!</v>
      </c>
      <c r="AC149" s="15" t="str">
        <f t="shared" si="5"/>
        <v>#VALUE!</v>
      </c>
      <c r="AD149" s="13" t="str">
        <f t="shared" si="6"/>
        <v>#VALUE!</v>
      </c>
      <c r="AE149" s="13" t="str">
        <f t="shared" si="7"/>
        <v>#VALUE!</v>
      </c>
      <c r="AF149" s="13" t="str">
        <f t="shared" si="8"/>
        <v>#VALUE!</v>
      </c>
      <c r="AG149" s="13"/>
      <c r="AH149" s="13"/>
      <c r="AI149" s="13"/>
      <c r="AJ149" s="13"/>
    </row>
    <row r="150">
      <c r="A150" s="13"/>
      <c r="B150" s="14">
        <v>144.0</v>
      </c>
      <c r="C150" s="14" t="s">
        <v>760</v>
      </c>
      <c r="D150" s="14" t="s">
        <v>761</v>
      </c>
      <c r="E150" s="14" t="s">
        <v>27</v>
      </c>
      <c r="F150" s="72">
        <v>45965.0</v>
      </c>
      <c r="G150" s="14" t="s">
        <v>762</v>
      </c>
      <c r="H150" s="14" t="s">
        <v>763</v>
      </c>
      <c r="I150" s="14">
        <v>2300000.0</v>
      </c>
      <c r="J150" s="14">
        <v>1800000.0</v>
      </c>
      <c r="K150" s="7" t="s">
        <v>764</v>
      </c>
      <c r="L150" s="14" t="s">
        <v>765</v>
      </c>
      <c r="M150" s="73" t="s">
        <v>766</v>
      </c>
      <c r="N150" s="14">
        <v>2027.0</v>
      </c>
      <c r="O150" s="14" t="s">
        <v>45</v>
      </c>
      <c r="P150" s="14" t="s">
        <v>368</v>
      </c>
      <c r="Q150" s="13"/>
      <c r="R150" s="13"/>
      <c r="S150" s="13"/>
      <c r="T150" s="13"/>
      <c r="U150" s="13"/>
      <c r="V150" s="13"/>
      <c r="W150" s="7" t="str">
        <f t="shared" si="1"/>
        <v>05.11.2025</v>
      </c>
      <c r="X150" s="7" t="str">
        <f t="shared" si="2"/>
        <v>05.08.2026</v>
      </c>
      <c r="Y150" s="7">
        <f t="shared" si="3"/>
        <v>39</v>
      </c>
      <c r="Z150" s="14">
        <v>3.0</v>
      </c>
      <c r="AA150" s="14">
        <v>2.0</v>
      </c>
      <c r="AB150" s="13">
        <f t="shared" si="4"/>
        <v>234</v>
      </c>
      <c r="AC150" s="15">
        <f t="shared" si="5"/>
        <v>127</v>
      </c>
      <c r="AD150" s="13">
        <f t="shared" si="6"/>
        <v>18.14285714</v>
      </c>
      <c r="AE150" s="13">
        <f t="shared" si="7"/>
        <v>108.8571429</v>
      </c>
      <c r="AF150" s="13">
        <f t="shared" si="8"/>
        <v>125.1428571</v>
      </c>
      <c r="AG150" s="13"/>
      <c r="AH150" s="13"/>
      <c r="AI150" s="13"/>
      <c r="AJ150" s="13"/>
    </row>
    <row r="151">
      <c r="A151" s="13"/>
      <c r="B151" s="14">
        <v>146.0</v>
      </c>
      <c r="C151" s="14" t="s">
        <v>767</v>
      </c>
      <c r="D151" s="14" t="s">
        <v>768</v>
      </c>
      <c r="E151" s="14" t="s">
        <v>62</v>
      </c>
      <c r="F151" s="76">
        <v>45983.0</v>
      </c>
      <c r="G151" s="14" t="s">
        <v>769</v>
      </c>
      <c r="H151" s="14" t="s">
        <v>770</v>
      </c>
      <c r="I151" s="14">
        <v>2000000.0</v>
      </c>
      <c r="J151" s="13">
        <f>1340000+160000</f>
        <v>1500000</v>
      </c>
      <c r="K151" s="7" t="s">
        <v>771</v>
      </c>
      <c r="L151" s="14" t="s">
        <v>716</v>
      </c>
      <c r="M151" s="13"/>
      <c r="N151" s="14">
        <v>2026.0</v>
      </c>
      <c r="O151" s="13"/>
      <c r="P151" s="14" t="s">
        <v>368</v>
      </c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13"/>
      <c r="B152" s="13"/>
      <c r="C152" s="14" t="s">
        <v>772</v>
      </c>
      <c r="D152" s="14" t="s">
        <v>773</v>
      </c>
      <c r="E152" s="14" t="s">
        <v>27</v>
      </c>
      <c r="F152" s="76">
        <v>45985.0</v>
      </c>
      <c r="G152" s="14" t="s">
        <v>774</v>
      </c>
      <c r="H152" s="14" t="s">
        <v>770</v>
      </c>
      <c r="I152" s="14">
        <v>1500000.0</v>
      </c>
      <c r="J152" s="14">
        <v>1000000.0</v>
      </c>
      <c r="K152" s="7" t="s">
        <v>545</v>
      </c>
      <c r="L152" s="14" t="s">
        <v>775</v>
      </c>
      <c r="M152" s="73" t="s">
        <v>776</v>
      </c>
      <c r="N152" s="13"/>
      <c r="O152" s="13"/>
      <c r="P152" s="14" t="s">
        <v>368</v>
      </c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13"/>
      <c r="B153" s="14">
        <v>148.0</v>
      </c>
      <c r="C153" s="14" t="s">
        <v>777</v>
      </c>
      <c r="D153" s="14" t="s">
        <v>778</v>
      </c>
      <c r="E153" s="14" t="s">
        <v>62</v>
      </c>
      <c r="F153" s="76">
        <v>45988.0</v>
      </c>
      <c r="G153" s="14" t="s">
        <v>779</v>
      </c>
      <c r="H153" s="79"/>
      <c r="I153" s="14">
        <v>1500000.0</v>
      </c>
      <c r="J153" s="14">
        <v>1500000.0</v>
      </c>
      <c r="K153" s="7" t="s">
        <v>562</v>
      </c>
      <c r="L153" s="79" t="s">
        <v>780</v>
      </c>
      <c r="M153" s="73" t="s">
        <v>781</v>
      </c>
      <c r="N153" s="14">
        <v>2026.0</v>
      </c>
      <c r="O153" s="14" t="s">
        <v>782</v>
      </c>
      <c r="P153" s="14" t="s">
        <v>783</v>
      </c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>
      <c r="A154" s="13"/>
      <c r="B154" s="14">
        <v>149.0</v>
      </c>
      <c r="C154" s="14" t="s">
        <v>784</v>
      </c>
      <c r="D154" s="14" t="s">
        <v>785</v>
      </c>
      <c r="E154" s="14" t="s">
        <v>62</v>
      </c>
      <c r="F154" s="76">
        <v>45989.0</v>
      </c>
      <c r="G154" s="14" t="s">
        <v>634</v>
      </c>
      <c r="H154" s="14" t="s">
        <v>786</v>
      </c>
      <c r="I154" s="14">
        <v>2500000.0</v>
      </c>
      <c r="J154" s="14">
        <v>2000000.0</v>
      </c>
      <c r="K154" s="7" t="s">
        <v>562</v>
      </c>
      <c r="L154" s="14" t="s">
        <v>716</v>
      </c>
      <c r="M154" s="73" t="s">
        <v>787</v>
      </c>
      <c r="N154" s="14">
        <v>2027.0</v>
      </c>
      <c r="O154" s="13"/>
      <c r="P154" s="14" t="s">
        <v>368</v>
      </c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13"/>
      <c r="B155" s="14">
        <v>150.0</v>
      </c>
      <c r="C155" s="14" t="s">
        <v>788</v>
      </c>
      <c r="D155" s="14" t="s">
        <v>789</v>
      </c>
      <c r="E155" s="14" t="s">
        <v>62</v>
      </c>
      <c r="F155" s="76">
        <v>46005.0</v>
      </c>
      <c r="G155" s="14" t="s">
        <v>790</v>
      </c>
      <c r="H155" s="14" t="s">
        <v>791</v>
      </c>
      <c r="I155" s="14">
        <v>2500000.0</v>
      </c>
      <c r="J155" s="14">
        <v>2000000.0</v>
      </c>
      <c r="K155" s="7" t="s">
        <v>562</v>
      </c>
      <c r="L155" s="14" t="s">
        <v>716</v>
      </c>
      <c r="M155" s="73" t="s">
        <v>792</v>
      </c>
      <c r="N155" s="14">
        <v>2028.0</v>
      </c>
      <c r="O155" s="13"/>
      <c r="P155" s="14" t="s">
        <v>368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>
      <c r="A156" s="13"/>
      <c r="B156" s="14">
        <v>151.0</v>
      </c>
      <c r="C156" s="14" t="s">
        <v>793</v>
      </c>
      <c r="D156" s="14" t="s">
        <v>794</v>
      </c>
      <c r="E156" s="14" t="s">
        <v>62</v>
      </c>
      <c r="F156" s="76">
        <v>46012.0</v>
      </c>
      <c r="G156" s="14" t="s">
        <v>661</v>
      </c>
      <c r="H156" s="14" t="s">
        <v>795</v>
      </c>
      <c r="I156" s="14">
        <v>1500000.0</v>
      </c>
      <c r="J156" s="14">
        <v>1000000.0</v>
      </c>
      <c r="K156" s="7" t="s">
        <v>348</v>
      </c>
      <c r="L156" s="14" t="s">
        <v>716</v>
      </c>
      <c r="M156" s="73" t="s">
        <v>796</v>
      </c>
      <c r="N156" s="14">
        <v>2027.0</v>
      </c>
      <c r="O156" s="13"/>
      <c r="P156" s="14" t="s">
        <v>368</v>
      </c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>
      <c r="A157" s="13"/>
      <c r="B157" s="14" t="s">
        <v>797</v>
      </c>
      <c r="C157" s="14" t="s">
        <v>798</v>
      </c>
      <c r="D157" s="14" t="s">
        <v>799</v>
      </c>
      <c r="E157" s="14" t="s">
        <v>538</v>
      </c>
      <c r="F157" s="76">
        <v>46016.0</v>
      </c>
      <c r="G157" s="14" t="s">
        <v>255</v>
      </c>
      <c r="H157" s="13"/>
      <c r="I157" s="14">
        <v>800000.0</v>
      </c>
      <c r="J157" s="14">
        <v>800000.0</v>
      </c>
      <c r="K157" s="12"/>
      <c r="L157" s="14" t="s">
        <v>42</v>
      </c>
      <c r="M157" s="13"/>
      <c r="N157" s="14">
        <v>2026.0</v>
      </c>
      <c r="O157" s="13"/>
      <c r="P157" s="14" t="s">
        <v>783</v>
      </c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13"/>
      <c r="B158" s="14">
        <v>152.0</v>
      </c>
      <c r="C158" s="14" t="s">
        <v>800</v>
      </c>
      <c r="D158" s="14" t="s">
        <v>801</v>
      </c>
      <c r="E158" s="14" t="s">
        <v>62</v>
      </c>
      <c r="F158" s="76">
        <v>46017.0</v>
      </c>
      <c r="G158" s="14" t="s">
        <v>802</v>
      </c>
      <c r="H158" s="13"/>
      <c r="I158" s="14">
        <v>1300000.0</v>
      </c>
      <c r="J158" s="14">
        <v>800000.0</v>
      </c>
      <c r="K158" s="7" t="s">
        <v>562</v>
      </c>
      <c r="L158" s="14" t="s">
        <v>716</v>
      </c>
      <c r="M158" s="73" t="s">
        <v>803</v>
      </c>
      <c r="N158" s="14">
        <v>2027.0</v>
      </c>
      <c r="O158" s="13"/>
      <c r="P158" s="14" t="s">
        <v>368</v>
      </c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>
      <c r="A159" s="13"/>
      <c r="B159" s="14">
        <v>153.0</v>
      </c>
      <c r="C159" s="14" t="s">
        <v>804</v>
      </c>
      <c r="D159" s="14" t="s">
        <v>805</v>
      </c>
      <c r="E159" s="14" t="s">
        <v>62</v>
      </c>
      <c r="F159" s="76">
        <v>46018.0</v>
      </c>
      <c r="G159" s="14" t="s">
        <v>634</v>
      </c>
      <c r="H159" s="7" t="s">
        <v>806</v>
      </c>
      <c r="I159" s="14">
        <v>2100000.0</v>
      </c>
      <c r="J159" s="14">
        <v>1600000.0</v>
      </c>
      <c r="K159" s="7" t="s">
        <v>562</v>
      </c>
      <c r="L159" s="14" t="s">
        <v>716</v>
      </c>
      <c r="M159" s="73" t="s">
        <v>807</v>
      </c>
      <c r="N159" s="14">
        <v>2028.0</v>
      </c>
      <c r="O159" s="13"/>
      <c r="P159" s="14" t="s">
        <v>368</v>
      </c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13"/>
      <c r="B160" s="14">
        <v>154.0</v>
      </c>
      <c r="C160" s="14" t="s">
        <v>808</v>
      </c>
      <c r="D160" s="14" t="s">
        <v>809</v>
      </c>
      <c r="E160" s="14" t="s">
        <v>27</v>
      </c>
      <c r="F160" s="76">
        <v>46020.0</v>
      </c>
      <c r="G160" s="14" t="s">
        <v>661</v>
      </c>
      <c r="H160" s="14" t="s">
        <v>810</v>
      </c>
      <c r="I160" s="14">
        <v>2000000.0</v>
      </c>
      <c r="J160" s="14">
        <v>1000000.0</v>
      </c>
      <c r="K160" s="7" t="s">
        <v>348</v>
      </c>
      <c r="L160" s="80" t="s">
        <v>811</v>
      </c>
      <c r="M160" s="73" t="s">
        <v>812</v>
      </c>
      <c r="N160" s="14">
        <v>2027.0</v>
      </c>
      <c r="O160" s="13"/>
      <c r="P160" s="14" t="s">
        <v>368</v>
      </c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>
      <c r="A161" s="13"/>
      <c r="B161" s="14">
        <v>156.0</v>
      </c>
      <c r="C161" s="14" t="s">
        <v>813</v>
      </c>
      <c r="D161" s="14" t="s">
        <v>814</v>
      </c>
      <c r="E161" s="14" t="s">
        <v>27</v>
      </c>
      <c r="F161" s="72">
        <v>46027.0</v>
      </c>
      <c r="G161" s="14" t="s">
        <v>634</v>
      </c>
      <c r="H161" s="14" t="s">
        <v>815</v>
      </c>
      <c r="I161" s="14">
        <v>1500000.0</v>
      </c>
      <c r="J161" s="14">
        <f>150000+850000</f>
        <v>1000000</v>
      </c>
      <c r="K161" s="52" t="s">
        <v>327</v>
      </c>
      <c r="L161" s="7" t="s">
        <v>816</v>
      </c>
      <c r="M161" s="81" t="s">
        <v>817</v>
      </c>
      <c r="N161" s="14">
        <v>2028.0</v>
      </c>
      <c r="O161" s="13"/>
      <c r="P161" s="14" t="s">
        <v>368</v>
      </c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13"/>
      <c r="B162" s="14">
        <v>160.0</v>
      </c>
      <c r="C162" s="14" t="s">
        <v>818</v>
      </c>
      <c r="D162" s="14" t="s">
        <v>819</v>
      </c>
      <c r="E162" s="14" t="s">
        <v>27</v>
      </c>
      <c r="F162" s="72">
        <v>46034.0</v>
      </c>
      <c r="G162" s="14" t="s">
        <v>619</v>
      </c>
      <c r="H162" s="13"/>
      <c r="I162" s="14">
        <v>1500000.0</v>
      </c>
      <c r="J162" s="14">
        <v>1000000.0</v>
      </c>
      <c r="K162" s="12"/>
      <c r="L162" s="14" t="s">
        <v>716</v>
      </c>
      <c r="M162" s="81" t="s">
        <v>820</v>
      </c>
      <c r="N162" s="14">
        <v>2026.0</v>
      </c>
      <c r="O162" s="13"/>
      <c r="P162" s="14" t="s">
        <v>368</v>
      </c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13"/>
      <c r="B163" s="14">
        <v>162.0</v>
      </c>
      <c r="C163" s="14" t="s">
        <v>821</v>
      </c>
      <c r="D163" s="14" t="s">
        <v>822</v>
      </c>
      <c r="E163" s="14" t="s">
        <v>823</v>
      </c>
      <c r="F163" s="72">
        <v>46048.0</v>
      </c>
      <c r="G163" s="14" t="s">
        <v>255</v>
      </c>
      <c r="H163" s="13"/>
      <c r="I163" s="14">
        <v>900000.0</v>
      </c>
      <c r="J163" s="13"/>
      <c r="K163" s="12"/>
      <c r="L163" s="13"/>
      <c r="M163" s="81" t="s">
        <v>824</v>
      </c>
      <c r="N163" s="14">
        <v>2026.0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13"/>
      <c r="B164" s="13"/>
      <c r="C164" s="14" t="s">
        <v>825</v>
      </c>
      <c r="D164" s="14" t="s">
        <v>826</v>
      </c>
      <c r="E164" s="14" t="s">
        <v>27</v>
      </c>
      <c r="F164" s="72">
        <v>46067.0</v>
      </c>
      <c r="G164" s="7" t="s">
        <v>827</v>
      </c>
      <c r="H164" s="14" t="s">
        <v>828</v>
      </c>
      <c r="I164" s="13"/>
      <c r="J164" s="13"/>
      <c r="K164" s="12"/>
      <c r="L164" s="13"/>
      <c r="M164" s="13"/>
      <c r="N164" s="14">
        <v>2027.0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13"/>
      <c r="B165" s="14">
        <v>171.0</v>
      </c>
      <c r="C165" s="14" t="s">
        <v>829</v>
      </c>
      <c r="D165" s="14" t="s">
        <v>830</v>
      </c>
      <c r="E165" s="14" t="s">
        <v>27</v>
      </c>
      <c r="F165" s="72">
        <v>46073.0</v>
      </c>
      <c r="G165" s="7" t="s">
        <v>827</v>
      </c>
      <c r="H165" s="14" t="s">
        <v>831</v>
      </c>
      <c r="I165" s="14">
        <v>1700000.0</v>
      </c>
      <c r="J165" s="14">
        <v>1200000.0</v>
      </c>
      <c r="K165" s="7" t="s">
        <v>562</v>
      </c>
      <c r="L165" s="14" t="s">
        <v>832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>
      <c r="A166" s="13"/>
      <c r="B166" s="13"/>
      <c r="C166" s="14" t="s">
        <v>833</v>
      </c>
      <c r="D166" s="14" t="s">
        <v>834</v>
      </c>
      <c r="E166" s="14" t="s">
        <v>27</v>
      </c>
      <c r="F166" s="72">
        <v>46075.0</v>
      </c>
      <c r="G166" s="7" t="s">
        <v>835</v>
      </c>
      <c r="H166" s="14" t="s">
        <v>836</v>
      </c>
      <c r="I166" s="13"/>
      <c r="J166" s="13"/>
      <c r="K166" s="7" t="s">
        <v>562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2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2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2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2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2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2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2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2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2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2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2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2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2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2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2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2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2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2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2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2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2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2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2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2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2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2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2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2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2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2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2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2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2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2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2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2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2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2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2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2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2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2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2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2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2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2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2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2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2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2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2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2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2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2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2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2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2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2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2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2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2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2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2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2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2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2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2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2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2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2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2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2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2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2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2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2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2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2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2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2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2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2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2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2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2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2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2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2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2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2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2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2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2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2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2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2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2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2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2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2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2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2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2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2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2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2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2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2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2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2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2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2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2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2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2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2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2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2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2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2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2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2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2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2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2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2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2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2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2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2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2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2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2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2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2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2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2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2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2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2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2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2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2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2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2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2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2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2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2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2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2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2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2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2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2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2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2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2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2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2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2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2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2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2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2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2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2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2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2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2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2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2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2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2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2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2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2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2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2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2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2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2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2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2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2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2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2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2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2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2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2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2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2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2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2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2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2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2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2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2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2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2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2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2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2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2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2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2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2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2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2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2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2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2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2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2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2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2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2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2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2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2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2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2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2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2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2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2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2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2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2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2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2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2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2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2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2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2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2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2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2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2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2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2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2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2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2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2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2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2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2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2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2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2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2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2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2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2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2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2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2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2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2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2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2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2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2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2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2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2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2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2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2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2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2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2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2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2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2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2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2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2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2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2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2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2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2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2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2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2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2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2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2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2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2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2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2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2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2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2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2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2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2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2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2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2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2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2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2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2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2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2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2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2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2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2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2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2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2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2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2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2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2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2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2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2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2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2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2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2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2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2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2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2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2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2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2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2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2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2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2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2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2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2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2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2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2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2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2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2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2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2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2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2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2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2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2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2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2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2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2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2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2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2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2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2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2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2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2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2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2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2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2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2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2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2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2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2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2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2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2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2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2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2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2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2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2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2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2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2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2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2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2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2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2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2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2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2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2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2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2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2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2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2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2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2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2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2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2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2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2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2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2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2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2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2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2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2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2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2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2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2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2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2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2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2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2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2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2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2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2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2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2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2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2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2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2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2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2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2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2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2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2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2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2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2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2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2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2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2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2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2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2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2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2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2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2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2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2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2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2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2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2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2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2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2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2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2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2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2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2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2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2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2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2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2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2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2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2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2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2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2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2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2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2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2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2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2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2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2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2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2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2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2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2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2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2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2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2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2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2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2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2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2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2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2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2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2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2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2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2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2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2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2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2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2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2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2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2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2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2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2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2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2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2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2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2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2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2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2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2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2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2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2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2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2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2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2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2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2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2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2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2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2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2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2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2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2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2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2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2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2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2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2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2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2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2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2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2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2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2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2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2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2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2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2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2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2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2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2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2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2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2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2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2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2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2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2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2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2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2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2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2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2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2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2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2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2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2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2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2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2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2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2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2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2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2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2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2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2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2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2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2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2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2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2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2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2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2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2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2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2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2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2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2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2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2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2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2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2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2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2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2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2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2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2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2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2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2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2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2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2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2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2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2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2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2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2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2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2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2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2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2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2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2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2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2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2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2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2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2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2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2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2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2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2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2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2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2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2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2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2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2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2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2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2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2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2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2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2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2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2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2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2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2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2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2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2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2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2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2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2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2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2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2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2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2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2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2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2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2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2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2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2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2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2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2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2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2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2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2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2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2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2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2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2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2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2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2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2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2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2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2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2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2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2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2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2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2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2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2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2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2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2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2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2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2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2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2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2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2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2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2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2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2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2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2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2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2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2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2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2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2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2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2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2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2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2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2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2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2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2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2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2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2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2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2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2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2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2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2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2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2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2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2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2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2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2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2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2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2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2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2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2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2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2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2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2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2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2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2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2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2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2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2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2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2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2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2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2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2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2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2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2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2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2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2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2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2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2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2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2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2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2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2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2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2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2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2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2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2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2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2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2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2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2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2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2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2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2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2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2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2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2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2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2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2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2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2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2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2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2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2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2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2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2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2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2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2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2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2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2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</row>
    <row r="1009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2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</row>
    <row r="1010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2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</row>
    <row r="101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2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</row>
    <row r="101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2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</row>
    <row r="1013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2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</row>
  </sheetData>
  <autoFilter ref="$A$1:$Q$115"/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3"/>
    <hyperlink r:id="rId92" ref="M94"/>
    <hyperlink r:id="rId93" ref="M95"/>
    <hyperlink r:id="rId94" ref="M96"/>
    <hyperlink r:id="rId95" ref="M97"/>
    <hyperlink r:id="rId96" ref="M98"/>
    <hyperlink r:id="rId97" ref="M99"/>
    <hyperlink r:id="rId98" ref="M100"/>
    <hyperlink r:id="rId99" ref="M101"/>
    <hyperlink r:id="rId100" ref="M103"/>
    <hyperlink r:id="rId101" ref="M111"/>
    <hyperlink r:id="rId102" ref="M112"/>
    <hyperlink r:id="rId103" ref="M113"/>
    <hyperlink r:id="rId104" ref="M114"/>
    <hyperlink r:id="rId105" ref="M115"/>
    <hyperlink r:id="rId106" ref="M116"/>
    <hyperlink r:id="rId107" ref="M117"/>
    <hyperlink r:id="rId108" ref="M118"/>
    <hyperlink r:id="rId109" ref="M119"/>
    <hyperlink r:id="rId110" ref="M120"/>
    <hyperlink r:id="rId111" ref="M121"/>
    <hyperlink r:id="rId112" ref="M122"/>
    <hyperlink r:id="rId113" ref="M123"/>
    <hyperlink r:id="rId114" ref="M124"/>
    <hyperlink r:id="rId115" ref="M125"/>
    <hyperlink r:id="rId116" ref="M126"/>
    <hyperlink r:id="rId117" ref="M127"/>
    <hyperlink r:id="rId118" ref="M128"/>
    <hyperlink r:id="rId119" ref="M129"/>
    <hyperlink r:id="rId120" ref="M130"/>
    <hyperlink r:id="rId121" ref="M131"/>
    <hyperlink r:id="rId122" ref="M132"/>
    <hyperlink r:id="rId123" ref="M133"/>
    <hyperlink r:id="rId124" ref="M134"/>
    <hyperlink r:id="rId125" ref="M135"/>
    <hyperlink r:id="rId126" ref="M136"/>
    <hyperlink r:id="rId127" ref="M137"/>
    <hyperlink r:id="rId128" ref="M138"/>
    <hyperlink r:id="rId129" ref="M139"/>
    <hyperlink r:id="rId130" ref="M140"/>
    <hyperlink r:id="rId131" ref="M141"/>
    <hyperlink r:id="rId132" ref="M142"/>
    <hyperlink r:id="rId133" ref="M143"/>
    <hyperlink r:id="rId134" ref="M144"/>
    <hyperlink r:id="rId135" ref="M145"/>
    <hyperlink r:id="rId136" ref="M146"/>
    <hyperlink r:id="rId137" ref="M147"/>
    <hyperlink r:id="rId138" ref="M148"/>
    <hyperlink r:id="rId139" ref="M149"/>
    <hyperlink r:id="rId140" ref="M150"/>
    <hyperlink r:id="rId141" ref="M152"/>
    <hyperlink r:id="rId142" ref="M153"/>
    <hyperlink r:id="rId143" ref="M154"/>
    <hyperlink r:id="rId144" ref="M155"/>
    <hyperlink r:id="rId145" ref="M156"/>
    <hyperlink r:id="rId146" ref="M158"/>
    <hyperlink r:id="rId147" ref="M159"/>
    <hyperlink r:id="rId148" ref="M160"/>
    <hyperlink r:id="rId149" ref="M161"/>
    <hyperlink r:id="rId150" ref="M162"/>
    <hyperlink r:id="rId151" ref="M163"/>
  </hyperlinks>
  <drawing r:id="rId1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38"/>
    <col customWidth="1" min="2" max="2" width="31.75"/>
    <col customWidth="1" min="4" max="6" width="23.38"/>
    <col customWidth="1" min="9" max="9" width="22.5"/>
    <col customWidth="1" min="10" max="10" width="44.88"/>
    <col customWidth="1" min="11" max="11" width="36.5"/>
    <col customWidth="1" min="12" max="12" width="25.63"/>
    <col customWidth="1" min="13" max="13" width="17.63"/>
  </cols>
  <sheetData>
    <row r="1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4">
        <v>135.0</v>
      </c>
      <c r="B2" s="54" t="s">
        <v>837</v>
      </c>
      <c r="C2" s="54" t="s">
        <v>27</v>
      </c>
      <c r="D2" s="74">
        <v>45936.0</v>
      </c>
      <c r="E2" s="54" t="s">
        <v>838</v>
      </c>
      <c r="F2" s="54" t="s">
        <v>839</v>
      </c>
      <c r="G2" s="54" t="s">
        <v>840</v>
      </c>
      <c r="H2" s="54">
        <v>120000.0</v>
      </c>
      <c r="I2" s="54"/>
      <c r="J2" s="54" t="s">
        <v>841</v>
      </c>
      <c r="K2" s="54"/>
      <c r="L2" s="54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54">
        <v>142.0</v>
      </c>
      <c r="B3" s="54" t="s">
        <v>754</v>
      </c>
      <c r="C3" s="54" t="s">
        <v>62</v>
      </c>
      <c r="D3" s="74">
        <v>45962.0</v>
      </c>
      <c r="E3" s="54" t="s">
        <v>842</v>
      </c>
      <c r="F3" s="10" t="s">
        <v>843</v>
      </c>
      <c r="G3" s="54">
        <v>198000.0</v>
      </c>
      <c r="H3" s="54">
        <v>198000.0</v>
      </c>
      <c r="I3" s="10" t="s">
        <v>545</v>
      </c>
      <c r="J3" s="10"/>
      <c r="K3" s="21"/>
      <c r="L3" s="54">
        <v>2026.0</v>
      </c>
      <c r="M3" s="21"/>
      <c r="N3" s="54" t="s">
        <v>368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54">
        <v>136.0</v>
      </c>
      <c r="B4" s="54" t="s">
        <v>722</v>
      </c>
      <c r="C4" s="54" t="s">
        <v>27</v>
      </c>
      <c r="D4" s="74">
        <v>45938.0</v>
      </c>
      <c r="E4" s="54" t="s">
        <v>844</v>
      </c>
      <c r="F4" s="54" t="s">
        <v>845</v>
      </c>
      <c r="G4" s="54">
        <v>90000.0</v>
      </c>
      <c r="H4" s="54">
        <v>90000.0</v>
      </c>
      <c r="I4" s="10" t="s">
        <v>545</v>
      </c>
      <c r="J4" s="54" t="s">
        <v>846</v>
      </c>
      <c r="K4" s="75" t="s">
        <v>724</v>
      </c>
      <c r="L4" s="54">
        <v>2026.0</v>
      </c>
      <c r="M4" s="21"/>
      <c r="N4" s="54" t="s">
        <v>725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54"/>
      <c r="B5" s="10" t="s">
        <v>698</v>
      </c>
      <c r="C5" s="54" t="s">
        <v>62</v>
      </c>
      <c r="D5" s="74">
        <v>45924.0</v>
      </c>
      <c r="E5" s="54" t="s">
        <v>847</v>
      </c>
      <c r="F5" s="54" t="s">
        <v>848</v>
      </c>
      <c r="G5" s="54"/>
      <c r="H5" s="54"/>
      <c r="I5" s="54"/>
      <c r="J5" s="54"/>
      <c r="K5" s="54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79"/>
      <c r="B6" s="8" t="s">
        <v>546</v>
      </c>
      <c r="C6" s="79" t="s">
        <v>290</v>
      </c>
      <c r="D6" s="82"/>
      <c r="E6" s="79" t="s">
        <v>844</v>
      </c>
      <c r="F6" s="79" t="s">
        <v>849</v>
      </c>
      <c r="G6" s="79">
        <v>90000.0</v>
      </c>
      <c r="H6" s="79">
        <v>90000.0</v>
      </c>
      <c r="I6" s="79"/>
      <c r="J6" s="79"/>
      <c r="K6" s="79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</row>
    <row r="7">
      <c r="A7" s="79"/>
      <c r="B7" s="83" t="s">
        <v>850</v>
      </c>
      <c r="C7" s="79"/>
      <c r="D7" s="82"/>
      <c r="E7" s="79" t="s">
        <v>844</v>
      </c>
      <c r="F7" s="79" t="s">
        <v>851</v>
      </c>
      <c r="G7" s="79">
        <v>90000.0</v>
      </c>
      <c r="H7" s="79">
        <v>90000.0</v>
      </c>
      <c r="I7" s="79" t="s">
        <v>545</v>
      </c>
      <c r="J7" s="79"/>
      <c r="K7" s="84" t="s">
        <v>852</v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</row>
    <row r="8">
      <c r="A8" s="54"/>
      <c r="B8" s="22" t="s">
        <v>173</v>
      </c>
      <c r="C8" s="54"/>
      <c r="D8" s="74">
        <v>45901.0</v>
      </c>
      <c r="E8" s="54" t="s">
        <v>853</v>
      </c>
      <c r="F8" s="54" t="s">
        <v>854</v>
      </c>
      <c r="G8" s="54">
        <v>630000.0</v>
      </c>
      <c r="H8" s="54">
        <v>630000.0</v>
      </c>
      <c r="I8" s="54" t="s">
        <v>855</v>
      </c>
      <c r="J8" s="54"/>
      <c r="K8" s="54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79"/>
      <c r="B9" s="83" t="s">
        <v>856</v>
      </c>
      <c r="C9" s="79" t="s">
        <v>62</v>
      </c>
      <c r="D9" s="79"/>
      <c r="E9" s="79" t="s">
        <v>857</v>
      </c>
      <c r="F9" s="79" t="s">
        <v>858</v>
      </c>
      <c r="G9" s="79">
        <v>96000.0</v>
      </c>
      <c r="H9" s="79">
        <v>192000.0</v>
      </c>
      <c r="I9" s="79" t="s">
        <v>327</v>
      </c>
      <c r="J9" s="78"/>
      <c r="K9" s="79"/>
      <c r="L9" s="79"/>
      <c r="M9" s="79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</row>
    <row r="10">
      <c r="A10" s="85"/>
      <c r="B10" s="85" t="s">
        <v>859</v>
      </c>
      <c r="C10" s="85" t="s">
        <v>27</v>
      </c>
      <c r="D10" s="86">
        <v>45985.0</v>
      </c>
      <c r="E10" s="85" t="s">
        <v>860</v>
      </c>
      <c r="F10" s="85" t="s">
        <v>770</v>
      </c>
      <c r="G10" s="85">
        <v>1500000.0</v>
      </c>
      <c r="H10" s="85">
        <v>1000000.0</v>
      </c>
      <c r="I10" s="85" t="s">
        <v>545</v>
      </c>
      <c r="J10" s="85"/>
      <c r="K10" s="85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>
      <c r="A11" s="79"/>
      <c r="B11" s="88" t="s">
        <v>861</v>
      </c>
      <c r="C11" s="79" t="s">
        <v>862</v>
      </c>
      <c r="D11" s="82"/>
      <c r="E11" s="79" t="s">
        <v>844</v>
      </c>
      <c r="F11" s="79" t="s">
        <v>863</v>
      </c>
      <c r="G11" s="79">
        <v>90000.0</v>
      </c>
      <c r="H11" s="79">
        <v>90000.0</v>
      </c>
      <c r="I11" s="79" t="s">
        <v>545</v>
      </c>
      <c r="J11" s="79"/>
      <c r="K11" s="79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</row>
    <row r="12">
      <c r="A12" s="14"/>
      <c r="B12" s="14" t="s">
        <v>864</v>
      </c>
      <c r="C12" s="14" t="s">
        <v>27</v>
      </c>
      <c r="D12" s="72">
        <v>46029.0</v>
      </c>
      <c r="E12" s="14" t="s">
        <v>844</v>
      </c>
      <c r="F12" s="14" t="s">
        <v>865</v>
      </c>
      <c r="G12" s="14">
        <v>90000.0</v>
      </c>
      <c r="H12" s="14">
        <v>90000.0</v>
      </c>
      <c r="I12" s="14"/>
      <c r="J12" s="14"/>
      <c r="K12" s="14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54"/>
      <c r="B13" s="89" t="s">
        <v>34</v>
      </c>
      <c r="C13" s="54"/>
      <c r="D13" s="74"/>
      <c r="E13" s="54" t="s">
        <v>844</v>
      </c>
      <c r="F13" s="54" t="s">
        <v>866</v>
      </c>
      <c r="G13" s="54">
        <v>90000.0</v>
      </c>
      <c r="H13" s="54">
        <v>90000.0</v>
      </c>
      <c r="I13" s="54"/>
      <c r="J13" s="54" t="s">
        <v>867</v>
      </c>
      <c r="K13" s="54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14"/>
      <c r="B14" s="7" t="s">
        <v>669</v>
      </c>
      <c r="C14" s="14"/>
      <c r="D14" s="72"/>
      <c r="E14" s="79" t="s">
        <v>857</v>
      </c>
      <c r="F14" s="14" t="s">
        <v>868</v>
      </c>
      <c r="G14" s="14">
        <v>84000.0</v>
      </c>
      <c r="H14" s="14">
        <v>84000.0</v>
      </c>
      <c r="I14" s="14" t="s">
        <v>348</v>
      </c>
      <c r="J14" s="14"/>
      <c r="K14" s="14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4"/>
      <c r="B15" s="90" t="s">
        <v>869</v>
      </c>
      <c r="C15" s="14"/>
      <c r="D15" s="72"/>
      <c r="E15" s="79" t="s">
        <v>870</v>
      </c>
      <c r="F15" s="14"/>
      <c r="G15" s="14"/>
      <c r="H15" s="14"/>
      <c r="I15" s="13"/>
      <c r="J15" s="14"/>
      <c r="K15" s="1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4"/>
      <c r="B16" s="91"/>
      <c r="C16" s="14"/>
      <c r="D16" s="72"/>
      <c r="E16" s="14"/>
      <c r="F16" s="14"/>
      <c r="G16" s="14"/>
      <c r="H16" s="14"/>
      <c r="I16" s="13"/>
      <c r="J16" s="14"/>
      <c r="K16" s="14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4"/>
      <c r="B17" s="91"/>
      <c r="C17" s="14"/>
      <c r="D17" s="72"/>
      <c r="E17" s="14"/>
      <c r="F17" s="14"/>
      <c r="G17" s="14"/>
      <c r="H17" s="14"/>
      <c r="I17" s="13"/>
      <c r="J17" s="14"/>
      <c r="K17" s="14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4"/>
      <c r="B18" s="91"/>
      <c r="C18" s="14"/>
      <c r="D18" s="72"/>
      <c r="E18" s="14"/>
      <c r="F18" s="14"/>
      <c r="G18" s="14"/>
      <c r="H18" s="14"/>
      <c r="I18" s="14"/>
      <c r="J18" s="14"/>
      <c r="K18" s="14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4"/>
      <c r="B19" s="14"/>
      <c r="C19" s="14"/>
      <c r="D19" s="72"/>
      <c r="E19" s="14"/>
      <c r="F19" s="14"/>
      <c r="G19" s="14"/>
      <c r="H19" s="14"/>
      <c r="I19" s="13"/>
      <c r="J19" s="14"/>
      <c r="K19" s="14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4"/>
      <c r="B20" s="91"/>
      <c r="C20" s="14"/>
      <c r="D20" s="72"/>
      <c r="E20" s="14"/>
      <c r="F20" s="14"/>
      <c r="G20" s="14"/>
      <c r="H20" s="14"/>
      <c r="I20" s="14"/>
      <c r="J20" s="14"/>
      <c r="K20" s="14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4"/>
      <c r="B21" s="91"/>
      <c r="C21" s="14"/>
      <c r="D21" s="72"/>
      <c r="E21" s="14"/>
      <c r="F21" s="14"/>
      <c r="G21" s="14"/>
      <c r="H21" s="14"/>
      <c r="I21" s="13"/>
      <c r="J21" s="14"/>
      <c r="K21" s="14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4"/>
      <c r="B22" s="91"/>
      <c r="C22" s="14"/>
      <c r="D22" s="72"/>
      <c r="E22" s="14"/>
      <c r="F22" s="14"/>
      <c r="G22" s="14"/>
      <c r="H22" s="14"/>
      <c r="I22" s="13"/>
      <c r="J22" s="14"/>
      <c r="K22" s="14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4"/>
      <c r="B23" s="14"/>
      <c r="C23" s="14"/>
      <c r="D23" s="72"/>
      <c r="E23" s="14"/>
      <c r="F23" s="14"/>
      <c r="G23" s="14"/>
      <c r="H23" s="14"/>
      <c r="I23" s="13"/>
      <c r="J23" s="14"/>
      <c r="K23" s="14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4"/>
      <c r="B24" s="91"/>
      <c r="C24" s="14"/>
      <c r="D24" s="72"/>
      <c r="E24" s="14"/>
      <c r="F24" s="14"/>
      <c r="G24" s="14"/>
      <c r="H24" s="14"/>
      <c r="I24" s="13"/>
      <c r="J24" s="14"/>
      <c r="K24" s="14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4"/>
      <c r="B25" s="14"/>
      <c r="C25" s="14"/>
      <c r="D25" s="72"/>
      <c r="E25" s="14"/>
      <c r="F25" s="14"/>
      <c r="G25" s="14"/>
      <c r="H25" s="14"/>
      <c r="I25" s="13"/>
      <c r="J25" s="14"/>
      <c r="K25" s="14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4"/>
      <c r="B26" s="14"/>
      <c r="C26" s="14"/>
      <c r="D26" s="72"/>
      <c r="E26" s="14"/>
      <c r="F26" s="14"/>
      <c r="G26" s="14"/>
      <c r="H26" s="14"/>
      <c r="I26" s="13"/>
      <c r="J26" s="14"/>
      <c r="K26" s="14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4"/>
      <c r="B27" s="91"/>
      <c r="C27" s="14"/>
      <c r="D27" s="72"/>
      <c r="E27" s="14"/>
      <c r="F27" s="14"/>
      <c r="G27" s="14"/>
      <c r="H27" s="14"/>
      <c r="I27" s="13"/>
      <c r="J27" s="14"/>
      <c r="K27" s="14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4"/>
      <c r="B28" s="14"/>
      <c r="C28" s="14"/>
      <c r="D28" s="72"/>
      <c r="E28" s="14"/>
      <c r="F28" s="14"/>
      <c r="G28" s="14"/>
      <c r="H28" s="14"/>
      <c r="I28" s="14"/>
      <c r="J28" s="14"/>
      <c r="K28" s="14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4"/>
      <c r="B29" s="92"/>
      <c r="C29" s="14"/>
      <c r="D29" s="72"/>
      <c r="E29" s="14"/>
      <c r="F29" s="14"/>
      <c r="G29" s="14"/>
      <c r="H29" s="14"/>
      <c r="I29" s="14"/>
      <c r="J29" s="14"/>
      <c r="K29" s="14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4"/>
      <c r="B30" s="91"/>
      <c r="C30" s="14"/>
      <c r="D30" s="72"/>
      <c r="E30" s="14"/>
      <c r="F30" s="14"/>
      <c r="G30" s="14"/>
      <c r="H30" s="14"/>
      <c r="I30" s="14"/>
      <c r="J30" s="14"/>
      <c r="K30" s="14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4"/>
      <c r="B31" s="91"/>
      <c r="C31" s="14"/>
      <c r="D31" s="72"/>
      <c r="E31" s="14"/>
      <c r="F31" s="14"/>
      <c r="G31" s="14"/>
      <c r="H31" s="14"/>
      <c r="I31" s="14"/>
      <c r="J31" s="14"/>
      <c r="K31" s="14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4"/>
      <c r="B32" s="14"/>
      <c r="C32" s="14"/>
      <c r="D32" s="72"/>
      <c r="E32" s="14"/>
      <c r="F32" s="14"/>
      <c r="G32" s="14"/>
      <c r="H32" s="14"/>
      <c r="I32" s="14"/>
      <c r="J32" s="14"/>
      <c r="K32" s="14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4"/>
      <c r="B33" s="14"/>
      <c r="C33" s="14"/>
      <c r="D33" s="72"/>
      <c r="E33" s="14"/>
      <c r="F33" s="14"/>
      <c r="G33" s="14"/>
      <c r="H33" s="13"/>
      <c r="I33" s="14"/>
      <c r="J33" s="14"/>
      <c r="K33" s="9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4"/>
      <c r="B34" s="14"/>
      <c r="C34" s="14"/>
      <c r="D34" s="72"/>
      <c r="E34" s="14"/>
      <c r="F34" s="14"/>
      <c r="G34" s="14"/>
      <c r="H34" s="14"/>
      <c r="I34" s="14"/>
      <c r="J34" s="14"/>
      <c r="K34" s="14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4"/>
      <c r="B35" s="14"/>
      <c r="C35" s="14"/>
      <c r="D35" s="72"/>
      <c r="E35" s="14"/>
      <c r="F35" s="14"/>
      <c r="G35" s="14"/>
      <c r="H35" s="14"/>
      <c r="I35" s="14"/>
      <c r="J35" s="14"/>
      <c r="K35" s="14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4"/>
      <c r="B36" s="14"/>
      <c r="C36" s="14"/>
      <c r="D36" s="72"/>
      <c r="E36" s="14"/>
      <c r="F36" s="14"/>
      <c r="G36" s="14"/>
      <c r="H36" s="14"/>
      <c r="I36" s="14"/>
      <c r="J36" s="14"/>
      <c r="K36" s="14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4"/>
      <c r="B37" s="14"/>
      <c r="C37" s="14"/>
      <c r="D37" s="72"/>
      <c r="E37" s="14"/>
      <c r="F37" s="14"/>
      <c r="G37" s="14"/>
      <c r="H37" s="14"/>
      <c r="I37" s="14"/>
      <c r="J37" s="14"/>
      <c r="K37" s="14"/>
      <c r="L37" s="14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4"/>
      <c r="B38" s="14"/>
      <c r="C38" s="14"/>
      <c r="D38" s="72"/>
      <c r="E38" s="14"/>
      <c r="F38" s="14"/>
      <c r="G38" s="14"/>
      <c r="H38" s="14"/>
      <c r="I38" s="14"/>
      <c r="J38" s="14"/>
      <c r="K38" s="14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4"/>
      <c r="B39" s="14"/>
      <c r="C39" s="14"/>
      <c r="D39" s="72"/>
      <c r="E39" s="14"/>
      <c r="F39" s="14"/>
      <c r="G39" s="14"/>
      <c r="H39" s="14"/>
      <c r="I39" s="14"/>
      <c r="J39" s="14"/>
      <c r="K39" s="9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4"/>
      <c r="B40" s="14"/>
      <c r="C40" s="14"/>
      <c r="D40" s="72"/>
      <c r="E40" s="14"/>
      <c r="F40" s="14"/>
      <c r="G40" s="14"/>
      <c r="H40" s="14"/>
      <c r="I40" s="14"/>
      <c r="J40" s="14"/>
      <c r="K40" s="14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4"/>
      <c r="B41" s="14"/>
      <c r="C41" s="14"/>
      <c r="D41" s="72"/>
      <c r="E41" s="14"/>
      <c r="F41" s="14"/>
      <c r="G41" s="14"/>
      <c r="H41" s="14"/>
      <c r="I41" s="14"/>
      <c r="J41" s="14"/>
      <c r="K41" s="14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4"/>
      <c r="B42" s="14"/>
      <c r="C42" s="14"/>
      <c r="D42" s="72"/>
      <c r="E42" s="14"/>
      <c r="F42" s="14"/>
      <c r="G42" s="14"/>
      <c r="H42" s="14"/>
      <c r="I42" s="14"/>
      <c r="J42" s="14"/>
      <c r="K42" s="14"/>
      <c r="L42" s="14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4"/>
      <c r="B43" s="14"/>
      <c r="C43" s="14"/>
      <c r="D43" s="72"/>
      <c r="E43" s="14"/>
      <c r="F43" s="14"/>
      <c r="G43" s="14"/>
      <c r="H43" s="14"/>
      <c r="I43" s="14"/>
      <c r="J43" s="14"/>
      <c r="K43" s="14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4"/>
      <c r="B44" s="14"/>
      <c r="C44" s="14"/>
      <c r="D44" s="72"/>
      <c r="E44" s="14"/>
      <c r="F44" s="14"/>
      <c r="G44" s="14"/>
      <c r="H44" s="13"/>
      <c r="I44" s="14"/>
      <c r="J44" s="14"/>
      <c r="K44" s="14"/>
      <c r="L44" s="14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4"/>
      <c r="B45" s="14"/>
      <c r="C45" s="14"/>
      <c r="D45" s="72"/>
      <c r="E45" s="14"/>
      <c r="F45" s="14"/>
      <c r="G45" s="14"/>
      <c r="H45" s="14"/>
      <c r="I45" s="14"/>
      <c r="J45" s="14"/>
      <c r="K45" s="14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4"/>
      <c r="B46" s="14"/>
      <c r="C46" s="14"/>
      <c r="D46" s="72"/>
      <c r="E46" s="14"/>
      <c r="F46" s="14"/>
      <c r="G46" s="14"/>
      <c r="H46" s="14"/>
      <c r="I46" s="14"/>
      <c r="J46" s="14"/>
      <c r="K46" s="14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4"/>
      <c r="B47" s="14"/>
      <c r="C47" s="14"/>
      <c r="D47" s="72"/>
      <c r="E47" s="14"/>
      <c r="F47" s="14"/>
      <c r="G47" s="14"/>
      <c r="H47" s="14"/>
      <c r="I47" s="14"/>
      <c r="J47" s="14"/>
      <c r="K47" s="93"/>
      <c r="L47" s="14"/>
      <c r="M47" s="1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4"/>
      <c r="B48" s="14"/>
      <c r="C48" s="14"/>
      <c r="D48" s="72"/>
      <c r="E48" s="14"/>
      <c r="F48" s="14"/>
      <c r="G48" s="14"/>
      <c r="H48" s="14"/>
      <c r="I48" s="14"/>
      <c r="J48" s="14"/>
      <c r="K48" s="14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4"/>
      <c r="B49" s="91"/>
      <c r="C49" s="14"/>
      <c r="D49" s="72"/>
      <c r="E49" s="14"/>
      <c r="F49" s="14"/>
      <c r="G49" s="14"/>
      <c r="H49" s="14"/>
      <c r="I49" s="14"/>
      <c r="J49" s="14"/>
      <c r="K49" s="14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4"/>
      <c r="B50" s="14"/>
      <c r="C50" s="14"/>
      <c r="D50" s="72"/>
      <c r="E50" s="14"/>
      <c r="F50" s="14"/>
      <c r="G50" s="14"/>
      <c r="H50" s="14"/>
      <c r="I50" s="14"/>
      <c r="J50" s="14"/>
      <c r="K50" s="14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4"/>
      <c r="B51" s="14"/>
      <c r="C51" s="14"/>
      <c r="D51" s="72"/>
      <c r="E51" s="14"/>
      <c r="F51" s="14"/>
      <c r="G51" s="14"/>
      <c r="H51" s="14"/>
      <c r="I51" s="14"/>
      <c r="J51" s="14"/>
      <c r="K51" s="14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4"/>
      <c r="B52" s="14"/>
      <c r="C52" s="14"/>
      <c r="D52" s="72"/>
      <c r="E52" s="14"/>
      <c r="F52" s="14"/>
      <c r="G52" s="14"/>
      <c r="H52" s="14"/>
      <c r="I52" s="14"/>
      <c r="J52" s="14"/>
      <c r="K52" s="9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4"/>
      <c r="B53" s="94"/>
      <c r="C53" s="14"/>
      <c r="D53" s="72"/>
      <c r="E53" s="14"/>
      <c r="F53" s="14"/>
      <c r="G53" s="14"/>
      <c r="H53" s="14"/>
      <c r="I53" s="14"/>
      <c r="J53" s="14"/>
      <c r="K53" s="14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4"/>
      <c r="B54" s="14"/>
      <c r="C54" s="14"/>
      <c r="D54" s="72"/>
      <c r="E54" s="14"/>
      <c r="F54" s="14"/>
      <c r="G54" s="14"/>
      <c r="H54" s="14"/>
      <c r="I54" s="14"/>
      <c r="J54" s="14"/>
      <c r="K54" s="9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4"/>
      <c r="B55" s="14"/>
      <c r="C55" s="14"/>
      <c r="D55" s="76"/>
      <c r="E55" s="14"/>
      <c r="F55" s="14"/>
      <c r="G55" s="14"/>
      <c r="H55" s="14"/>
      <c r="I55" s="14"/>
      <c r="J55" s="14"/>
      <c r="K55" s="14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4"/>
      <c r="B56" s="14"/>
      <c r="C56" s="14"/>
      <c r="D56" s="72"/>
      <c r="E56" s="14"/>
      <c r="F56" s="14"/>
      <c r="G56" s="14"/>
      <c r="H56" s="14"/>
      <c r="I56" s="14"/>
      <c r="J56" s="14"/>
      <c r="K56" s="14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4"/>
      <c r="B57" s="14"/>
      <c r="C57" s="14"/>
      <c r="D57" s="72"/>
      <c r="E57" s="14"/>
      <c r="F57" s="14"/>
      <c r="G57" s="14"/>
      <c r="H57" s="14"/>
      <c r="I57" s="14"/>
      <c r="J57" s="14"/>
      <c r="K57" s="14"/>
      <c r="L57" s="14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4"/>
      <c r="B59" s="14"/>
      <c r="C59" s="14"/>
      <c r="D59" s="76"/>
      <c r="E59" s="14"/>
      <c r="F59" s="14"/>
      <c r="G59" s="14"/>
      <c r="H59" s="14"/>
      <c r="I59" s="14"/>
      <c r="J59" s="14"/>
      <c r="K59" s="14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4"/>
      <c r="B60" s="14"/>
      <c r="C60" s="14"/>
      <c r="D60" s="76"/>
      <c r="E60" s="14"/>
      <c r="F60" s="14"/>
      <c r="G60" s="14"/>
      <c r="H60" s="14"/>
      <c r="I60" s="14"/>
      <c r="J60" s="14"/>
      <c r="K60" s="14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4"/>
      <c r="B61" s="90"/>
      <c r="C61" s="14"/>
      <c r="D61" s="76"/>
      <c r="E61" s="14"/>
      <c r="F61" s="14"/>
      <c r="G61" s="14"/>
      <c r="H61" s="14"/>
      <c r="I61" s="14"/>
      <c r="J61" s="14"/>
      <c r="K61" s="14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4"/>
      <c r="B62" s="14"/>
      <c r="C62" s="14"/>
      <c r="D62" s="76"/>
      <c r="E62" s="14"/>
      <c r="F62" s="14"/>
      <c r="G62" s="14"/>
      <c r="H62" s="14"/>
      <c r="I62" s="14"/>
      <c r="J62" s="14"/>
      <c r="K62" s="14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ht="15.0" customHeight="1">
      <c r="A63" s="14"/>
      <c r="B63" s="14"/>
      <c r="C63" s="14"/>
      <c r="D63" s="76"/>
      <c r="E63" s="14"/>
      <c r="F63" s="14"/>
      <c r="G63" s="14"/>
      <c r="H63" s="14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4"/>
      <c r="B64" s="14"/>
      <c r="C64" s="14"/>
      <c r="D64" s="76"/>
      <c r="E64" s="14"/>
      <c r="F64" s="14"/>
      <c r="G64" s="14"/>
      <c r="H64" s="14"/>
      <c r="I64" s="14"/>
      <c r="J64" s="14"/>
      <c r="K64" s="14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4"/>
      <c r="B65" s="14"/>
      <c r="C65" s="14"/>
      <c r="D65" s="76"/>
      <c r="E65" s="14"/>
      <c r="F65" s="14"/>
      <c r="G65" s="14"/>
      <c r="H65" s="14"/>
      <c r="I65" s="14"/>
      <c r="J65" s="14"/>
      <c r="K65" s="14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4"/>
      <c r="B66" s="14"/>
      <c r="C66" s="14"/>
      <c r="D66" s="76"/>
      <c r="E66" s="14"/>
      <c r="F66" s="14"/>
      <c r="G66" s="14"/>
      <c r="H66" s="14"/>
      <c r="I66" s="14"/>
      <c r="J66" s="14"/>
      <c r="K66" s="14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ht="15.0" customHeight="1">
      <c r="A67" s="14"/>
      <c r="B67" s="14"/>
      <c r="C67" s="14"/>
      <c r="D67" s="76"/>
      <c r="E67" s="14"/>
      <c r="F67" s="14"/>
      <c r="G67" s="14"/>
      <c r="H67" s="14"/>
      <c r="I67" s="14"/>
      <c r="J67" s="14"/>
      <c r="K67" s="14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4"/>
      <c r="B68" s="14"/>
      <c r="C68" s="14"/>
      <c r="D68" s="76"/>
      <c r="E68" s="14"/>
      <c r="F68" s="14"/>
      <c r="G68" s="14"/>
      <c r="H68" s="14"/>
      <c r="I68" s="14"/>
      <c r="J68" s="14"/>
      <c r="K68" s="14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4"/>
      <c r="B69" s="14"/>
      <c r="C69" s="14"/>
      <c r="D69" s="76"/>
      <c r="E69" s="14"/>
      <c r="F69" s="14"/>
      <c r="G69" s="14"/>
      <c r="H69" s="14"/>
      <c r="I69" s="14"/>
      <c r="J69" s="14"/>
      <c r="K69" s="14"/>
      <c r="L69" s="14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4"/>
      <c r="B70" s="14"/>
      <c r="C70" s="14"/>
      <c r="D70" s="76"/>
      <c r="E70" s="14"/>
      <c r="F70" s="14"/>
      <c r="G70" s="14"/>
      <c r="H70" s="14"/>
      <c r="I70" s="14"/>
      <c r="J70" s="14"/>
      <c r="K70" s="93"/>
      <c r="L70" s="14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4"/>
      <c r="B71" s="14"/>
      <c r="C71" s="14"/>
      <c r="D71" s="76"/>
      <c r="E71" s="14"/>
      <c r="F71" s="14"/>
      <c r="G71" s="14"/>
      <c r="H71" s="14"/>
      <c r="I71" s="14"/>
      <c r="J71" s="14"/>
      <c r="K71" s="14"/>
      <c r="L71" s="14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4"/>
      <c r="B72" s="14"/>
      <c r="C72" s="14"/>
      <c r="D72" s="76"/>
      <c r="E72" s="14"/>
      <c r="F72" s="14"/>
      <c r="G72" s="14"/>
      <c r="H72" s="14"/>
      <c r="I72" s="14"/>
      <c r="J72" s="14"/>
      <c r="K72" s="14"/>
      <c r="L72" s="14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4"/>
      <c r="B73" s="14"/>
      <c r="C73" s="14"/>
      <c r="D73" s="76"/>
      <c r="E73" s="14"/>
      <c r="F73" s="14"/>
      <c r="G73" s="14"/>
      <c r="H73" s="13"/>
      <c r="I73" s="13"/>
      <c r="J73" s="13"/>
      <c r="K73" s="14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4"/>
      <c r="B74" s="14"/>
      <c r="C74" s="14"/>
      <c r="D74" s="76"/>
      <c r="E74" s="14"/>
      <c r="F74" s="14"/>
      <c r="G74" s="14"/>
      <c r="H74" s="14"/>
      <c r="I74" s="14"/>
      <c r="J74" s="14"/>
      <c r="K74" s="93"/>
      <c r="L74" s="14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4"/>
      <c r="B75" s="14"/>
      <c r="C75" s="14"/>
      <c r="D75" s="76"/>
      <c r="E75" s="14"/>
      <c r="F75" s="14"/>
      <c r="G75" s="14"/>
      <c r="H75" s="14"/>
      <c r="I75" s="14"/>
      <c r="J75" s="14"/>
      <c r="K75" s="13"/>
      <c r="L75" s="14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4"/>
      <c r="B76" s="14"/>
      <c r="C76" s="14"/>
      <c r="D76" s="76"/>
      <c r="E76" s="14"/>
      <c r="F76" s="14"/>
      <c r="G76" s="14"/>
      <c r="H76" s="14"/>
      <c r="I76" s="14"/>
      <c r="J76" s="14"/>
      <c r="K76" s="14"/>
      <c r="L76" s="14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4"/>
      <c r="B77" s="14"/>
      <c r="C77" s="14"/>
      <c r="D77" s="76"/>
      <c r="E77" s="14"/>
      <c r="F77" s="14"/>
      <c r="G77" s="14"/>
      <c r="H77" s="14"/>
      <c r="I77" s="14"/>
      <c r="J77" s="14"/>
      <c r="K77" s="13"/>
      <c r="L77" s="14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4"/>
      <c r="B78" s="14"/>
      <c r="C78" s="14"/>
      <c r="D78" s="76"/>
      <c r="E78" s="14"/>
      <c r="F78" s="14"/>
      <c r="G78" s="14"/>
      <c r="H78" s="14"/>
      <c r="I78" s="14"/>
      <c r="J78" s="14"/>
      <c r="K78" s="14"/>
      <c r="L78" s="14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4"/>
      <c r="B79" s="14"/>
      <c r="C79" s="14"/>
      <c r="D79" s="76"/>
      <c r="E79" s="14"/>
      <c r="F79" s="14"/>
      <c r="G79" s="14"/>
      <c r="H79" s="14"/>
      <c r="I79" s="14"/>
      <c r="J79" s="14"/>
      <c r="K79" s="93"/>
      <c r="L79" s="14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4"/>
      <c r="B80" s="14"/>
      <c r="C80" s="14"/>
      <c r="D80" s="76"/>
      <c r="E80" s="14"/>
      <c r="F80" s="14"/>
      <c r="G80" s="14"/>
      <c r="H80" s="14"/>
      <c r="I80" s="13"/>
      <c r="J80" s="14"/>
      <c r="K80" s="14"/>
      <c r="L80" s="14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4"/>
      <c r="B81" s="91"/>
      <c r="C81" s="14"/>
      <c r="D81" s="76"/>
      <c r="E81" s="14"/>
      <c r="F81" s="14"/>
      <c r="G81" s="14"/>
      <c r="H81" s="14"/>
      <c r="I81" s="14"/>
      <c r="J81" s="14"/>
      <c r="K81" s="14"/>
      <c r="L81" s="14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4"/>
      <c r="B82" s="14"/>
      <c r="C82" s="14"/>
      <c r="D82" s="76"/>
      <c r="E82" s="14"/>
      <c r="F82" s="13"/>
      <c r="G82" s="14"/>
      <c r="H82" s="14"/>
      <c r="I82" s="14"/>
      <c r="J82" s="14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4"/>
      <c r="B83" s="14"/>
      <c r="C83" s="14"/>
      <c r="D83" s="76"/>
      <c r="E83" s="14"/>
      <c r="F83" s="14"/>
      <c r="G83" s="14"/>
      <c r="H83" s="14"/>
      <c r="I83" s="14"/>
      <c r="J83" s="14"/>
      <c r="K83" s="14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4"/>
      <c r="B84" s="14"/>
      <c r="C84" s="14"/>
      <c r="D84" s="76"/>
      <c r="E84" s="14"/>
      <c r="F84" s="14"/>
      <c r="G84" s="14"/>
      <c r="H84" s="14"/>
      <c r="I84" s="14"/>
      <c r="J84" s="14"/>
      <c r="K84" s="14"/>
      <c r="L84" s="14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4"/>
      <c r="B85" s="14"/>
      <c r="C85" s="14"/>
      <c r="D85" s="76"/>
      <c r="E85" s="14"/>
      <c r="F85" s="14"/>
      <c r="G85" s="14"/>
      <c r="H85" s="14"/>
      <c r="I85" s="13"/>
      <c r="J85" s="14"/>
      <c r="K85" s="13"/>
      <c r="L85" s="14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4"/>
      <c r="B86" s="14"/>
      <c r="C86" s="14"/>
      <c r="D86" s="76"/>
      <c r="E86" s="14"/>
      <c r="F86" s="14"/>
      <c r="G86" s="14"/>
      <c r="H86" s="14"/>
      <c r="I86" s="14"/>
      <c r="J86" s="14"/>
      <c r="K86" s="13"/>
      <c r="L86" s="14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3"/>
      <c r="B87" s="14"/>
      <c r="C87" s="14"/>
      <c r="D87" s="76"/>
      <c r="E87" s="14"/>
      <c r="F87" s="14"/>
      <c r="G87" s="14"/>
      <c r="H87" s="14"/>
      <c r="I87" s="14"/>
      <c r="J87" s="14"/>
      <c r="K87" s="13"/>
      <c r="L87" s="14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3"/>
      <c r="B88" s="14"/>
      <c r="C88" s="14"/>
      <c r="D88" s="76"/>
      <c r="E88" s="13"/>
      <c r="F88" s="13"/>
      <c r="G88" s="13"/>
      <c r="H88" s="13"/>
      <c r="I88" s="13"/>
      <c r="J88" s="13"/>
      <c r="K88" s="13"/>
      <c r="L88" s="14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3"/>
      <c r="B89" s="14"/>
      <c r="C89" s="14"/>
      <c r="D89" s="14"/>
      <c r="E89" s="13"/>
      <c r="F89" s="13"/>
      <c r="G89" s="13"/>
      <c r="H89" s="13"/>
      <c r="I89" s="13"/>
      <c r="J89" s="13"/>
      <c r="K89" s="13"/>
      <c r="L89" s="14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4"/>
      <c r="B90" s="14"/>
      <c r="C90" s="14"/>
      <c r="D90" s="72"/>
      <c r="E90" s="14"/>
      <c r="F90" s="14"/>
      <c r="G90" s="14"/>
      <c r="H90" s="14"/>
      <c r="I90" s="14"/>
      <c r="J90" s="14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4"/>
      <c r="B91" s="14"/>
      <c r="C91" s="14"/>
      <c r="D91" s="72"/>
      <c r="E91" s="14"/>
      <c r="F91" s="14"/>
      <c r="G91" s="14"/>
      <c r="H91" s="14"/>
      <c r="I91" s="14"/>
      <c r="J91" s="14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4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3"/>
      <c r="B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</sheetData>
  <hyperlinks>
    <hyperlink r:id="rId1" ref="K4"/>
    <hyperlink r:id="rId2" ref="K7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13"/>
    <col customWidth="1" min="2" max="2" width="12.0"/>
    <col customWidth="1" min="3" max="3" width="31.75"/>
    <col customWidth="1" min="5" max="7" width="23.38"/>
    <col customWidth="1" min="10" max="10" width="36.5"/>
    <col customWidth="1" min="12" max="13" width="23.75"/>
    <col customWidth="1" min="15" max="15" width="26.0"/>
    <col customWidth="1" min="16" max="16" width="15.0"/>
    <col customWidth="1" min="17" max="17" width="19.75"/>
    <col customWidth="1" min="19" max="19" width="19.0"/>
    <col customWidth="1" min="20" max="20" width="16.5"/>
    <col customWidth="1" min="21" max="21" width="15.38"/>
    <col customWidth="1" min="22" max="22" width="14.25"/>
  </cols>
  <sheetData>
    <row r="1">
      <c r="A1" s="2" t="s">
        <v>871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12</v>
      </c>
      <c r="K1" s="95"/>
      <c r="L1" s="96" t="s">
        <v>14</v>
      </c>
      <c r="M1" s="96" t="s">
        <v>15</v>
      </c>
      <c r="N1" s="96" t="s">
        <v>16</v>
      </c>
      <c r="O1" s="97" t="s">
        <v>17</v>
      </c>
      <c r="P1" s="97" t="s">
        <v>18</v>
      </c>
      <c r="Q1" s="96" t="s">
        <v>19</v>
      </c>
      <c r="R1" s="96" t="s">
        <v>20</v>
      </c>
      <c r="S1" s="96" t="s">
        <v>21</v>
      </c>
      <c r="T1" s="96" t="s">
        <v>22</v>
      </c>
      <c r="U1" s="96" t="s">
        <v>23</v>
      </c>
      <c r="V1" s="96" t="s">
        <v>872</v>
      </c>
      <c r="W1" s="96" t="s">
        <v>24</v>
      </c>
      <c r="X1" s="95"/>
      <c r="Y1" s="95"/>
    </row>
    <row r="2">
      <c r="A2" s="8">
        <v>1.0</v>
      </c>
      <c r="B2" s="8">
        <v>15.0</v>
      </c>
      <c r="C2" s="8" t="s">
        <v>26</v>
      </c>
      <c r="D2" s="8" t="s">
        <v>27</v>
      </c>
      <c r="E2" s="98">
        <v>45465.0</v>
      </c>
      <c r="F2" s="8" t="s">
        <v>28</v>
      </c>
      <c r="G2" s="8" t="s">
        <v>29</v>
      </c>
      <c r="H2" s="8">
        <v>400000.0</v>
      </c>
      <c r="I2" s="8">
        <v>1600000.0</v>
      </c>
      <c r="J2" s="99" t="s">
        <v>31</v>
      </c>
      <c r="K2" s="78"/>
      <c r="L2" s="8" t="str">
        <f t="shared" ref="L2:L128" si="1">LEFT(G2, SEARCH("-", G2)-1)</f>
        <v>17.06.2024 </v>
      </c>
      <c r="M2" s="8" t="str">
        <f t="shared" ref="M2:M128" si="2">RIGHT(G2, SEARCH("-", G2)-1)</f>
        <v> 17.03.2025</v>
      </c>
      <c r="N2" s="8">
        <f t="shared" ref="N2:N128" si="3">ROUND( DATEDIF(L2, M2, "D") / 7 , 1 )</f>
        <v>39</v>
      </c>
      <c r="O2" s="79">
        <v>3.0</v>
      </c>
      <c r="P2" s="79">
        <v>2.0</v>
      </c>
      <c r="Q2" s="78">
        <f t="shared" ref="Q2:Q128" si="4">N2*O2*P2</f>
        <v>234</v>
      </c>
      <c r="R2" s="100">
        <f t="shared" ref="R2:R128" si="5">MIN(DATEDIF(L2,TODAY(),"D"), DATEDIF(L2,M2,"D"))</f>
        <v>273</v>
      </c>
      <c r="S2" s="78">
        <f t="shared" ref="S2:S128" si="6">ROUND( MIN(DATEDIF(L2,TODAY(),"D"), DATEDIF(L2,M2,"D")) / 7 , 1 )</f>
        <v>39</v>
      </c>
      <c r="T2" s="78">
        <f t="shared" ref="T2:T128" si="7">ROUND( MIN( (MIN(DATEDIF(L2,TODAY(),"D"), DATEDIF(L2,M2,"D"))/7) , N2 ) * O2 * P2 , 1 )</f>
        <v>234</v>
      </c>
      <c r="U2" s="78">
        <f t="shared" ref="U2:U128" si="8">ROUND(Q2 - T2, 1)</f>
        <v>0</v>
      </c>
      <c r="V2" s="78">
        <f t="shared" ref="V2:V128" si="9">ROUND(U2*W2, 1)</f>
        <v>0</v>
      </c>
      <c r="W2" s="78">
        <f t="shared" ref="W2:W128" si="10">ROUND(H2 / Q2, 1)</f>
        <v>1709.4</v>
      </c>
      <c r="X2" s="78">
        <f>ROUND(U2*W2, 1)</f>
        <v>0</v>
      </c>
      <c r="Y2" s="78"/>
    </row>
    <row r="3">
      <c r="A3" s="8">
        <v>2.0</v>
      </c>
      <c r="B3" s="8">
        <v>11.0</v>
      </c>
      <c r="C3" s="101" t="s">
        <v>34</v>
      </c>
      <c r="D3" s="8" t="s">
        <v>27</v>
      </c>
      <c r="E3" s="98">
        <v>45453.0</v>
      </c>
      <c r="F3" s="8" t="s">
        <v>28</v>
      </c>
      <c r="G3" s="8" t="s">
        <v>35</v>
      </c>
      <c r="H3" s="8">
        <v>400000.0</v>
      </c>
      <c r="I3" s="8">
        <v>1600000.0</v>
      </c>
      <c r="J3" s="99" t="s">
        <v>36</v>
      </c>
      <c r="K3" s="78"/>
      <c r="L3" s="8" t="str">
        <f t="shared" si="1"/>
        <v>11.06.2024</v>
      </c>
      <c r="M3" s="8" t="str">
        <f t="shared" si="2"/>
        <v>01.03.2025</v>
      </c>
      <c r="N3" s="8">
        <f t="shared" si="3"/>
        <v>37.6</v>
      </c>
      <c r="O3" s="79">
        <v>3.0</v>
      </c>
      <c r="P3" s="79">
        <v>2.0</v>
      </c>
      <c r="Q3" s="78">
        <f t="shared" si="4"/>
        <v>225.6</v>
      </c>
      <c r="R3" s="100">
        <f t="shared" si="5"/>
        <v>263</v>
      </c>
      <c r="S3" s="78">
        <f t="shared" si="6"/>
        <v>37.6</v>
      </c>
      <c r="T3" s="78">
        <f t="shared" si="7"/>
        <v>225.4</v>
      </c>
      <c r="U3" s="78">
        <f t="shared" si="8"/>
        <v>0.2</v>
      </c>
      <c r="V3" s="78">
        <f t="shared" si="9"/>
        <v>354.6</v>
      </c>
      <c r="W3" s="78">
        <f t="shared" si="10"/>
        <v>1773</v>
      </c>
      <c r="X3" s="78"/>
      <c r="Y3" s="78"/>
    </row>
    <row r="4">
      <c r="A4" s="8">
        <v>4.0</v>
      </c>
      <c r="B4" s="8">
        <v>12.0</v>
      </c>
      <c r="C4" s="8" t="s">
        <v>48</v>
      </c>
      <c r="D4" s="8" t="s">
        <v>27</v>
      </c>
      <c r="E4" s="98">
        <v>45454.0</v>
      </c>
      <c r="F4" s="8" t="s">
        <v>28</v>
      </c>
      <c r="G4" s="8" t="s">
        <v>35</v>
      </c>
      <c r="H4" s="8">
        <v>400000.0</v>
      </c>
      <c r="I4" s="8">
        <v>1600000.0</v>
      </c>
      <c r="J4" s="99" t="s">
        <v>50</v>
      </c>
      <c r="K4" s="78"/>
      <c r="L4" s="8" t="str">
        <f t="shared" si="1"/>
        <v>11.06.2024</v>
      </c>
      <c r="M4" s="8" t="str">
        <f t="shared" si="2"/>
        <v>01.03.2025</v>
      </c>
      <c r="N4" s="8">
        <f t="shared" si="3"/>
        <v>37.6</v>
      </c>
      <c r="O4" s="79">
        <v>3.0</v>
      </c>
      <c r="P4" s="79">
        <v>2.0</v>
      </c>
      <c r="Q4" s="78">
        <f t="shared" si="4"/>
        <v>225.6</v>
      </c>
      <c r="R4" s="100">
        <f t="shared" si="5"/>
        <v>263</v>
      </c>
      <c r="S4" s="78">
        <f t="shared" si="6"/>
        <v>37.6</v>
      </c>
      <c r="T4" s="78">
        <f t="shared" si="7"/>
        <v>225.4</v>
      </c>
      <c r="U4" s="78">
        <f t="shared" si="8"/>
        <v>0.2</v>
      </c>
      <c r="V4" s="78">
        <f t="shared" si="9"/>
        <v>354.6</v>
      </c>
      <c r="W4" s="78">
        <f t="shared" si="10"/>
        <v>1773</v>
      </c>
      <c r="X4" s="78"/>
      <c r="Y4" s="78"/>
    </row>
    <row r="5">
      <c r="A5" s="8">
        <v>5.0</v>
      </c>
      <c r="B5" s="8" t="s">
        <v>30</v>
      </c>
      <c r="C5" s="101" t="s">
        <v>53</v>
      </c>
      <c r="D5" s="23"/>
      <c r="E5" s="98">
        <v>45463.0</v>
      </c>
      <c r="F5" s="8" t="s">
        <v>28</v>
      </c>
      <c r="G5" s="8" t="s">
        <v>54</v>
      </c>
      <c r="H5" s="8">
        <v>400000.0</v>
      </c>
      <c r="I5" s="8">
        <v>1600000.0</v>
      </c>
      <c r="J5" s="99" t="s">
        <v>55</v>
      </c>
      <c r="K5" s="78"/>
      <c r="L5" s="8" t="str">
        <f t="shared" si="1"/>
        <v>20.06.2024</v>
      </c>
      <c r="M5" s="8" t="str">
        <f t="shared" si="2"/>
        <v>20.03.2025</v>
      </c>
      <c r="N5" s="8">
        <f t="shared" si="3"/>
        <v>39</v>
      </c>
      <c r="O5" s="79">
        <v>3.0</v>
      </c>
      <c r="P5" s="79">
        <v>2.0</v>
      </c>
      <c r="Q5" s="78">
        <f t="shared" si="4"/>
        <v>234</v>
      </c>
      <c r="R5" s="100">
        <f t="shared" si="5"/>
        <v>273</v>
      </c>
      <c r="S5" s="78">
        <f t="shared" si="6"/>
        <v>39</v>
      </c>
      <c r="T5" s="78">
        <f t="shared" si="7"/>
        <v>234</v>
      </c>
      <c r="U5" s="78">
        <f t="shared" si="8"/>
        <v>0</v>
      </c>
      <c r="V5" s="78">
        <f t="shared" si="9"/>
        <v>0</v>
      </c>
      <c r="W5" s="78">
        <f t="shared" si="10"/>
        <v>1709.4</v>
      </c>
      <c r="X5" s="78"/>
      <c r="Y5" s="78"/>
    </row>
    <row r="6" ht="15.0" customHeight="1">
      <c r="A6" s="8">
        <v>6.0</v>
      </c>
      <c r="B6" s="8">
        <v>20.0</v>
      </c>
      <c r="C6" s="101" t="s">
        <v>57</v>
      </c>
      <c r="D6" s="8" t="s">
        <v>58</v>
      </c>
      <c r="E6" s="98">
        <v>45465.0</v>
      </c>
      <c r="F6" s="8" t="s">
        <v>28</v>
      </c>
      <c r="G6" s="8" t="s">
        <v>59</v>
      </c>
      <c r="H6" s="8">
        <v>400000.0</v>
      </c>
      <c r="I6" s="8">
        <v>1600000.0</v>
      </c>
      <c r="J6" s="99" t="s">
        <v>60</v>
      </c>
      <c r="K6" s="78"/>
      <c r="L6" s="8" t="str">
        <f t="shared" si="1"/>
        <v>24.06.2024</v>
      </c>
      <c r="M6" s="8" t="str">
        <f t="shared" si="2"/>
        <v>24.04.2025</v>
      </c>
      <c r="N6" s="8">
        <f t="shared" si="3"/>
        <v>43.4</v>
      </c>
      <c r="O6" s="79">
        <v>3.0</v>
      </c>
      <c r="P6" s="79">
        <v>2.0</v>
      </c>
      <c r="Q6" s="78">
        <f t="shared" si="4"/>
        <v>260.4</v>
      </c>
      <c r="R6" s="100">
        <f t="shared" si="5"/>
        <v>304</v>
      </c>
      <c r="S6" s="78">
        <f t="shared" si="6"/>
        <v>43.4</v>
      </c>
      <c r="T6" s="78">
        <f t="shared" si="7"/>
        <v>260.4</v>
      </c>
      <c r="U6" s="78">
        <f t="shared" si="8"/>
        <v>0</v>
      </c>
      <c r="V6" s="78">
        <f t="shared" si="9"/>
        <v>0</v>
      </c>
      <c r="W6" s="78">
        <f t="shared" si="10"/>
        <v>1536.1</v>
      </c>
      <c r="X6" s="78"/>
      <c r="Y6" s="78"/>
    </row>
    <row r="7">
      <c r="A7" s="10">
        <v>7.0</v>
      </c>
      <c r="B7" s="10">
        <v>19.0</v>
      </c>
      <c r="C7" s="10" t="s">
        <v>61</v>
      </c>
      <c r="D7" s="10" t="s">
        <v>62</v>
      </c>
      <c r="E7" s="18">
        <v>45466.0</v>
      </c>
      <c r="F7" s="10" t="s">
        <v>28</v>
      </c>
      <c r="G7" s="10" t="s">
        <v>63</v>
      </c>
      <c r="H7" s="7">
        <v>400000.0</v>
      </c>
      <c r="I7" s="10">
        <v>1600000.0</v>
      </c>
      <c r="J7" s="19" t="s">
        <v>65</v>
      </c>
      <c r="K7" s="21"/>
      <c r="L7" s="7" t="str">
        <f t="shared" si="1"/>
        <v>01.08.2024</v>
      </c>
      <c r="M7" s="7" t="str">
        <f t="shared" si="2"/>
        <v>01.05.2025</v>
      </c>
      <c r="N7" s="7">
        <f t="shared" si="3"/>
        <v>39</v>
      </c>
      <c r="O7" s="14">
        <v>3.0</v>
      </c>
      <c r="P7" s="14">
        <v>2.0</v>
      </c>
      <c r="Q7" s="13">
        <f t="shared" si="4"/>
        <v>234</v>
      </c>
      <c r="R7" s="15">
        <f t="shared" si="5"/>
        <v>273</v>
      </c>
      <c r="S7" s="13">
        <f t="shared" si="6"/>
        <v>39</v>
      </c>
      <c r="T7" s="13">
        <f t="shared" si="7"/>
        <v>234</v>
      </c>
      <c r="U7" s="13">
        <f t="shared" si="8"/>
        <v>0</v>
      </c>
      <c r="V7" s="13">
        <f t="shared" si="9"/>
        <v>0</v>
      </c>
      <c r="W7" s="13">
        <f t="shared" si="10"/>
        <v>1709.4</v>
      </c>
      <c r="X7" s="13"/>
      <c r="Y7" s="13"/>
    </row>
    <row r="8">
      <c r="A8" s="10">
        <v>8.0</v>
      </c>
      <c r="B8" s="10">
        <v>21.0</v>
      </c>
      <c r="C8" s="22" t="s">
        <v>68</v>
      </c>
      <c r="D8" s="10" t="s">
        <v>58</v>
      </c>
      <c r="E8" s="18">
        <v>45472.0</v>
      </c>
      <c r="F8" s="10" t="s">
        <v>28</v>
      </c>
      <c r="G8" s="10" t="s">
        <v>69</v>
      </c>
      <c r="H8" s="7">
        <v>400000.0</v>
      </c>
      <c r="I8" s="10">
        <v>1600000.0</v>
      </c>
      <c r="J8" s="19" t="s">
        <v>70</v>
      </c>
      <c r="K8" s="21"/>
      <c r="L8" s="7" t="str">
        <f t="shared" si="1"/>
        <v>01.07.2024</v>
      </c>
      <c r="M8" s="7" t="str">
        <f t="shared" si="2"/>
        <v>01.04.2025</v>
      </c>
      <c r="N8" s="7">
        <f t="shared" si="3"/>
        <v>39.1</v>
      </c>
      <c r="O8" s="14">
        <v>3.0</v>
      </c>
      <c r="P8" s="14">
        <v>2.0</v>
      </c>
      <c r="Q8" s="13">
        <f t="shared" si="4"/>
        <v>234.6</v>
      </c>
      <c r="R8" s="15">
        <f t="shared" si="5"/>
        <v>274</v>
      </c>
      <c r="S8" s="13">
        <f t="shared" si="6"/>
        <v>39.1</v>
      </c>
      <c r="T8" s="13">
        <f t="shared" si="7"/>
        <v>234.6</v>
      </c>
      <c r="U8" s="13">
        <f t="shared" si="8"/>
        <v>0</v>
      </c>
      <c r="V8" s="13">
        <f t="shared" si="9"/>
        <v>0</v>
      </c>
      <c r="W8" s="13">
        <f t="shared" si="10"/>
        <v>1705</v>
      </c>
      <c r="X8" s="13"/>
      <c r="Y8" s="13"/>
    </row>
    <row r="9">
      <c r="A9" s="8">
        <v>9.0</v>
      </c>
      <c r="B9" s="8">
        <v>21.0</v>
      </c>
      <c r="C9" s="101" t="s">
        <v>74</v>
      </c>
      <c r="D9" s="8" t="s">
        <v>62</v>
      </c>
      <c r="E9" s="98">
        <v>45473.0</v>
      </c>
      <c r="F9" s="8" t="s">
        <v>28</v>
      </c>
      <c r="G9" s="8" t="s">
        <v>69</v>
      </c>
      <c r="H9" s="8">
        <v>400000.0</v>
      </c>
      <c r="I9" s="8">
        <v>1600000.0</v>
      </c>
      <c r="J9" s="99" t="s">
        <v>75</v>
      </c>
      <c r="K9" s="78"/>
      <c r="L9" s="8" t="str">
        <f t="shared" si="1"/>
        <v>01.07.2024</v>
      </c>
      <c r="M9" s="8" t="str">
        <f t="shared" si="2"/>
        <v>01.04.2025</v>
      </c>
      <c r="N9" s="8">
        <f t="shared" si="3"/>
        <v>39.1</v>
      </c>
      <c r="O9" s="79">
        <v>3.0</v>
      </c>
      <c r="P9" s="79">
        <v>2.0</v>
      </c>
      <c r="Q9" s="78">
        <f t="shared" si="4"/>
        <v>234.6</v>
      </c>
      <c r="R9" s="100">
        <f t="shared" si="5"/>
        <v>274</v>
      </c>
      <c r="S9" s="78">
        <f t="shared" si="6"/>
        <v>39.1</v>
      </c>
      <c r="T9" s="78">
        <f t="shared" si="7"/>
        <v>234.6</v>
      </c>
      <c r="U9" s="78">
        <f t="shared" si="8"/>
        <v>0</v>
      </c>
      <c r="V9" s="78">
        <f t="shared" si="9"/>
        <v>0</v>
      </c>
      <c r="W9" s="78">
        <f t="shared" si="10"/>
        <v>1705</v>
      </c>
      <c r="X9" s="78"/>
      <c r="Y9" s="78"/>
    </row>
    <row r="10">
      <c r="A10" s="8">
        <v>11.0</v>
      </c>
      <c r="B10" s="8">
        <v>22.0</v>
      </c>
      <c r="C10" s="8" t="s">
        <v>83</v>
      </c>
      <c r="D10" s="8" t="s">
        <v>62</v>
      </c>
      <c r="E10" s="98">
        <v>45480.0</v>
      </c>
      <c r="F10" s="8" t="s">
        <v>28</v>
      </c>
      <c r="G10" s="8" t="s">
        <v>84</v>
      </c>
      <c r="H10" s="8">
        <v>400000.0</v>
      </c>
      <c r="I10" s="8">
        <v>1600000.0</v>
      </c>
      <c r="J10" s="102" t="s">
        <v>87</v>
      </c>
      <c r="K10" s="78"/>
      <c r="L10" s="8" t="str">
        <f t="shared" si="1"/>
        <v>03.07.2024</v>
      </c>
      <c r="M10" s="8" t="str">
        <f t="shared" si="2"/>
        <v>03.04.2025</v>
      </c>
      <c r="N10" s="8">
        <f t="shared" si="3"/>
        <v>39.1</v>
      </c>
      <c r="O10" s="79">
        <v>3.0</v>
      </c>
      <c r="P10" s="79">
        <v>2.0</v>
      </c>
      <c r="Q10" s="78">
        <f t="shared" si="4"/>
        <v>234.6</v>
      </c>
      <c r="R10" s="100">
        <f t="shared" si="5"/>
        <v>274</v>
      </c>
      <c r="S10" s="78">
        <f t="shared" si="6"/>
        <v>39.1</v>
      </c>
      <c r="T10" s="78">
        <f t="shared" si="7"/>
        <v>234.6</v>
      </c>
      <c r="U10" s="78">
        <f t="shared" si="8"/>
        <v>0</v>
      </c>
      <c r="V10" s="78">
        <f t="shared" si="9"/>
        <v>0</v>
      </c>
      <c r="W10" s="78">
        <f t="shared" si="10"/>
        <v>1705</v>
      </c>
      <c r="X10" s="78"/>
      <c r="Y10" s="78"/>
    </row>
    <row r="11">
      <c r="A11" s="8">
        <v>12.0</v>
      </c>
      <c r="B11" s="8">
        <v>23.0</v>
      </c>
      <c r="C11" s="103" t="s">
        <v>90</v>
      </c>
      <c r="D11" s="8" t="s">
        <v>58</v>
      </c>
      <c r="E11" s="98">
        <v>45476.0</v>
      </c>
      <c r="F11" s="8" t="s">
        <v>28</v>
      </c>
      <c r="G11" s="8" t="s">
        <v>91</v>
      </c>
      <c r="H11" s="8">
        <v>400000.0</v>
      </c>
      <c r="I11" s="8">
        <v>1600000.0</v>
      </c>
      <c r="J11" s="99" t="s">
        <v>92</v>
      </c>
      <c r="K11" s="78"/>
      <c r="L11" s="8" t="str">
        <f t="shared" si="1"/>
        <v>08.07.2024</v>
      </c>
      <c r="M11" s="8" t="str">
        <f t="shared" si="2"/>
        <v>08.04.2025</v>
      </c>
      <c r="N11" s="8">
        <f t="shared" si="3"/>
        <v>39.1</v>
      </c>
      <c r="O11" s="79">
        <v>3.0</v>
      </c>
      <c r="P11" s="79">
        <v>2.0</v>
      </c>
      <c r="Q11" s="78">
        <f t="shared" si="4"/>
        <v>234.6</v>
      </c>
      <c r="R11" s="100">
        <f t="shared" si="5"/>
        <v>274</v>
      </c>
      <c r="S11" s="78">
        <f t="shared" si="6"/>
        <v>39.1</v>
      </c>
      <c r="T11" s="78">
        <f t="shared" si="7"/>
        <v>234.6</v>
      </c>
      <c r="U11" s="78">
        <f t="shared" si="8"/>
        <v>0</v>
      </c>
      <c r="V11" s="78">
        <f t="shared" si="9"/>
        <v>0</v>
      </c>
      <c r="W11" s="78">
        <f t="shared" si="10"/>
        <v>1705</v>
      </c>
      <c r="X11" s="78"/>
      <c r="Y11" s="78"/>
    </row>
    <row r="12">
      <c r="A12" s="10">
        <v>13.0</v>
      </c>
      <c r="B12" s="10">
        <v>22.0</v>
      </c>
      <c r="C12" s="10" t="s">
        <v>94</v>
      </c>
      <c r="D12" s="10" t="s">
        <v>58</v>
      </c>
      <c r="E12" s="18">
        <v>45479.0</v>
      </c>
      <c r="F12" s="10" t="s">
        <v>28</v>
      </c>
      <c r="G12" s="10" t="s">
        <v>95</v>
      </c>
      <c r="H12" s="7">
        <v>400000.0</v>
      </c>
      <c r="I12" s="10">
        <v>1600000.0</v>
      </c>
      <c r="J12" s="19" t="s">
        <v>96</v>
      </c>
      <c r="K12" s="21"/>
      <c r="L12" s="7" t="str">
        <f t="shared" si="1"/>
        <v>10.07.2024</v>
      </c>
      <c r="M12" s="7" t="str">
        <f t="shared" si="2"/>
        <v>10.04.2025</v>
      </c>
      <c r="N12" s="7">
        <f t="shared" si="3"/>
        <v>39.1</v>
      </c>
      <c r="O12" s="14">
        <v>3.0</v>
      </c>
      <c r="P12" s="14">
        <v>2.0</v>
      </c>
      <c r="Q12" s="13">
        <f t="shared" si="4"/>
        <v>234.6</v>
      </c>
      <c r="R12" s="15">
        <f t="shared" si="5"/>
        <v>274</v>
      </c>
      <c r="S12" s="13">
        <f t="shared" si="6"/>
        <v>39.1</v>
      </c>
      <c r="T12" s="13">
        <f t="shared" si="7"/>
        <v>234.6</v>
      </c>
      <c r="U12" s="13">
        <f t="shared" si="8"/>
        <v>0</v>
      </c>
      <c r="V12" s="13">
        <f t="shared" si="9"/>
        <v>0</v>
      </c>
      <c r="W12" s="13">
        <f t="shared" si="10"/>
        <v>1705</v>
      </c>
      <c r="X12" s="13"/>
      <c r="Y12" s="13"/>
    </row>
    <row r="13">
      <c r="A13" s="8">
        <v>14.0</v>
      </c>
      <c r="B13" s="8">
        <v>24.0</v>
      </c>
      <c r="C13" s="101" t="s">
        <v>99</v>
      </c>
      <c r="D13" s="8" t="s">
        <v>27</v>
      </c>
      <c r="E13" s="98">
        <v>45481.0</v>
      </c>
      <c r="F13" s="8" t="s">
        <v>28</v>
      </c>
      <c r="G13" s="8" t="s">
        <v>100</v>
      </c>
      <c r="H13" s="8">
        <v>200000.0</v>
      </c>
      <c r="I13" s="8">
        <v>600000.0</v>
      </c>
      <c r="J13" s="99" t="s">
        <v>101</v>
      </c>
      <c r="K13" s="78"/>
      <c r="L13" s="8" t="str">
        <f t="shared" si="1"/>
        <v>08.07.2024</v>
      </c>
      <c r="M13" s="8" t="str">
        <f t="shared" si="2"/>
        <v>01.01.2025</v>
      </c>
      <c r="N13" s="8">
        <f t="shared" si="3"/>
        <v>25.3</v>
      </c>
      <c r="O13" s="79">
        <v>3.0</v>
      </c>
      <c r="P13" s="79">
        <v>2.0</v>
      </c>
      <c r="Q13" s="78">
        <f t="shared" si="4"/>
        <v>151.8</v>
      </c>
      <c r="R13" s="100">
        <f t="shared" si="5"/>
        <v>177</v>
      </c>
      <c r="S13" s="78">
        <f t="shared" si="6"/>
        <v>25.3</v>
      </c>
      <c r="T13" s="78">
        <f t="shared" si="7"/>
        <v>151.7</v>
      </c>
      <c r="U13" s="78">
        <f t="shared" si="8"/>
        <v>0.1</v>
      </c>
      <c r="V13" s="78">
        <f t="shared" si="9"/>
        <v>131.8</v>
      </c>
      <c r="W13" s="78">
        <f t="shared" si="10"/>
        <v>1317.5</v>
      </c>
      <c r="X13" s="78"/>
      <c r="Y13" s="78"/>
    </row>
    <row r="14">
      <c r="A14" s="8">
        <v>15.0</v>
      </c>
      <c r="B14" s="8">
        <v>15.0</v>
      </c>
      <c r="C14" s="8" t="s">
        <v>104</v>
      </c>
      <c r="D14" s="8" t="s">
        <v>62</v>
      </c>
      <c r="E14" s="98">
        <v>45483.0</v>
      </c>
      <c r="F14" s="8" t="s">
        <v>28</v>
      </c>
      <c r="G14" s="8" t="s">
        <v>95</v>
      </c>
      <c r="H14" s="8">
        <v>400000.0</v>
      </c>
      <c r="I14" s="8">
        <v>1600000.0</v>
      </c>
      <c r="J14" s="99" t="s">
        <v>105</v>
      </c>
      <c r="K14" s="78"/>
      <c r="L14" s="8" t="str">
        <f t="shared" si="1"/>
        <v>10.07.2024</v>
      </c>
      <c r="M14" s="8" t="str">
        <f t="shared" si="2"/>
        <v>10.04.2025</v>
      </c>
      <c r="N14" s="8">
        <f t="shared" si="3"/>
        <v>39.1</v>
      </c>
      <c r="O14" s="79">
        <v>3.0</v>
      </c>
      <c r="P14" s="79">
        <v>2.0</v>
      </c>
      <c r="Q14" s="78">
        <f t="shared" si="4"/>
        <v>234.6</v>
      </c>
      <c r="R14" s="100">
        <f t="shared" si="5"/>
        <v>274</v>
      </c>
      <c r="S14" s="78">
        <f t="shared" si="6"/>
        <v>39.1</v>
      </c>
      <c r="T14" s="78">
        <f t="shared" si="7"/>
        <v>234.6</v>
      </c>
      <c r="U14" s="78">
        <f t="shared" si="8"/>
        <v>0</v>
      </c>
      <c r="V14" s="78">
        <f t="shared" si="9"/>
        <v>0</v>
      </c>
      <c r="W14" s="78">
        <f t="shared" si="10"/>
        <v>1705</v>
      </c>
      <c r="X14" s="78"/>
      <c r="Y14" s="78"/>
    </row>
    <row r="15">
      <c r="A15" s="8">
        <v>16.0</v>
      </c>
      <c r="B15" s="8">
        <v>16.0</v>
      </c>
      <c r="C15" s="104" t="s">
        <v>107</v>
      </c>
      <c r="D15" s="8" t="s">
        <v>62</v>
      </c>
      <c r="E15" s="98">
        <v>45488.0</v>
      </c>
      <c r="F15" s="8" t="s">
        <v>28</v>
      </c>
      <c r="G15" s="8" t="s">
        <v>108</v>
      </c>
      <c r="H15" s="8">
        <v>400000.0</v>
      </c>
      <c r="I15" s="8">
        <v>1600000.0</v>
      </c>
      <c r="J15" s="99" t="s">
        <v>109</v>
      </c>
      <c r="K15" s="78"/>
      <c r="L15" s="8" t="str">
        <f t="shared" si="1"/>
        <v>17.07.2024</v>
      </c>
      <c r="M15" s="8" t="str">
        <f t="shared" si="2"/>
        <v>7.02.2026)</v>
      </c>
      <c r="N15" s="8" t="str">
        <f t="shared" si="3"/>
        <v>#VALUE!</v>
      </c>
      <c r="O15" s="79">
        <v>3.0</v>
      </c>
      <c r="P15" s="79">
        <v>2.0</v>
      </c>
      <c r="Q15" s="78" t="str">
        <f t="shared" si="4"/>
        <v>#VALUE!</v>
      </c>
      <c r="R15" s="100" t="str">
        <f t="shared" si="5"/>
        <v>#VALUE!</v>
      </c>
      <c r="S15" s="78" t="str">
        <f t="shared" si="6"/>
        <v>#VALUE!</v>
      </c>
      <c r="T15" s="78" t="str">
        <f t="shared" si="7"/>
        <v>#VALUE!</v>
      </c>
      <c r="U15" s="78" t="str">
        <f t="shared" si="8"/>
        <v>#VALUE!</v>
      </c>
      <c r="V15" s="78" t="str">
        <f t="shared" si="9"/>
        <v>#VALUE!</v>
      </c>
      <c r="W15" s="78" t="str">
        <f t="shared" si="10"/>
        <v>#VALUE!</v>
      </c>
      <c r="X15" s="78"/>
      <c r="Y15" s="78"/>
    </row>
    <row r="16">
      <c r="A16" s="8">
        <v>17.0</v>
      </c>
      <c r="B16" s="8">
        <v>17.0</v>
      </c>
      <c r="C16" s="101" t="s">
        <v>112</v>
      </c>
      <c r="D16" s="8" t="s">
        <v>62</v>
      </c>
      <c r="E16" s="98">
        <v>45491.0</v>
      </c>
      <c r="F16" s="8" t="s">
        <v>113</v>
      </c>
      <c r="G16" s="8" t="s">
        <v>114</v>
      </c>
      <c r="H16" s="8">
        <v>400000.0</v>
      </c>
      <c r="I16" s="8">
        <v>1600000.0</v>
      </c>
      <c r="J16" s="99" t="s">
        <v>115</v>
      </c>
      <c r="K16" s="78"/>
      <c r="L16" s="8" t="str">
        <f t="shared" si="1"/>
        <v>02.09.2024</v>
      </c>
      <c r="M16" s="8" t="str">
        <f t="shared" si="2"/>
        <v>02.05.2025</v>
      </c>
      <c r="N16" s="8">
        <f t="shared" si="3"/>
        <v>34.6</v>
      </c>
      <c r="O16" s="79">
        <v>3.0</v>
      </c>
      <c r="P16" s="79">
        <v>2.0</v>
      </c>
      <c r="Q16" s="78">
        <f t="shared" si="4"/>
        <v>207.6</v>
      </c>
      <c r="R16" s="100">
        <f t="shared" si="5"/>
        <v>242</v>
      </c>
      <c r="S16" s="78">
        <f t="shared" si="6"/>
        <v>34.6</v>
      </c>
      <c r="T16" s="78">
        <f t="shared" si="7"/>
        <v>207.4</v>
      </c>
      <c r="U16" s="78">
        <f t="shared" si="8"/>
        <v>0.2</v>
      </c>
      <c r="V16" s="78">
        <f t="shared" si="9"/>
        <v>385.4</v>
      </c>
      <c r="W16" s="78">
        <f t="shared" si="10"/>
        <v>1926.8</v>
      </c>
      <c r="X16" s="78"/>
      <c r="Y16" s="78"/>
    </row>
    <row r="17">
      <c r="A17" s="8">
        <v>18.0</v>
      </c>
      <c r="B17" s="8">
        <v>19.0</v>
      </c>
      <c r="C17" s="101" t="s">
        <v>117</v>
      </c>
      <c r="D17" s="8" t="s">
        <v>58</v>
      </c>
      <c r="E17" s="98">
        <v>45493.0</v>
      </c>
      <c r="F17" s="8" t="s">
        <v>28</v>
      </c>
      <c r="G17" s="8" t="s">
        <v>118</v>
      </c>
      <c r="H17" s="8">
        <v>500000.0</v>
      </c>
      <c r="I17" s="8">
        <v>2000000.0</v>
      </c>
      <c r="J17" s="99" t="s">
        <v>119</v>
      </c>
      <c r="K17" s="78"/>
      <c r="L17" s="8" t="str">
        <f t="shared" si="1"/>
        <v>22.07.2024</v>
      </c>
      <c r="M17" s="8" t="str">
        <f t="shared" si="2"/>
        <v>22.03.2025</v>
      </c>
      <c r="N17" s="8">
        <f t="shared" si="3"/>
        <v>34.7</v>
      </c>
      <c r="O17" s="79">
        <v>3.0</v>
      </c>
      <c r="P17" s="79">
        <v>2.0</v>
      </c>
      <c r="Q17" s="78">
        <f t="shared" si="4"/>
        <v>208.2</v>
      </c>
      <c r="R17" s="100">
        <f t="shared" si="5"/>
        <v>243</v>
      </c>
      <c r="S17" s="78">
        <f t="shared" si="6"/>
        <v>34.7</v>
      </c>
      <c r="T17" s="78">
        <f t="shared" si="7"/>
        <v>208.2</v>
      </c>
      <c r="U17" s="78">
        <f t="shared" si="8"/>
        <v>0</v>
      </c>
      <c r="V17" s="78">
        <f t="shared" si="9"/>
        <v>0</v>
      </c>
      <c r="W17" s="78">
        <f t="shared" si="10"/>
        <v>2401.5</v>
      </c>
      <c r="X17" s="78"/>
      <c r="Y17" s="78"/>
    </row>
    <row r="18">
      <c r="A18" s="8">
        <v>19.0</v>
      </c>
      <c r="B18" s="8">
        <v>34.0</v>
      </c>
      <c r="C18" s="101" t="s">
        <v>121</v>
      </c>
      <c r="D18" s="8" t="s">
        <v>62</v>
      </c>
      <c r="E18" s="98">
        <v>45540.0</v>
      </c>
      <c r="F18" s="8" t="s">
        <v>28</v>
      </c>
      <c r="G18" s="8" t="s">
        <v>122</v>
      </c>
      <c r="H18" s="8">
        <v>400000.0</v>
      </c>
      <c r="I18" s="8">
        <v>1700000.0</v>
      </c>
      <c r="J18" s="99" t="s">
        <v>124</v>
      </c>
      <c r="K18" s="78"/>
      <c r="L18" s="8" t="str">
        <f t="shared" si="1"/>
        <v>05.08.2024</v>
      </c>
      <c r="M18" s="8" t="str">
        <f t="shared" si="2"/>
        <v>05.04.2025</v>
      </c>
      <c r="N18" s="8">
        <f t="shared" si="3"/>
        <v>34.7</v>
      </c>
      <c r="O18" s="79">
        <v>3.0</v>
      </c>
      <c r="P18" s="79">
        <v>2.0</v>
      </c>
      <c r="Q18" s="78">
        <f t="shared" si="4"/>
        <v>208.2</v>
      </c>
      <c r="R18" s="100">
        <f t="shared" si="5"/>
        <v>243</v>
      </c>
      <c r="S18" s="78">
        <f t="shared" si="6"/>
        <v>34.7</v>
      </c>
      <c r="T18" s="78">
        <f t="shared" si="7"/>
        <v>208.2</v>
      </c>
      <c r="U18" s="78">
        <f t="shared" si="8"/>
        <v>0</v>
      </c>
      <c r="V18" s="78">
        <f t="shared" si="9"/>
        <v>0</v>
      </c>
      <c r="W18" s="78">
        <f t="shared" si="10"/>
        <v>1921.2</v>
      </c>
      <c r="X18" s="78"/>
      <c r="Y18" s="78"/>
    </row>
    <row r="19">
      <c r="A19" s="8">
        <v>20.0</v>
      </c>
      <c r="B19" s="8">
        <v>23.0</v>
      </c>
      <c r="C19" s="8" t="s">
        <v>126</v>
      </c>
      <c r="D19" s="8" t="s">
        <v>62</v>
      </c>
      <c r="E19" s="98">
        <v>45502.0</v>
      </c>
      <c r="F19" s="8" t="s">
        <v>28</v>
      </c>
      <c r="G19" s="8" t="s">
        <v>127</v>
      </c>
      <c r="H19" s="8">
        <v>500000.0</v>
      </c>
      <c r="I19" s="8">
        <v>2000000.0</v>
      </c>
      <c r="J19" s="99" t="s">
        <v>128</v>
      </c>
      <c r="K19" s="78"/>
      <c r="L19" s="8" t="str">
        <f t="shared" si="1"/>
        <v>30.07.2024</v>
      </c>
      <c r="M19" s="8" t="str">
        <f t="shared" si="2"/>
        <v>30.04.2025</v>
      </c>
      <c r="N19" s="8">
        <f t="shared" si="3"/>
        <v>39.1</v>
      </c>
      <c r="O19" s="79">
        <v>3.0</v>
      </c>
      <c r="P19" s="79">
        <v>2.0</v>
      </c>
      <c r="Q19" s="78">
        <f t="shared" si="4"/>
        <v>234.6</v>
      </c>
      <c r="R19" s="100">
        <f t="shared" si="5"/>
        <v>274</v>
      </c>
      <c r="S19" s="78">
        <f t="shared" si="6"/>
        <v>39.1</v>
      </c>
      <c r="T19" s="78">
        <f t="shared" si="7"/>
        <v>234.6</v>
      </c>
      <c r="U19" s="78">
        <f t="shared" si="8"/>
        <v>0</v>
      </c>
      <c r="V19" s="78">
        <f t="shared" si="9"/>
        <v>0</v>
      </c>
      <c r="W19" s="78">
        <f t="shared" si="10"/>
        <v>2131.3</v>
      </c>
      <c r="X19" s="78"/>
      <c r="Y19" s="78"/>
    </row>
    <row r="20">
      <c r="A20" s="8">
        <v>21.0</v>
      </c>
      <c r="B20" s="8">
        <v>24.0</v>
      </c>
      <c r="C20" s="101" t="s">
        <v>130</v>
      </c>
      <c r="D20" s="8" t="s">
        <v>62</v>
      </c>
      <c r="E20" s="98">
        <v>45508.0</v>
      </c>
      <c r="F20" s="8" t="s">
        <v>28</v>
      </c>
      <c r="G20" s="8" t="s">
        <v>131</v>
      </c>
      <c r="H20" s="8">
        <v>500000.0</v>
      </c>
      <c r="I20" s="8">
        <v>2000000.0</v>
      </c>
      <c r="J20" s="99" t="s">
        <v>133</v>
      </c>
      <c r="K20" s="78"/>
      <c r="L20" s="8" t="str">
        <f t="shared" si="1"/>
        <v>05.08.2024</v>
      </c>
      <c r="M20" s="8" t="str">
        <f t="shared" si="2"/>
        <v>05.05.2025</v>
      </c>
      <c r="N20" s="8">
        <f t="shared" si="3"/>
        <v>39</v>
      </c>
      <c r="O20" s="79">
        <v>3.0</v>
      </c>
      <c r="P20" s="79">
        <v>2.0</v>
      </c>
      <c r="Q20" s="78">
        <f t="shared" si="4"/>
        <v>234</v>
      </c>
      <c r="R20" s="100">
        <f t="shared" si="5"/>
        <v>273</v>
      </c>
      <c r="S20" s="78">
        <f t="shared" si="6"/>
        <v>39</v>
      </c>
      <c r="T20" s="78">
        <f t="shared" si="7"/>
        <v>234</v>
      </c>
      <c r="U20" s="78">
        <f t="shared" si="8"/>
        <v>0</v>
      </c>
      <c r="V20" s="78">
        <f t="shared" si="9"/>
        <v>0</v>
      </c>
      <c r="W20" s="78">
        <f t="shared" si="10"/>
        <v>2136.8</v>
      </c>
      <c r="X20" s="78"/>
      <c r="Y20" s="78"/>
    </row>
    <row r="21">
      <c r="A21" s="8">
        <v>22.0</v>
      </c>
      <c r="B21" s="8">
        <v>25.0</v>
      </c>
      <c r="C21" s="101" t="s">
        <v>136</v>
      </c>
      <c r="D21" s="8" t="s">
        <v>62</v>
      </c>
      <c r="E21" s="98">
        <v>45508.0</v>
      </c>
      <c r="F21" s="8" t="s">
        <v>28</v>
      </c>
      <c r="G21" s="8" t="s">
        <v>131</v>
      </c>
      <c r="H21" s="8">
        <v>500000.0</v>
      </c>
      <c r="I21" s="8">
        <v>2000000.0</v>
      </c>
      <c r="J21" s="99" t="s">
        <v>137</v>
      </c>
      <c r="K21" s="78"/>
      <c r="L21" s="8" t="str">
        <f t="shared" si="1"/>
        <v>05.08.2024</v>
      </c>
      <c r="M21" s="8" t="str">
        <f t="shared" si="2"/>
        <v>05.05.2025</v>
      </c>
      <c r="N21" s="8">
        <f t="shared" si="3"/>
        <v>39</v>
      </c>
      <c r="O21" s="79">
        <v>3.0</v>
      </c>
      <c r="P21" s="79">
        <v>2.0</v>
      </c>
      <c r="Q21" s="78">
        <f t="shared" si="4"/>
        <v>234</v>
      </c>
      <c r="R21" s="100">
        <f t="shared" si="5"/>
        <v>273</v>
      </c>
      <c r="S21" s="78">
        <f t="shared" si="6"/>
        <v>39</v>
      </c>
      <c r="T21" s="78">
        <f t="shared" si="7"/>
        <v>234</v>
      </c>
      <c r="U21" s="78">
        <f t="shared" si="8"/>
        <v>0</v>
      </c>
      <c r="V21" s="78">
        <f t="shared" si="9"/>
        <v>0</v>
      </c>
      <c r="W21" s="78">
        <f t="shared" si="10"/>
        <v>2136.8</v>
      </c>
      <c r="X21" s="78"/>
      <c r="Y21" s="78"/>
    </row>
    <row r="22">
      <c r="A22" s="8">
        <v>23.0</v>
      </c>
      <c r="B22" s="8">
        <v>25.0</v>
      </c>
      <c r="C22" s="105" t="s">
        <v>139</v>
      </c>
      <c r="D22" s="8" t="s">
        <v>27</v>
      </c>
      <c r="E22" s="98">
        <v>45489.0</v>
      </c>
      <c r="F22" s="8" t="s">
        <v>28</v>
      </c>
      <c r="G22" s="8" t="s">
        <v>140</v>
      </c>
      <c r="H22" s="8">
        <v>400000.0</v>
      </c>
      <c r="I22" s="8" t="s">
        <v>30</v>
      </c>
      <c r="J22" s="99" t="s">
        <v>142</v>
      </c>
      <c r="K22" s="78"/>
      <c r="L22" s="8" t="str">
        <f t="shared" si="1"/>
        <v>17.07.2024</v>
      </c>
      <c r="M22" s="8" t="str">
        <f t="shared" si="2"/>
        <v>17.03.2025</v>
      </c>
      <c r="N22" s="8">
        <f t="shared" si="3"/>
        <v>34.7</v>
      </c>
      <c r="O22" s="79">
        <v>3.0</v>
      </c>
      <c r="P22" s="79">
        <v>2.0</v>
      </c>
      <c r="Q22" s="78">
        <f t="shared" si="4"/>
        <v>208.2</v>
      </c>
      <c r="R22" s="100">
        <f t="shared" si="5"/>
        <v>243</v>
      </c>
      <c r="S22" s="78">
        <f t="shared" si="6"/>
        <v>34.7</v>
      </c>
      <c r="T22" s="78">
        <f t="shared" si="7"/>
        <v>208.2</v>
      </c>
      <c r="U22" s="78">
        <f t="shared" si="8"/>
        <v>0</v>
      </c>
      <c r="V22" s="78">
        <f t="shared" si="9"/>
        <v>0</v>
      </c>
      <c r="W22" s="78">
        <f t="shared" si="10"/>
        <v>1921.2</v>
      </c>
      <c r="X22" s="78"/>
      <c r="Y22" s="78"/>
    </row>
    <row r="23">
      <c r="A23" s="8">
        <v>24.0</v>
      </c>
      <c r="B23" s="8">
        <v>13.0</v>
      </c>
      <c r="C23" s="8" t="s">
        <v>144</v>
      </c>
      <c r="D23" s="8" t="s">
        <v>27</v>
      </c>
      <c r="E23" s="98">
        <v>45483.0</v>
      </c>
      <c r="F23" s="8" t="s">
        <v>28</v>
      </c>
      <c r="G23" s="8" t="s">
        <v>95</v>
      </c>
      <c r="H23" s="8">
        <v>400000.0</v>
      </c>
      <c r="I23" s="8">
        <v>1600000.0</v>
      </c>
      <c r="J23" s="99" t="s">
        <v>145</v>
      </c>
      <c r="K23" s="78"/>
      <c r="L23" s="8" t="str">
        <f t="shared" si="1"/>
        <v>10.07.2024</v>
      </c>
      <c r="M23" s="8" t="str">
        <f t="shared" si="2"/>
        <v>10.04.2025</v>
      </c>
      <c r="N23" s="8">
        <f t="shared" si="3"/>
        <v>39.1</v>
      </c>
      <c r="O23" s="79">
        <v>3.0</v>
      </c>
      <c r="P23" s="79">
        <v>2.0</v>
      </c>
      <c r="Q23" s="78">
        <f t="shared" si="4"/>
        <v>234.6</v>
      </c>
      <c r="R23" s="100">
        <f t="shared" si="5"/>
        <v>274</v>
      </c>
      <c r="S23" s="78">
        <f t="shared" si="6"/>
        <v>39.1</v>
      </c>
      <c r="T23" s="78">
        <f t="shared" si="7"/>
        <v>234.6</v>
      </c>
      <c r="U23" s="78">
        <f t="shared" si="8"/>
        <v>0</v>
      </c>
      <c r="V23" s="78">
        <f t="shared" si="9"/>
        <v>0</v>
      </c>
      <c r="W23" s="78">
        <f t="shared" si="10"/>
        <v>1705</v>
      </c>
      <c r="X23" s="78"/>
      <c r="Y23" s="78"/>
    </row>
    <row r="24" ht="16.5" customHeight="1">
      <c r="A24" s="8">
        <v>25.0</v>
      </c>
      <c r="B24" s="8">
        <v>10.0</v>
      </c>
      <c r="C24" s="101" t="s">
        <v>147</v>
      </c>
      <c r="D24" s="8" t="s">
        <v>58</v>
      </c>
      <c r="E24" s="98">
        <v>45517.0</v>
      </c>
      <c r="F24" s="8" t="s">
        <v>28</v>
      </c>
      <c r="G24" s="8" t="s">
        <v>148</v>
      </c>
      <c r="H24" s="8">
        <v>1000000.0</v>
      </c>
      <c r="I24" s="8">
        <v>3000000.0</v>
      </c>
      <c r="J24" s="99" t="s">
        <v>149</v>
      </c>
      <c r="K24" s="78"/>
      <c r="L24" s="8" t="str">
        <f t="shared" si="1"/>
        <v>14.08.2024</v>
      </c>
      <c r="M24" s="8" t="str">
        <f t="shared" si="2"/>
        <v>01.02.2026</v>
      </c>
      <c r="N24" s="8">
        <f t="shared" si="3"/>
        <v>76.6</v>
      </c>
      <c r="O24" s="79">
        <v>3.0</v>
      </c>
      <c r="P24" s="79">
        <v>2.0</v>
      </c>
      <c r="Q24" s="78">
        <f t="shared" si="4"/>
        <v>459.6</v>
      </c>
      <c r="R24" s="100">
        <f t="shared" si="5"/>
        <v>536</v>
      </c>
      <c r="S24" s="78">
        <f t="shared" si="6"/>
        <v>76.6</v>
      </c>
      <c r="T24" s="78">
        <f t="shared" si="7"/>
        <v>459.4</v>
      </c>
      <c r="U24" s="78">
        <f t="shared" si="8"/>
        <v>0.2</v>
      </c>
      <c r="V24" s="78">
        <f t="shared" si="9"/>
        <v>435.2</v>
      </c>
      <c r="W24" s="78">
        <f t="shared" si="10"/>
        <v>2175.8</v>
      </c>
      <c r="X24" s="78"/>
      <c r="Y24" s="78"/>
    </row>
    <row r="25">
      <c r="A25" s="8">
        <v>26.0</v>
      </c>
      <c r="B25" s="8">
        <v>27.0</v>
      </c>
      <c r="C25" s="8" t="s">
        <v>151</v>
      </c>
      <c r="D25" s="8" t="s">
        <v>62</v>
      </c>
      <c r="E25" s="98">
        <v>45523.0</v>
      </c>
      <c r="F25" s="8" t="s">
        <v>28</v>
      </c>
      <c r="G25" s="8" t="s">
        <v>152</v>
      </c>
      <c r="H25" s="8">
        <v>500000.0</v>
      </c>
      <c r="I25" s="8">
        <v>2000000.0</v>
      </c>
      <c r="J25" s="99" t="s">
        <v>153</v>
      </c>
      <c r="K25" s="78"/>
      <c r="L25" s="8" t="str">
        <f t="shared" si="1"/>
        <v>09.09.2024</v>
      </c>
      <c r="M25" s="8" t="str">
        <f t="shared" si="2"/>
        <v>09.05.2025</v>
      </c>
      <c r="N25" s="8">
        <f t="shared" si="3"/>
        <v>34.6</v>
      </c>
      <c r="O25" s="79">
        <v>3.0</v>
      </c>
      <c r="P25" s="79">
        <v>2.0</v>
      </c>
      <c r="Q25" s="78">
        <f t="shared" si="4"/>
        <v>207.6</v>
      </c>
      <c r="R25" s="100">
        <f t="shared" si="5"/>
        <v>242</v>
      </c>
      <c r="S25" s="78">
        <f t="shared" si="6"/>
        <v>34.6</v>
      </c>
      <c r="T25" s="78">
        <f t="shared" si="7"/>
        <v>207.4</v>
      </c>
      <c r="U25" s="78">
        <f t="shared" si="8"/>
        <v>0.2</v>
      </c>
      <c r="V25" s="78">
        <f t="shared" si="9"/>
        <v>481.7</v>
      </c>
      <c r="W25" s="78">
        <f t="shared" si="10"/>
        <v>2408.5</v>
      </c>
      <c r="X25" s="78"/>
      <c r="Y25" s="78"/>
    </row>
    <row r="26">
      <c r="A26" s="8">
        <v>27.0</v>
      </c>
      <c r="B26" s="8">
        <v>28.0</v>
      </c>
      <c r="C26" s="8" t="s">
        <v>155</v>
      </c>
      <c r="D26" s="8" t="s">
        <v>62</v>
      </c>
      <c r="E26" s="98">
        <v>45525.0</v>
      </c>
      <c r="F26" s="8" t="s">
        <v>28</v>
      </c>
      <c r="G26" s="8" t="s">
        <v>156</v>
      </c>
      <c r="H26" s="8">
        <v>300000.0</v>
      </c>
      <c r="I26" s="8">
        <v>1200000.0</v>
      </c>
      <c r="J26" s="99" t="s">
        <v>157</v>
      </c>
      <c r="K26" s="78"/>
      <c r="L26" s="8" t="str">
        <f t="shared" si="1"/>
        <v>26.08.2024</v>
      </c>
      <c r="M26" s="8" t="str">
        <f t="shared" si="2"/>
        <v>26.10.2025</v>
      </c>
      <c r="N26" s="8">
        <f t="shared" si="3"/>
        <v>60.9</v>
      </c>
      <c r="O26" s="79">
        <v>3.0</v>
      </c>
      <c r="P26" s="79">
        <v>2.0</v>
      </c>
      <c r="Q26" s="78">
        <f t="shared" si="4"/>
        <v>365.4</v>
      </c>
      <c r="R26" s="100">
        <f t="shared" si="5"/>
        <v>426</v>
      </c>
      <c r="S26" s="78">
        <f t="shared" si="6"/>
        <v>60.9</v>
      </c>
      <c r="T26" s="78">
        <f t="shared" si="7"/>
        <v>365.1</v>
      </c>
      <c r="U26" s="78">
        <f t="shared" si="8"/>
        <v>0.3</v>
      </c>
      <c r="V26" s="78">
        <f t="shared" si="9"/>
        <v>246.3</v>
      </c>
      <c r="W26" s="78">
        <f t="shared" si="10"/>
        <v>821</v>
      </c>
      <c r="X26" s="78"/>
      <c r="Y26" s="78"/>
    </row>
    <row r="27">
      <c r="A27" s="8">
        <v>28.0</v>
      </c>
      <c r="B27" s="8">
        <v>29.0</v>
      </c>
      <c r="C27" s="101" t="s">
        <v>159</v>
      </c>
      <c r="D27" s="8" t="s">
        <v>62</v>
      </c>
      <c r="E27" s="98">
        <v>45525.0</v>
      </c>
      <c r="F27" s="8" t="s">
        <v>28</v>
      </c>
      <c r="G27" s="8" t="s">
        <v>160</v>
      </c>
      <c r="H27" s="8">
        <v>400000.0</v>
      </c>
      <c r="I27" s="8">
        <v>1500000.0</v>
      </c>
      <c r="J27" s="99" t="s">
        <v>161</v>
      </c>
      <c r="K27" s="78"/>
      <c r="L27" s="8" t="str">
        <f t="shared" si="1"/>
        <v>23.08.2024</v>
      </c>
      <c r="M27" s="8" t="str">
        <f t="shared" si="2"/>
        <v>23.12.2024</v>
      </c>
      <c r="N27" s="8">
        <f t="shared" si="3"/>
        <v>17.4</v>
      </c>
      <c r="O27" s="79">
        <v>3.0</v>
      </c>
      <c r="P27" s="79">
        <v>2.0</v>
      </c>
      <c r="Q27" s="78">
        <f t="shared" si="4"/>
        <v>104.4</v>
      </c>
      <c r="R27" s="100">
        <f t="shared" si="5"/>
        <v>122</v>
      </c>
      <c r="S27" s="78">
        <f t="shared" si="6"/>
        <v>17.4</v>
      </c>
      <c r="T27" s="78">
        <f t="shared" si="7"/>
        <v>104.4</v>
      </c>
      <c r="U27" s="78">
        <f t="shared" si="8"/>
        <v>0</v>
      </c>
      <c r="V27" s="78">
        <f t="shared" si="9"/>
        <v>0</v>
      </c>
      <c r="W27" s="78">
        <f t="shared" si="10"/>
        <v>3831.4</v>
      </c>
      <c r="X27" s="78"/>
      <c r="Y27" s="78"/>
    </row>
    <row r="28">
      <c r="A28" s="10">
        <v>29.0</v>
      </c>
      <c r="B28" s="10">
        <v>30.0</v>
      </c>
      <c r="C28" s="10" t="s">
        <v>163</v>
      </c>
      <c r="D28" s="10" t="s">
        <v>62</v>
      </c>
      <c r="E28" s="18">
        <v>45531.0</v>
      </c>
      <c r="F28" s="10" t="s">
        <v>28</v>
      </c>
      <c r="G28" s="10" t="s">
        <v>873</v>
      </c>
      <c r="H28" s="10">
        <v>500000.0</v>
      </c>
      <c r="I28" s="10">
        <v>2000000.0</v>
      </c>
      <c r="J28" s="19" t="s">
        <v>166</v>
      </c>
      <c r="K28" s="21"/>
      <c r="L28" s="7" t="str">
        <f t="shared" si="1"/>
        <v>27.08.2024</v>
      </c>
      <c r="M28" s="7" t="str">
        <f t="shared" si="2"/>
        <v>27.03.2025</v>
      </c>
      <c r="N28" s="7">
        <f t="shared" si="3"/>
        <v>30.3</v>
      </c>
      <c r="O28" s="14">
        <v>3.0</v>
      </c>
      <c r="P28" s="14">
        <v>2.0</v>
      </c>
      <c r="Q28" s="13">
        <f t="shared" si="4"/>
        <v>181.8</v>
      </c>
      <c r="R28" s="15">
        <f t="shared" si="5"/>
        <v>212</v>
      </c>
      <c r="S28" s="13">
        <f t="shared" si="6"/>
        <v>30.3</v>
      </c>
      <c r="T28" s="13">
        <f t="shared" si="7"/>
        <v>181.7</v>
      </c>
      <c r="U28" s="13">
        <f t="shared" si="8"/>
        <v>0.1</v>
      </c>
      <c r="V28" s="13">
        <f t="shared" si="9"/>
        <v>275</v>
      </c>
      <c r="W28" s="13">
        <f t="shared" si="10"/>
        <v>2750.3</v>
      </c>
      <c r="X28" s="13"/>
      <c r="Y28" s="13"/>
    </row>
    <row r="29">
      <c r="A29" s="8">
        <v>30.0</v>
      </c>
      <c r="B29" s="8">
        <v>33.0</v>
      </c>
      <c r="C29" s="106" t="s">
        <v>170</v>
      </c>
      <c r="D29" s="8" t="s">
        <v>62</v>
      </c>
      <c r="E29" s="98">
        <v>45540.0</v>
      </c>
      <c r="F29" s="8" t="s">
        <v>28</v>
      </c>
      <c r="G29" s="8" t="s">
        <v>874</v>
      </c>
      <c r="H29" s="8">
        <v>350000.0</v>
      </c>
      <c r="I29" s="8">
        <v>1500000.0</v>
      </c>
      <c r="J29" s="99" t="s">
        <v>172</v>
      </c>
      <c r="K29" s="78"/>
      <c r="L29" s="8" t="str">
        <f t="shared" si="1"/>
        <v>06.09.2024</v>
      </c>
      <c r="M29" s="8" t="str">
        <f t="shared" si="2"/>
        <v>06.06.2025</v>
      </c>
      <c r="N29" s="8">
        <f t="shared" si="3"/>
        <v>39</v>
      </c>
      <c r="O29" s="79">
        <v>3.0</v>
      </c>
      <c r="P29" s="79">
        <v>2.0</v>
      </c>
      <c r="Q29" s="78">
        <f t="shared" si="4"/>
        <v>234</v>
      </c>
      <c r="R29" s="100">
        <f t="shared" si="5"/>
        <v>273</v>
      </c>
      <c r="S29" s="78">
        <f t="shared" si="6"/>
        <v>39</v>
      </c>
      <c r="T29" s="78">
        <f t="shared" si="7"/>
        <v>234</v>
      </c>
      <c r="U29" s="78">
        <f t="shared" si="8"/>
        <v>0</v>
      </c>
      <c r="V29" s="78">
        <f t="shared" si="9"/>
        <v>0</v>
      </c>
      <c r="W29" s="78">
        <f t="shared" si="10"/>
        <v>1495.7</v>
      </c>
      <c r="X29" s="78"/>
      <c r="Y29" s="78"/>
    </row>
    <row r="30">
      <c r="A30" s="8">
        <v>31.0</v>
      </c>
      <c r="B30" s="8">
        <v>55.0</v>
      </c>
      <c r="C30" s="101" t="s">
        <v>173</v>
      </c>
      <c r="D30" s="8" t="s">
        <v>62</v>
      </c>
      <c r="E30" s="98">
        <v>45573.0</v>
      </c>
      <c r="F30" s="8" t="s">
        <v>28</v>
      </c>
      <c r="G30" s="8" t="s">
        <v>875</v>
      </c>
      <c r="H30" s="8">
        <v>400000.0</v>
      </c>
      <c r="I30" s="8">
        <v>1700000.0</v>
      </c>
      <c r="J30" s="99" t="s">
        <v>176</v>
      </c>
      <c r="K30" s="78"/>
      <c r="L30" s="8" t="str">
        <f t="shared" si="1"/>
        <v>01.09.2024</v>
      </c>
      <c r="M30" s="8" t="str">
        <f t="shared" si="2"/>
        <v>01.06.2025</v>
      </c>
      <c r="N30" s="8">
        <f t="shared" si="3"/>
        <v>39</v>
      </c>
      <c r="O30" s="79">
        <v>3.0</v>
      </c>
      <c r="P30" s="79">
        <v>2.0</v>
      </c>
      <c r="Q30" s="78">
        <f t="shared" si="4"/>
        <v>234</v>
      </c>
      <c r="R30" s="100">
        <f t="shared" si="5"/>
        <v>273</v>
      </c>
      <c r="S30" s="78">
        <f t="shared" si="6"/>
        <v>39</v>
      </c>
      <c r="T30" s="78">
        <f t="shared" si="7"/>
        <v>234</v>
      </c>
      <c r="U30" s="78">
        <f t="shared" si="8"/>
        <v>0</v>
      </c>
      <c r="V30" s="78">
        <f t="shared" si="9"/>
        <v>0</v>
      </c>
      <c r="W30" s="78">
        <f t="shared" si="10"/>
        <v>1709.4</v>
      </c>
      <c r="X30" s="78"/>
      <c r="Y30" s="78"/>
    </row>
    <row r="31">
      <c r="A31" s="10">
        <v>32.0</v>
      </c>
      <c r="B31" s="10">
        <v>31.0</v>
      </c>
      <c r="C31" s="22" t="s">
        <v>178</v>
      </c>
      <c r="D31" s="10" t="s">
        <v>58</v>
      </c>
      <c r="E31" s="18">
        <v>45538.0</v>
      </c>
      <c r="F31" s="10" t="s">
        <v>28</v>
      </c>
      <c r="G31" s="10" t="s">
        <v>114</v>
      </c>
      <c r="H31" s="10">
        <v>500000.0</v>
      </c>
      <c r="I31" s="10">
        <v>450000.0</v>
      </c>
      <c r="J31" s="19" t="s">
        <v>182</v>
      </c>
      <c r="K31" s="21"/>
      <c r="L31" s="7" t="str">
        <f t="shared" si="1"/>
        <v>02.09.2024</v>
      </c>
      <c r="M31" s="7" t="str">
        <f t="shared" si="2"/>
        <v>02.05.2025</v>
      </c>
      <c r="N31" s="7">
        <f t="shared" si="3"/>
        <v>34.6</v>
      </c>
      <c r="O31" s="14">
        <v>3.0</v>
      </c>
      <c r="P31" s="14">
        <v>2.0</v>
      </c>
      <c r="Q31" s="13">
        <f t="shared" si="4"/>
        <v>207.6</v>
      </c>
      <c r="R31" s="15">
        <f t="shared" si="5"/>
        <v>242</v>
      </c>
      <c r="S31" s="13">
        <f t="shared" si="6"/>
        <v>34.6</v>
      </c>
      <c r="T31" s="13">
        <f t="shared" si="7"/>
        <v>207.4</v>
      </c>
      <c r="U31" s="13">
        <f t="shared" si="8"/>
        <v>0.2</v>
      </c>
      <c r="V31" s="13">
        <f t="shared" si="9"/>
        <v>481.7</v>
      </c>
      <c r="W31" s="13">
        <f t="shared" si="10"/>
        <v>2408.5</v>
      </c>
      <c r="X31" s="13"/>
      <c r="Y31" s="13"/>
    </row>
    <row r="32">
      <c r="A32" s="8">
        <v>34.0</v>
      </c>
      <c r="B32" s="8" t="s">
        <v>30</v>
      </c>
      <c r="C32" s="8" t="s">
        <v>187</v>
      </c>
      <c r="D32" s="8" t="s">
        <v>27</v>
      </c>
      <c r="E32" s="98">
        <v>45540.0</v>
      </c>
      <c r="F32" s="8" t="s">
        <v>28</v>
      </c>
      <c r="G32" s="8" t="s">
        <v>188</v>
      </c>
      <c r="H32" s="8">
        <v>400000.0</v>
      </c>
      <c r="I32" s="23"/>
      <c r="J32" s="107" t="s">
        <v>191</v>
      </c>
      <c r="K32" s="78"/>
      <c r="L32" s="8" t="str">
        <f t="shared" si="1"/>
        <v>05.09.2024</v>
      </c>
      <c r="M32" s="8" t="str">
        <f t="shared" si="2"/>
        <v>05.05.2025</v>
      </c>
      <c r="N32" s="8">
        <f t="shared" si="3"/>
        <v>34.6</v>
      </c>
      <c r="O32" s="79">
        <v>3.0</v>
      </c>
      <c r="P32" s="79">
        <v>2.0</v>
      </c>
      <c r="Q32" s="78">
        <f t="shared" si="4"/>
        <v>207.6</v>
      </c>
      <c r="R32" s="100">
        <f t="shared" si="5"/>
        <v>242</v>
      </c>
      <c r="S32" s="78">
        <f t="shared" si="6"/>
        <v>34.6</v>
      </c>
      <c r="T32" s="78">
        <f t="shared" si="7"/>
        <v>207.4</v>
      </c>
      <c r="U32" s="78">
        <f t="shared" si="8"/>
        <v>0.2</v>
      </c>
      <c r="V32" s="78">
        <f t="shared" si="9"/>
        <v>385.4</v>
      </c>
      <c r="W32" s="78">
        <f t="shared" si="10"/>
        <v>1926.8</v>
      </c>
      <c r="X32" s="78"/>
      <c r="Y32" s="78"/>
    </row>
    <row r="33">
      <c r="A33" s="8">
        <v>35.0</v>
      </c>
      <c r="B33" s="8">
        <v>33.0</v>
      </c>
      <c r="C33" s="8" t="s">
        <v>193</v>
      </c>
      <c r="D33" s="8" t="s">
        <v>58</v>
      </c>
      <c r="E33" s="98">
        <v>45541.0</v>
      </c>
      <c r="F33" s="8" t="s">
        <v>28</v>
      </c>
      <c r="G33" s="8" t="s">
        <v>194</v>
      </c>
      <c r="H33" s="8">
        <v>500000.0</v>
      </c>
      <c r="I33" s="8">
        <v>2000000.0</v>
      </c>
      <c r="J33" s="99" t="s">
        <v>195</v>
      </c>
      <c r="K33" s="78"/>
      <c r="L33" s="8" t="str">
        <f t="shared" si="1"/>
        <v>09.09.2024</v>
      </c>
      <c r="M33" s="8" t="str">
        <f t="shared" si="2"/>
        <v>09.06.2025</v>
      </c>
      <c r="N33" s="8">
        <f t="shared" si="3"/>
        <v>39</v>
      </c>
      <c r="O33" s="79">
        <v>3.0</v>
      </c>
      <c r="P33" s="79">
        <v>2.0</v>
      </c>
      <c r="Q33" s="78">
        <f t="shared" si="4"/>
        <v>234</v>
      </c>
      <c r="R33" s="100">
        <f t="shared" si="5"/>
        <v>273</v>
      </c>
      <c r="S33" s="78">
        <f t="shared" si="6"/>
        <v>39</v>
      </c>
      <c r="T33" s="78">
        <f t="shared" si="7"/>
        <v>234</v>
      </c>
      <c r="U33" s="78">
        <f t="shared" si="8"/>
        <v>0</v>
      </c>
      <c r="V33" s="78">
        <f t="shared" si="9"/>
        <v>0</v>
      </c>
      <c r="W33" s="78">
        <f t="shared" si="10"/>
        <v>2136.8</v>
      </c>
      <c r="X33" s="78"/>
      <c r="Y33" s="78"/>
    </row>
    <row r="34">
      <c r="A34" s="8">
        <v>36.0</v>
      </c>
      <c r="B34" s="8">
        <v>35.0</v>
      </c>
      <c r="C34" s="8" t="s">
        <v>197</v>
      </c>
      <c r="D34" s="8" t="s">
        <v>62</v>
      </c>
      <c r="E34" s="98">
        <v>45545.0</v>
      </c>
      <c r="F34" s="8" t="s">
        <v>28</v>
      </c>
      <c r="G34" s="8" t="s">
        <v>198</v>
      </c>
      <c r="H34" s="8">
        <v>500000.0</v>
      </c>
      <c r="I34" s="8">
        <v>2000000.0</v>
      </c>
      <c r="J34" s="99" t="s">
        <v>200</v>
      </c>
      <c r="K34" s="78"/>
      <c r="L34" s="8" t="str">
        <f t="shared" si="1"/>
        <v>11.09.2024</v>
      </c>
      <c r="M34" s="8" t="str">
        <f t="shared" si="2"/>
        <v>11.06.2025</v>
      </c>
      <c r="N34" s="8">
        <f t="shared" si="3"/>
        <v>39</v>
      </c>
      <c r="O34" s="79">
        <v>3.0</v>
      </c>
      <c r="P34" s="79">
        <v>2.0</v>
      </c>
      <c r="Q34" s="78">
        <f t="shared" si="4"/>
        <v>234</v>
      </c>
      <c r="R34" s="100">
        <f t="shared" si="5"/>
        <v>273</v>
      </c>
      <c r="S34" s="78">
        <f t="shared" si="6"/>
        <v>39</v>
      </c>
      <c r="T34" s="78">
        <f t="shared" si="7"/>
        <v>234</v>
      </c>
      <c r="U34" s="78">
        <f t="shared" si="8"/>
        <v>0</v>
      </c>
      <c r="V34" s="78">
        <f t="shared" si="9"/>
        <v>0</v>
      </c>
      <c r="W34" s="78">
        <f t="shared" si="10"/>
        <v>2136.8</v>
      </c>
      <c r="X34" s="78"/>
      <c r="Y34" s="78"/>
    </row>
    <row r="35">
      <c r="A35" s="8">
        <v>37.0</v>
      </c>
      <c r="B35" s="8">
        <v>36.0</v>
      </c>
      <c r="C35" s="8" t="s">
        <v>202</v>
      </c>
      <c r="D35" s="8" t="s">
        <v>62</v>
      </c>
      <c r="E35" s="98">
        <v>45545.0</v>
      </c>
      <c r="F35" s="8" t="s">
        <v>28</v>
      </c>
      <c r="G35" s="8" t="s">
        <v>198</v>
      </c>
      <c r="H35" s="8">
        <v>500000.0</v>
      </c>
      <c r="I35" s="8">
        <v>2000000.0</v>
      </c>
      <c r="J35" s="99" t="s">
        <v>203</v>
      </c>
      <c r="K35" s="78"/>
      <c r="L35" s="8" t="str">
        <f t="shared" si="1"/>
        <v>11.09.2024</v>
      </c>
      <c r="M35" s="8" t="str">
        <f t="shared" si="2"/>
        <v>11.06.2025</v>
      </c>
      <c r="N35" s="8">
        <f t="shared" si="3"/>
        <v>39</v>
      </c>
      <c r="O35" s="79">
        <v>3.0</v>
      </c>
      <c r="P35" s="79">
        <v>2.0</v>
      </c>
      <c r="Q35" s="78">
        <f t="shared" si="4"/>
        <v>234</v>
      </c>
      <c r="R35" s="100">
        <f t="shared" si="5"/>
        <v>273</v>
      </c>
      <c r="S35" s="78">
        <f t="shared" si="6"/>
        <v>39</v>
      </c>
      <c r="T35" s="78">
        <f t="shared" si="7"/>
        <v>234</v>
      </c>
      <c r="U35" s="78">
        <f t="shared" si="8"/>
        <v>0</v>
      </c>
      <c r="V35" s="78">
        <f t="shared" si="9"/>
        <v>0</v>
      </c>
      <c r="W35" s="78">
        <f t="shared" si="10"/>
        <v>2136.8</v>
      </c>
      <c r="X35" s="78"/>
      <c r="Y35" s="78"/>
    </row>
    <row r="36">
      <c r="A36" s="8">
        <v>38.0</v>
      </c>
      <c r="B36" s="8">
        <v>68.0</v>
      </c>
      <c r="C36" s="8" t="s">
        <v>205</v>
      </c>
      <c r="D36" s="8" t="s">
        <v>27</v>
      </c>
      <c r="E36" s="98">
        <v>45551.0</v>
      </c>
      <c r="F36" s="8" t="s">
        <v>28</v>
      </c>
      <c r="G36" s="8" t="s">
        <v>206</v>
      </c>
      <c r="H36" s="8">
        <v>300000.0</v>
      </c>
      <c r="I36" s="8">
        <v>1400000.0</v>
      </c>
      <c r="J36" s="99" t="s">
        <v>207</v>
      </c>
      <c r="K36" s="78"/>
      <c r="L36" s="8" t="str">
        <f t="shared" si="1"/>
        <v>17.09.2024</v>
      </c>
      <c r="M36" s="8" t="str">
        <f t="shared" si="2"/>
        <v>17.06.2025</v>
      </c>
      <c r="N36" s="8">
        <f t="shared" si="3"/>
        <v>39</v>
      </c>
      <c r="O36" s="79">
        <v>3.0</v>
      </c>
      <c r="P36" s="79">
        <v>2.0</v>
      </c>
      <c r="Q36" s="78">
        <f t="shared" si="4"/>
        <v>234</v>
      </c>
      <c r="R36" s="100">
        <f t="shared" si="5"/>
        <v>273</v>
      </c>
      <c r="S36" s="78">
        <f t="shared" si="6"/>
        <v>39</v>
      </c>
      <c r="T36" s="78">
        <f t="shared" si="7"/>
        <v>234</v>
      </c>
      <c r="U36" s="78">
        <f t="shared" si="8"/>
        <v>0</v>
      </c>
      <c r="V36" s="78">
        <f t="shared" si="9"/>
        <v>0</v>
      </c>
      <c r="W36" s="78">
        <f t="shared" si="10"/>
        <v>1282.1</v>
      </c>
      <c r="X36" s="78"/>
      <c r="Y36" s="78"/>
    </row>
    <row r="37">
      <c r="A37" s="8">
        <v>39.0</v>
      </c>
      <c r="B37" s="8">
        <v>36.0</v>
      </c>
      <c r="C37" s="8" t="s">
        <v>209</v>
      </c>
      <c r="D37" s="8" t="s">
        <v>27</v>
      </c>
      <c r="E37" s="98">
        <v>45549.0</v>
      </c>
      <c r="F37" s="8" t="s">
        <v>28</v>
      </c>
      <c r="G37" s="8" t="s">
        <v>210</v>
      </c>
      <c r="H37" s="8">
        <v>450000.0</v>
      </c>
      <c r="I37" s="8">
        <v>1900000.0</v>
      </c>
      <c r="J37" s="99" t="s">
        <v>211</v>
      </c>
      <c r="K37" s="78"/>
      <c r="L37" s="8" t="str">
        <f t="shared" si="1"/>
        <v>16.09.2024</v>
      </c>
      <c r="M37" s="8" t="str">
        <f t="shared" si="2"/>
        <v>16.08.2025</v>
      </c>
      <c r="N37" s="8">
        <f t="shared" si="3"/>
        <v>47.7</v>
      </c>
      <c r="O37" s="79">
        <v>3.0</v>
      </c>
      <c r="P37" s="79">
        <v>2.0</v>
      </c>
      <c r="Q37" s="78">
        <f t="shared" si="4"/>
        <v>286.2</v>
      </c>
      <c r="R37" s="100">
        <f t="shared" si="5"/>
        <v>334</v>
      </c>
      <c r="S37" s="78">
        <f t="shared" si="6"/>
        <v>47.7</v>
      </c>
      <c r="T37" s="78">
        <f t="shared" si="7"/>
        <v>286.2</v>
      </c>
      <c r="U37" s="78">
        <f t="shared" si="8"/>
        <v>0</v>
      </c>
      <c r="V37" s="78">
        <f t="shared" si="9"/>
        <v>0</v>
      </c>
      <c r="W37" s="78">
        <f t="shared" si="10"/>
        <v>1572.3</v>
      </c>
      <c r="X37" s="78"/>
      <c r="Y37" s="78"/>
    </row>
    <row r="38">
      <c r="A38" s="8">
        <v>40.0</v>
      </c>
      <c r="B38" s="8">
        <v>38.0</v>
      </c>
      <c r="C38" s="8" t="s">
        <v>214</v>
      </c>
      <c r="D38" s="8" t="s">
        <v>27</v>
      </c>
      <c r="E38" s="98">
        <v>45552.0</v>
      </c>
      <c r="F38" s="8" t="s">
        <v>28</v>
      </c>
      <c r="G38" s="8" t="s">
        <v>215</v>
      </c>
      <c r="H38" s="8">
        <v>300000.0</v>
      </c>
      <c r="I38" s="8">
        <v>1400000.0</v>
      </c>
      <c r="J38" s="107" t="s">
        <v>218</v>
      </c>
      <c r="K38" s="78"/>
      <c r="L38" s="8" t="str">
        <f t="shared" si="1"/>
        <v>17.09.2024</v>
      </c>
      <c r="M38" s="8" t="str">
        <f t="shared" si="2"/>
        <v>30.01.2025</v>
      </c>
      <c r="N38" s="8">
        <f t="shared" si="3"/>
        <v>19.3</v>
      </c>
      <c r="O38" s="79">
        <v>3.0</v>
      </c>
      <c r="P38" s="79">
        <v>2.0</v>
      </c>
      <c r="Q38" s="78">
        <f t="shared" si="4"/>
        <v>115.8</v>
      </c>
      <c r="R38" s="100">
        <f t="shared" si="5"/>
        <v>135</v>
      </c>
      <c r="S38" s="78">
        <f t="shared" si="6"/>
        <v>19.3</v>
      </c>
      <c r="T38" s="78">
        <f t="shared" si="7"/>
        <v>115.7</v>
      </c>
      <c r="U38" s="78">
        <f t="shared" si="8"/>
        <v>0.1</v>
      </c>
      <c r="V38" s="78">
        <f t="shared" si="9"/>
        <v>259.1</v>
      </c>
      <c r="W38" s="78">
        <f t="shared" si="10"/>
        <v>2590.7</v>
      </c>
      <c r="X38" s="78"/>
      <c r="Y38" s="78"/>
    </row>
    <row r="39">
      <c r="A39" s="8">
        <v>41.0</v>
      </c>
      <c r="B39" s="8">
        <v>39.0</v>
      </c>
      <c r="C39" s="8" t="s">
        <v>221</v>
      </c>
      <c r="D39" s="8" t="s">
        <v>58</v>
      </c>
      <c r="E39" s="98">
        <v>45552.0</v>
      </c>
      <c r="F39" s="8" t="s">
        <v>28</v>
      </c>
      <c r="G39" s="8" t="s">
        <v>222</v>
      </c>
      <c r="H39" s="8">
        <v>500000.0</v>
      </c>
      <c r="I39" s="8">
        <v>2000000.0</v>
      </c>
      <c r="J39" s="99" t="s">
        <v>223</v>
      </c>
      <c r="K39" s="78"/>
      <c r="L39" s="8" t="str">
        <f t="shared" si="1"/>
        <v>18.09.2024</v>
      </c>
      <c r="M39" s="8" t="str">
        <f t="shared" si="2"/>
        <v>18.06.2025</v>
      </c>
      <c r="N39" s="8">
        <f t="shared" si="3"/>
        <v>39</v>
      </c>
      <c r="O39" s="79">
        <v>3.0</v>
      </c>
      <c r="P39" s="79">
        <v>2.0</v>
      </c>
      <c r="Q39" s="78">
        <f t="shared" si="4"/>
        <v>234</v>
      </c>
      <c r="R39" s="100">
        <f t="shared" si="5"/>
        <v>273</v>
      </c>
      <c r="S39" s="78">
        <f t="shared" si="6"/>
        <v>39</v>
      </c>
      <c r="T39" s="78">
        <f t="shared" si="7"/>
        <v>234</v>
      </c>
      <c r="U39" s="78">
        <f t="shared" si="8"/>
        <v>0</v>
      </c>
      <c r="V39" s="78">
        <f t="shared" si="9"/>
        <v>0</v>
      </c>
      <c r="W39" s="78">
        <f t="shared" si="10"/>
        <v>2136.8</v>
      </c>
      <c r="X39" s="78"/>
      <c r="Y39" s="78"/>
    </row>
    <row r="40">
      <c r="A40" s="8">
        <v>42.0</v>
      </c>
      <c r="B40" s="8">
        <v>41.0</v>
      </c>
      <c r="C40" s="8" t="s">
        <v>225</v>
      </c>
      <c r="D40" s="8" t="s">
        <v>58</v>
      </c>
      <c r="E40" s="98">
        <v>45556.0</v>
      </c>
      <c r="F40" s="8" t="s">
        <v>28</v>
      </c>
      <c r="G40" s="8" t="s">
        <v>226</v>
      </c>
      <c r="H40" s="8">
        <v>500000.0</v>
      </c>
      <c r="I40" s="8">
        <v>2000000.0</v>
      </c>
      <c r="J40" s="99" t="s">
        <v>228</v>
      </c>
      <c r="K40" s="78"/>
      <c r="L40" s="8" t="str">
        <f t="shared" si="1"/>
        <v>23.09.2024</v>
      </c>
      <c r="M40" s="8" t="str">
        <f t="shared" si="2"/>
        <v>23.06.2025</v>
      </c>
      <c r="N40" s="8">
        <f t="shared" si="3"/>
        <v>39</v>
      </c>
      <c r="O40" s="79">
        <v>3.0</v>
      </c>
      <c r="P40" s="79">
        <v>2.0</v>
      </c>
      <c r="Q40" s="78">
        <f t="shared" si="4"/>
        <v>234</v>
      </c>
      <c r="R40" s="100">
        <f t="shared" si="5"/>
        <v>273</v>
      </c>
      <c r="S40" s="78">
        <f t="shared" si="6"/>
        <v>39</v>
      </c>
      <c r="T40" s="78">
        <f t="shared" si="7"/>
        <v>234</v>
      </c>
      <c r="U40" s="78">
        <f t="shared" si="8"/>
        <v>0</v>
      </c>
      <c r="V40" s="78">
        <f t="shared" si="9"/>
        <v>0</v>
      </c>
      <c r="W40" s="78">
        <f t="shared" si="10"/>
        <v>2136.8</v>
      </c>
      <c r="X40" s="78"/>
      <c r="Y40" s="78"/>
    </row>
    <row r="41">
      <c r="A41" s="8">
        <v>43.0</v>
      </c>
      <c r="B41" s="8" t="s">
        <v>30</v>
      </c>
      <c r="C41" s="8" t="s">
        <v>230</v>
      </c>
      <c r="D41" s="8" t="s">
        <v>58</v>
      </c>
      <c r="E41" s="98">
        <v>45556.0</v>
      </c>
      <c r="F41" s="8" t="s">
        <v>30</v>
      </c>
      <c r="G41" s="8" t="s">
        <v>30</v>
      </c>
      <c r="H41" s="8">
        <v>500000.0</v>
      </c>
      <c r="I41" s="8">
        <v>1450000.0</v>
      </c>
      <c r="J41" s="99" t="s">
        <v>232</v>
      </c>
      <c r="K41" s="78"/>
      <c r="L41" s="8" t="str">
        <f t="shared" si="1"/>
        <v>#VALUE!</v>
      </c>
      <c r="M41" s="8" t="str">
        <f t="shared" si="2"/>
        <v>#VALUE!</v>
      </c>
      <c r="N41" s="8" t="str">
        <f t="shared" si="3"/>
        <v>#VALUE!</v>
      </c>
      <c r="O41" s="79">
        <v>3.0</v>
      </c>
      <c r="P41" s="79">
        <v>2.0</v>
      </c>
      <c r="Q41" s="78" t="str">
        <f t="shared" si="4"/>
        <v>#VALUE!</v>
      </c>
      <c r="R41" s="100" t="str">
        <f t="shared" si="5"/>
        <v>#VALUE!</v>
      </c>
      <c r="S41" s="78" t="str">
        <f t="shared" si="6"/>
        <v>#VALUE!</v>
      </c>
      <c r="T41" s="78" t="str">
        <f t="shared" si="7"/>
        <v>#VALUE!</v>
      </c>
      <c r="U41" s="78" t="str">
        <f t="shared" si="8"/>
        <v>#VALUE!</v>
      </c>
      <c r="V41" s="78" t="str">
        <f t="shared" si="9"/>
        <v>#VALUE!</v>
      </c>
      <c r="W41" s="78" t="str">
        <f t="shared" si="10"/>
        <v>#VALUE!</v>
      </c>
      <c r="X41" s="78"/>
      <c r="Y41" s="78"/>
    </row>
    <row r="42">
      <c r="A42" s="8">
        <v>44.0</v>
      </c>
      <c r="B42" s="8">
        <v>40.0</v>
      </c>
      <c r="C42" s="8" t="s">
        <v>235</v>
      </c>
      <c r="D42" s="8" t="s">
        <v>62</v>
      </c>
      <c r="E42" s="98">
        <v>45556.0</v>
      </c>
      <c r="F42" s="8" t="s">
        <v>28</v>
      </c>
      <c r="G42" s="8" t="s">
        <v>226</v>
      </c>
      <c r="H42" s="8">
        <v>500000.0</v>
      </c>
      <c r="I42" s="8">
        <v>2000000.0</v>
      </c>
      <c r="J42" s="99" t="s">
        <v>237</v>
      </c>
      <c r="K42" s="78"/>
      <c r="L42" s="8" t="str">
        <f t="shared" si="1"/>
        <v>23.09.2024</v>
      </c>
      <c r="M42" s="8" t="str">
        <f t="shared" si="2"/>
        <v>23.06.2025</v>
      </c>
      <c r="N42" s="8">
        <f t="shared" si="3"/>
        <v>39</v>
      </c>
      <c r="O42" s="79">
        <v>3.0</v>
      </c>
      <c r="P42" s="79">
        <v>2.0</v>
      </c>
      <c r="Q42" s="78">
        <f t="shared" si="4"/>
        <v>234</v>
      </c>
      <c r="R42" s="100">
        <f t="shared" si="5"/>
        <v>273</v>
      </c>
      <c r="S42" s="78">
        <f t="shared" si="6"/>
        <v>39</v>
      </c>
      <c r="T42" s="78">
        <f t="shared" si="7"/>
        <v>234</v>
      </c>
      <c r="U42" s="78">
        <f t="shared" si="8"/>
        <v>0</v>
      </c>
      <c r="V42" s="78">
        <f t="shared" si="9"/>
        <v>0</v>
      </c>
      <c r="W42" s="78">
        <f t="shared" si="10"/>
        <v>2136.8</v>
      </c>
      <c r="X42" s="78"/>
      <c r="Y42" s="78"/>
    </row>
    <row r="43">
      <c r="A43" s="8">
        <v>46.0</v>
      </c>
      <c r="B43" s="8">
        <v>44.0</v>
      </c>
      <c r="C43" s="8" t="s">
        <v>245</v>
      </c>
      <c r="D43" s="8" t="s">
        <v>27</v>
      </c>
      <c r="E43" s="98">
        <v>45558.0</v>
      </c>
      <c r="F43" s="8" t="s">
        <v>28</v>
      </c>
      <c r="G43" s="8" t="s">
        <v>246</v>
      </c>
      <c r="H43" s="8">
        <v>500000.0</v>
      </c>
      <c r="I43" s="8">
        <v>2000000.0</v>
      </c>
      <c r="J43" s="99" t="s">
        <v>248</v>
      </c>
      <c r="K43" s="78"/>
      <c r="L43" s="8" t="str">
        <f t="shared" si="1"/>
        <v>24.09.2024</v>
      </c>
      <c r="M43" s="8" t="str">
        <f t="shared" si="2"/>
        <v>24.06.2025</v>
      </c>
      <c r="N43" s="8">
        <f t="shared" si="3"/>
        <v>39</v>
      </c>
      <c r="O43" s="79">
        <v>3.0</v>
      </c>
      <c r="P43" s="79">
        <v>2.0</v>
      </c>
      <c r="Q43" s="78">
        <f t="shared" si="4"/>
        <v>234</v>
      </c>
      <c r="R43" s="100">
        <f t="shared" si="5"/>
        <v>273</v>
      </c>
      <c r="S43" s="78">
        <f t="shared" si="6"/>
        <v>39</v>
      </c>
      <c r="T43" s="78">
        <f t="shared" si="7"/>
        <v>234</v>
      </c>
      <c r="U43" s="78">
        <f t="shared" si="8"/>
        <v>0</v>
      </c>
      <c r="V43" s="78">
        <f t="shared" si="9"/>
        <v>0</v>
      </c>
      <c r="W43" s="78">
        <f t="shared" si="10"/>
        <v>2136.8</v>
      </c>
      <c r="X43" s="78"/>
      <c r="Y43" s="78"/>
    </row>
    <row r="44" ht="15.0" customHeight="1">
      <c r="A44" s="8">
        <v>47.0</v>
      </c>
      <c r="B44" s="8">
        <v>46.0</v>
      </c>
      <c r="C44" s="8" t="s">
        <v>250</v>
      </c>
      <c r="D44" s="8" t="s">
        <v>27</v>
      </c>
      <c r="E44" s="98">
        <v>45558.0</v>
      </c>
      <c r="F44" s="8" t="s">
        <v>28</v>
      </c>
      <c r="G44" s="8" t="s">
        <v>246</v>
      </c>
      <c r="H44" s="8">
        <v>500000.0</v>
      </c>
      <c r="I44" s="8">
        <v>2000000.0</v>
      </c>
      <c r="J44" s="99" t="s">
        <v>252</v>
      </c>
      <c r="K44" s="78"/>
      <c r="L44" s="8" t="str">
        <f t="shared" si="1"/>
        <v>24.09.2024</v>
      </c>
      <c r="M44" s="8" t="str">
        <f t="shared" si="2"/>
        <v>24.06.2025</v>
      </c>
      <c r="N44" s="8">
        <f t="shared" si="3"/>
        <v>39</v>
      </c>
      <c r="O44" s="79">
        <v>3.0</v>
      </c>
      <c r="P44" s="79">
        <v>2.0</v>
      </c>
      <c r="Q44" s="78">
        <f t="shared" si="4"/>
        <v>234</v>
      </c>
      <c r="R44" s="100">
        <f t="shared" si="5"/>
        <v>273</v>
      </c>
      <c r="S44" s="78">
        <f t="shared" si="6"/>
        <v>39</v>
      </c>
      <c r="T44" s="78">
        <f t="shared" si="7"/>
        <v>234</v>
      </c>
      <c r="U44" s="78">
        <f t="shared" si="8"/>
        <v>0</v>
      </c>
      <c r="V44" s="78">
        <f t="shared" si="9"/>
        <v>0</v>
      </c>
      <c r="W44" s="78">
        <f t="shared" si="10"/>
        <v>2136.8</v>
      </c>
      <c r="X44" s="78"/>
      <c r="Y44" s="78"/>
    </row>
    <row r="45">
      <c r="A45" s="8">
        <v>49.0</v>
      </c>
      <c r="B45" s="8">
        <v>48.0</v>
      </c>
      <c r="C45" s="8" t="s">
        <v>262</v>
      </c>
      <c r="D45" s="8" t="s">
        <v>62</v>
      </c>
      <c r="E45" s="98">
        <v>45563.0</v>
      </c>
      <c r="F45" s="8" t="s">
        <v>28</v>
      </c>
      <c r="G45" s="8" t="s">
        <v>263</v>
      </c>
      <c r="H45" s="8">
        <v>500000.0</v>
      </c>
      <c r="I45" s="8">
        <v>2000000.0</v>
      </c>
      <c r="J45" s="99" t="s">
        <v>265</v>
      </c>
      <c r="K45" s="78"/>
      <c r="L45" s="8" t="str">
        <f t="shared" si="1"/>
        <v>30.09.2024</v>
      </c>
      <c r="M45" s="8" t="str">
        <f t="shared" si="2"/>
        <v>30.06.2025</v>
      </c>
      <c r="N45" s="8">
        <f t="shared" si="3"/>
        <v>39</v>
      </c>
      <c r="O45" s="79">
        <v>3.0</v>
      </c>
      <c r="P45" s="79">
        <v>2.0</v>
      </c>
      <c r="Q45" s="78">
        <f t="shared" si="4"/>
        <v>234</v>
      </c>
      <c r="R45" s="100">
        <f t="shared" si="5"/>
        <v>273</v>
      </c>
      <c r="S45" s="78">
        <f t="shared" si="6"/>
        <v>39</v>
      </c>
      <c r="T45" s="78">
        <f t="shared" si="7"/>
        <v>234</v>
      </c>
      <c r="U45" s="78">
        <f t="shared" si="8"/>
        <v>0</v>
      </c>
      <c r="V45" s="78">
        <f t="shared" si="9"/>
        <v>0</v>
      </c>
      <c r="W45" s="78">
        <f t="shared" si="10"/>
        <v>2136.8</v>
      </c>
      <c r="X45" s="78"/>
      <c r="Y45" s="78"/>
    </row>
    <row r="46">
      <c r="A46" s="8">
        <v>50.0</v>
      </c>
      <c r="B46" s="8">
        <v>49.0</v>
      </c>
      <c r="C46" s="101" t="s">
        <v>267</v>
      </c>
      <c r="D46" s="8" t="s">
        <v>58</v>
      </c>
      <c r="E46" s="98">
        <v>45565.0</v>
      </c>
      <c r="F46" s="8" t="s">
        <v>28</v>
      </c>
      <c r="G46" s="8" t="s">
        <v>268</v>
      </c>
      <c r="H46" s="8">
        <v>500000.0</v>
      </c>
      <c r="I46" s="8">
        <v>2000000.0</v>
      </c>
      <c r="J46" s="99" t="s">
        <v>269</v>
      </c>
      <c r="K46" s="78"/>
      <c r="L46" s="8" t="str">
        <f t="shared" si="1"/>
        <v>01.10.2024</v>
      </c>
      <c r="M46" s="8" t="str">
        <f t="shared" si="2"/>
        <v>01.07.2025</v>
      </c>
      <c r="N46" s="8">
        <f t="shared" si="3"/>
        <v>39</v>
      </c>
      <c r="O46" s="79">
        <v>3.0</v>
      </c>
      <c r="P46" s="79">
        <v>2.0</v>
      </c>
      <c r="Q46" s="78">
        <f t="shared" si="4"/>
        <v>234</v>
      </c>
      <c r="R46" s="100">
        <f t="shared" si="5"/>
        <v>273</v>
      </c>
      <c r="S46" s="78">
        <f t="shared" si="6"/>
        <v>39</v>
      </c>
      <c r="T46" s="78">
        <f t="shared" si="7"/>
        <v>234</v>
      </c>
      <c r="U46" s="78">
        <f t="shared" si="8"/>
        <v>0</v>
      </c>
      <c r="V46" s="78">
        <f t="shared" si="9"/>
        <v>0</v>
      </c>
      <c r="W46" s="78">
        <f t="shared" si="10"/>
        <v>2136.8</v>
      </c>
      <c r="X46" s="78"/>
      <c r="Y46" s="78"/>
    </row>
    <row r="47" ht="16.5" customHeight="1">
      <c r="A47" s="10">
        <v>51.0</v>
      </c>
      <c r="B47" s="10">
        <v>50.0</v>
      </c>
      <c r="C47" s="10" t="s">
        <v>271</v>
      </c>
      <c r="D47" s="10" t="s">
        <v>62</v>
      </c>
      <c r="E47" s="18">
        <v>45565.0</v>
      </c>
      <c r="F47" s="10" t="s">
        <v>28</v>
      </c>
      <c r="G47" s="10" t="s">
        <v>263</v>
      </c>
      <c r="H47" s="7">
        <v>500000.0</v>
      </c>
      <c r="I47" s="10">
        <v>2000000.0</v>
      </c>
      <c r="J47" s="19" t="s">
        <v>272</v>
      </c>
      <c r="K47" s="21"/>
      <c r="L47" s="7" t="str">
        <f t="shared" si="1"/>
        <v>30.09.2024</v>
      </c>
      <c r="M47" s="7" t="str">
        <f t="shared" si="2"/>
        <v>30.06.2025</v>
      </c>
      <c r="N47" s="7">
        <f t="shared" si="3"/>
        <v>39</v>
      </c>
      <c r="O47" s="14">
        <v>3.0</v>
      </c>
      <c r="P47" s="14">
        <v>2.0</v>
      </c>
      <c r="Q47" s="13">
        <f t="shared" si="4"/>
        <v>234</v>
      </c>
      <c r="R47" s="15">
        <f t="shared" si="5"/>
        <v>273</v>
      </c>
      <c r="S47" s="13">
        <f t="shared" si="6"/>
        <v>39</v>
      </c>
      <c r="T47" s="13">
        <f t="shared" si="7"/>
        <v>234</v>
      </c>
      <c r="U47" s="13">
        <f t="shared" si="8"/>
        <v>0</v>
      </c>
      <c r="V47" s="13">
        <f t="shared" si="9"/>
        <v>0</v>
      </c>
      <c r="W47" s="13">
        <f t="shared" si="10"/>
        <v>2136.8</v>
      </c>
      <c r="X47" s="13"/>
      <c r="Y47" s="13"/>
    </row>
    <row r="48">
      <c r="A48" s="8">
        <v>50.0</v>
      </c>
      <c r="B48" s="8">
        <v>51.0</v>
      </c>
      <c r="C48" s="8" t="s">
        <v>275</v>
      </c>
      <c r="D48" s="8" t="s">
        <v>27</v>
      </c>
      <c r="E48" s="98">
        <v>45568.0</v>
      </c>
      <c r="F48" s="8" t="s">
        <v>28</v>
      </c>
      <c r="G48" s="8" t="s">
        <v>276</v>
      </c>
      <c r="H48" s="8">
        <v>400000.0</v>
      </c>
      <c r="I48" s="8">
        <v>1800000.0</v>
      </c>
      <c r="J48" s="99" t="s">
        <v>278</v>
      </c>
      <c r="K48" s="78"/>
      <c r="L48" s="8" t="str">
        <f t="shared" si="1"/>
        <v>03.10.2024</v>
      </c>
      <c r="M48" s="8" t="str">
        <f t="shared" si="2"/>
        <v>03.07.2025</v>
      </c>
      <c r="N48" s="8">
        <f t="shared" si="3"/>
        <v>39</v>
      </c>
      <c r="O48" s="79">
        <v>3.0</v>
      </c>
      <c r="P48" s="79">
        <v>2.0</v>
      </c>
      <c r="Q48" s="78">
        <f t="shared" si="4"/>
        <v>234</v>
      </c>
      <c r="R48" s="100">
        <f t="shared" si="5"/>
        <v>273</v>
      </c>
      <c r="S48" s="78">
        <f t="shared" si="6"/>
        <v>39</v>
      </c>
      <c r="T48" s="78">
        <f t="shared" si="7"/>
        <v>234</v>
      </c>
      <c r="U48" s="78">
        <f t="shared" si="8"/>
        <v>0</v>
      </c>
      <c r="V48" s="78">
        <f t="shared" si="9"/>
        <v>0</v>
      </c>
      <c r="W48" s="78">
        <f t="shared" si="10"/>
        <v>1709.4</v>
      </c>
      <c r="X48" s="78"/>
      <c r="Y48" s="78"/>
    </row>
    <row r="49" ht="15.0" customHeight="1">
      <c r="A49" s="10">
        <v>51.0</v>
      </c>
      <c r="B49" s="10">
        <v>52.0</v>
      </c>
      <c r="C49" s="10" t="s">
        <v>280</v>
      </c>
      <c r="D49" s="10" t="s">
        <v>27</v>
      </c>
      <c r="E49" s="18">
        <v>45572.0</v>
      </c>
      <c r="F49" s="10" t="s">
        <v>28</v>
      </c>
      <c r="G49" s="10" t="s">
        <v>281</v>
      </c>
      <c r="H49" s="10">
        <v>350000.0</v>
      </c>
      <c r="I49" s="10">
        <v>1700000.0</v>
      </c>
      <c r="J49" s="30" t="s">
        <v>282</v>
      </c>
      <c r="K49" s="21"/>
      <c r="L49" s="7" t="str">
        <f t="shared" si="1"/>
        <v>07.10.2024 </v>
      </c>
      <c r="M49" s="7" t="str">
        <f t="shared" si="2"/>
        <v> 07.07.2025</v>
      </c>
      <c r="N49" s="7">
        <f t="shared" si="3"/>
        <v>39</v>
      </c>
      <c r="O49" s="14">
        <v>3.0</v>
      </c>
      <c r="P49" s="14">
        <v>2.0</v>
      </c>
      <c r="Q49" s="13">
        <f t="shared" si="4"/>
        <v>234</v>
      </c>
      <c r="R49" s="15">
        <f t="shared" si="5"/>
        <v>273</v>
      </c>
      <c r="S49" s="13">
        <f t="shared" si="6"/>
        <v>39</v>
      </c>
      <c r="T49" s="13">
        <f t="shared" si="7"/>
        <v>234</v>
      </c>
      <c r="U49" s="13">
        <f t="shared" si="8"/>
        <v>0</v>
      </c>
      <c r="V49" s="13">
        <f t="shared" si="9"/>
        <v>0</v>
      </c>
      <c r="W49" s="13">
        <f t="shared" si="10"/>
        <v>1495.7</v>
      </c>
      <c r="X49" s="13"/>
      <c r="Y49" s="13"/>
    </row>
    <row r="50">
      <c r="A50" s="8">
        <v>52.0</v>
      </c>
      <c r="B50" s="8">
        <v>53.0</v>
      </c>
      <c r="C50" s="105" t="s">
        <v>285</v>
      </c>
      <c r="D50" s="8" t="s">
        <v>62</v>
      </c>
      <c r="E50" s="98">
        <v>45569.0</v>
      </c>
      <c r="F50" s="8" t="s">
        <v>28</v>
      </c>
      <c r="G50" s="8" t="s">
        <v>281</v>
      </c>
      <c r="H50" s="8">
        <v>750000.0</v>
      </c>
      <c r="I50" s="8">
        <v>2500000.0</v>
      </c>
      <c r="J50" s="102" t="s">
        <v>287</v>
      </c>
      <c r="K50" s="78"/>
      <c r="L50" s="8" t="str">
        <f t="shared" si="1"/>
        <v>07.10.2024 </v>
      </c>
      <c r="M50" s="8" t="str">
        <f t="shared" si="2"/>
        <v> 07.07.2025</v>
      </c>
      <c r="N50" s="8">
        <f t="shared" si="3"/>
        <v>39</v>
      </c>
      <c r="O50" s="79">
        <v>3.0</v>
      </c>
      <c r="P50" s="79">
        <v>2.0</v>
      </c>
      <c r="Q50" s="78">
        <f t="shared" si="4"/>
        <v>234</v>
      </c>
      <c r="R50" s="100">
        <f t="shared" si="5"/>
        <v>273</v>
      </c>
      <c r="S50" s="78">
        <f t="shared" si="6"/>
        <v>39</v>
      </c>
      <c r="T50" s="78">
        <f t="shared" si="7"/>
        <v>234</v>
      </c>
      <c r="U50" s="78">
        <f t="shared" si="8"/>
        <v>0</v>
      </c>
      <c r="V50" s="78">
        <f t="shared" si="9"/>
        <v>0</v>
      </c>
      <c r="W50" s="78">
        <f t="shared" si="10"/>
        <v>3205.1</v>
      </c>
      <c r="X50" s="78"/>
      <c r="Y50" s="78"/>
    </row>
    <row r="51">
      <c r="A51" s="8">
        <v>53.0</v>
      </c>
      <c r="B51" s="8">
        <v>54.0</v>
      </c>
      <c r="C51" s="8" t="s">
        <v>289</v>
      </c>
      <c r="D51" s="8" t="s">
        <v>290</v>
      </c>
      <c r="E51" s="98">
        <v>45570.0</v>
      </c>
      <c r="F51" s="8" t="s">
        <v>28</v>
      </c>
      <c r="G51" s="8" t="s">
        <v>281</v>
      </c>
      <c r="H51" s="8">
        <v>750000.0</v>
      </c>
      <c r="I51" s="8">
        <v>2500000.0</v>
      </c>
      <c r="J51" s="107" t="s">
        <v>291</v>
      </c>
      <c r="K51" s="78"/>
      <c r="L51" s="8" t="str">
        <f t="shared" si="1"/>
        <v>07.10.2024 </v>
      </c>
      <c r="M51" s="8" t="str">
        <f t="shared" si="2"/>
        <v> 07.07.2025</v>
      </c>
      <c r="N51" s="8">
        <f t="shared" si="3"/>
        <v>39</v>
      </c>
      <c r="O51" s="79">
        <v>3.0</v>
      </c>
      <c r="P51" s="79">
        <v>2.0</v>
      </c>
      <c r="Q51" s="78">
        <f t="shared" si="4"/>
        <v>234</v>
      </c>
      <c r="R51" s="100">
        <f t="shared" si="5"/>
        <v>273</v>
      </c>
      <c r="S51" s="78">
        <f t="shared" si="6"/>
        <v>39</v>
      </c>
      <c r="T51" s="78">
        <f t="shared" si="7"/>
        <v>234</v>
      </c>
      <c r="U51" s="78">
        <f t="shared" si="8"/>
        <v>0</v>
      </c>
      <c r="V51" s="78">
        <f t="shared" si="9"/>
        <v>0</v>
      </c>
      <c r="W51" s="78">
        <f t="shared" si="10"/>
        <v>3205.1</v>
      </c>
      <c r="X51" s="78"/>
      <c r="Y51" s="78"/>
    </row>
    <row r="52">
      <c r="A52" s="8">
        <v>54.0</v>
      </c>
      <c r="B52" s="8">
        <v>55.0</v>
      </c>
      <c r="C52" s="8" t="s">
        <v>293</v>
      </c>
      <c r="D52" s="8" t="s">
        <v>62</v>
      </c>
      <c r="E52" s="108">
        <v>45575.0</v>
      </c>
      <c r="F52" s="8" t="s">
        <v>28</v>
      </c>
      <c r="G52" s="8" t="s">
        <v>294</v>
      </c>
      <c r="H52" s="8">
        <v>750000.0</v>
      </c>
      <c r="I52" s="8">
        <v>2500000.0</v>
      </c>
      <c r="J52" s="99" t="s">
        <v>295</v>
      </c>
      <c r="K52" s="78"/>
      <c r="L52" s="8" t="str">
        <f t="shared" si="1"/>
        <v>10.10.2024 </v>
      </c>
      <c r="M52" s="8" t="str">
        <f t="shared" si="2"/>
        <v> 10.07.2025</v>
      </c>
      <c r="N52" s="8">
        <f t="shared" si="3"/>
        <v>39</v>
      </c>
      <c r="O52" s="79">
        <v>3.0</v>
      </c>
      <c r="P52" s="79">
        <v>2.0</v>
      </c>
      <c r="Q52" s="78">
        <f t="shared" si="4"/>
        <v>234</v>
      </c>
      <c r="R52" s="100">
        <f t="shared" si="5"/>
        <v>273</v>
      </c>
      <c r="S52" s="78">
        <f t="shared" si="6"/>
        <v>39</v>
      </c>
      <c r="T52" s="78">
        <f t="shared" si="7"/>
        <v>234</v>
      </c>
      <c r="U52" s="78">
        <f t="shared" si="8"/>
        <v>0</v>
      </c>
      <c r="V52" s="78">
        <f t="shared" si="9"/>
        <v>0</v>
      </c>
      <c r="W52" s="78">
        <f t="shared" si="10"/>
        <v>3205.1</v>
      </c>
      <c r="X52" s="78"/>
      <c r="Y52" s="78"/>
    </row>
    <row r="53" ht="15.0" customHeight="1">
      <c r="A53" s="8">
        <v>55.0</v>
      </c>
      <c r="B53" s="8">
        <v>55.0</v>
      </c>
      <c r="C53" s="8" t="s">
        <v>297</v>
      </c>
      <c r="D53" s="8" t="s">
        <v>27</v>
      </c>
      <c r="E53" s="98">
        <v>45574.0</v>
      </c>
      <c r="F53" s="8" t="s">
        <v>28</v>
      </c>
      <c r="G53" s="8" t="s">
        <v>298</v>
      </c>
      <c r="H53" s="8">
        <v>450000.0</v>
      </c>
      <c r="I53" s="8">
        <v>1900000.0</v>
      </c>
      <c r="J53" s="99" t="s">
        <v>299</v>
      </c>
      <c r="K53" s="78"/>
      <c r="L53" s="8" t="str">
        <f t="shared" si="1"/>
        <v>21.10.2024 </v>
      </c>
      <c r="M53" s="8" t="str">
        <f t="shared" si="2"/>
        <v> 21.07.2025</v>
      </c>
      <c r="N53" s="8">
        <f t="shared" si="3"/>
        <v>39</v>
      </c>
      <c r="O53" s="79">
        <v>3.0</v>
      </c>
      <c r="P53" s="79">
        <v>2.0</v>
      </c>
      <c r="Q53" s="78">
        <f t="shared" si="4"/>
        <v>234</v>
      </c>
      <c r="R53" s="100">
        <f t="shared" si="5"/>
        <v>273</v>
      </c>
      <c r="S53" s="78">
        <f t="shared" si="6"/>
        <v>39</v>
      </c>
      <c r="T53" s="78">
        <f t="shared" si="7"/>
        <v>234</v>
      </c>
      <c r="U53" s="78">
        <f t="shared" si="8"/>
        <v>0</v>
      </c>
      <c r="V53" s="78">
        <f t="shared" si="9"/>
        <v>0</v>
      </c>
      <c r="W53" s="78">
        <f t="shared" si="10"/>
        <v>1923.1</v>
      </c>
      <c r="X53" s="78"/>
      <c r="Y53" s="78"/>
    </row>
    <row r="54" ht="16.5" customHeight="1">
      <c r="A54" s="8">
        <v>56.0</v>
      </c>
      <c r="B54" s="8">
        <v>56.0</v>
      </c>
      <c r="C54" s="8" t="s">
        <v>301</v>
      </c>
      <c r="D54" s="8" t="s">
        <v>27</v>
      </c>
      <c r="E54" s="98">
        <v>45574.0</v>
      </c>
      <c r="F54" s="8" t="s">
        <v>302</v>
      </c>
      <c r="G54" s="8" t="s">
        <v>303</v>
      </c>
      <c r="H54" s="8">
        <v>350000.0</v>
      </c>
      <c r="I54" s="8" t="s">
        <v>304</v>
      </c>
      <c r="J54" s="99" t="s">
        <v>306</v>
      </c>
      <c r="K54" s="78"/>
      <c r="L54" s="8" t="str">
        <f t="shared" si="1"/>
        <v>9.10.2024 </v>
      </c>
      <c r="M54" s="8" t="str">
        <f t="shared" si="2"/>
        <v> 9.07.2025</v>
      </c>
      <c r="N54" s="8">
        <f t="shared" si="3"/>
        <v>39</v>
      </c>
      <c r="O54" s="79">
        <v>3.0</v>
      </c>
      <c r="P54" s="79">
        <v>2.0</v>
      </c>
      <c r="Q54" s="78">
        <f t="shared" si="4"/>
        <v>234</v>
      </c>
      <c r="R54" s="100">
        <f t="shared" si="5"/>
        <v>273</v>
      </c>
      <c r="S54" s="78">
        <f t="shared" si="6"/>
        <v>39</v>
      </c>
      <c r="T54" s="78">
        <f t="shared" si="7"/>
        <v>234</v>
      </c>
      <c r="U54" s="78">
        <f t="shared" si="8"/>
        <v>0</v>
      </c>
      <c r="V54" s="78">
        <f t="shared" si="9"/>
        <v>0</v>
      </c>
      <c r="W54" s="78">
        <f t="shared" si="10"/>
        <v>1495.7</v>
      </c>
      <c r="X54" s="78"/>
      <c r="Y54" s="78"/>
    </row>
    <row r="55">
      <c r="A55" s="8" t="s">
        <v>309</v>
      </c>
      <c r="B55" s="8">
        <v>58.0</v>
      </c>
      <c r="C55" s="8" t="s">
        <v>311</v>
      </c>
      <c r="D55" s="8" t="s">
        <v>62</v>
      </c>
      <c r="E55" s="108">
        <v>45584.0</v>
      </c>
      <c r="F55" s="8" t="s">
        <v>28</v>
      </c>
      <c r="G55" s="8" t="s">
        <v>298</v>
      </c>
      <c r="H55" s="8">
        <v>400000.0</v>
      </c>
      <c r="I55" s="8">
        <v>1800000.0</v>
      </c>
      <c r="J55" s="99" t="s">
        <v>312</v>
      </c>
      <c r="K55" s="78"/>
      <c r="L55" s="8" t="str">
        <f t="shared" si="1"/>
        <v>21.10.2024 </v>
      </c>
      <c r="M55" s="8" t="str">
        <f t="shared" si="2"/>
        <v> 21.07.2025</v>
      </c>
      <c r="N55" s="8">
        <f t="shared" si="3"/>
        <v>39</v>
      </c>
      <c r="O55" s="79">
        <v>3.0</v>
      </c>
      <c r="P55" s="79">
        <v>2.0</v>
      </c>
      <c r="Q55" s="78">
        <f t="shared" si="4"/>
        <v>234</v>
      </c>
      <c r="R55" s="100">
        <f t="shared" si="5"/>
        <v>273</v>
      </c>
      <c r="S55" s="78">
        <f t="shared" si="6"/>
        <v>39</v>
      </c>
      <c r="T55" s="78">
        <f t="shared" si="7"/>
        <v>234</v>
      </c>
      <c r="U55" s="78">
        <f t="shared" si="8"/>
        <v>0</v>
      </c>
      <c r="V55" s="78">
        <f t="shared" si="9"/>
        <v>0</v>
      </c>
      <c r="W55" s="78">
        <f t="shared" si="10"/>
        <v>1709.4</v>
      </c>
      <c r="X55" s="78"/>
      <c r="Y55" s="78"/>
    </row>
    <row r="56">
      <c r="A56" s="8">
        <v>58.0</v>
      </c>
      <c r="B56" s="8">
        <v>60.0</v>
      </c>
      <c r="C56" s="8" t="s">
        <v>314</v>
      </c>
      <c r="D56" s="8" t="s">
        <v>27</v>
      </c>
      <c r="E56" s="108">
        <v>45587.0</v>
      </c>
      <c r="F56" s="8" t="s">
        <v>28</v>
      </c>
      <c r="G56" s="8" t="s">
        <v>315</v>
      </c>
      <c r="H56" s="8">
        <v>500000.0</v>
      </c>
      <c r="I56" s="8">
        <v>2000000.0</v>
      </c>
      <c r="J56" s="102" t="s">
        <v>316</v>
      </c>
      <c r="K56" s="78"/>
      <c r="L56" s="8" t="str">
        <f t="shared" si="1"/>
        <v>22.10.2024 </v>
      </c>
      <c r="M56" s="8" t="str">
        <f t="shared" si="2"/>
        <v> 22.07.2025</v>
      </c>
      <c r="N56" s="8">
        <f t="shared" si="3"/>
        <v>39</v>
      </c>
      <c r="O56" s="79">
        <v>3.0</v>
      </c>
      <c r="P56" s="79">
        <v>2.0</v>
      </c>
      <c r="Q56" s="78">
        <f t="shared" si="4"/>
        <v>234</v>
      </c>
      <c r="R56" s="100">
        <f t="shared" si="5"/>
        <v>273</v>
      </c>
      <c r="S56" s="78">
        <f t="shared" si="6"/>
        <v>39</v>
      </c>
      <c r="T56" s="78">
        <f t="shared" si="7"/>
        <v>234</v>
      </c>
      <c r="U56" s="78">
        <f t="shared" si="8"/>
        <v>0</v>
      </c>
      <c r="V56" s="78">
        <f t="shared" si="9"/>
        <v>0</v>
      </c>
      <c r="W56" s="78">
        <f t="shared" si="10"/>
        <v>2136.8</v>
      </c>
      <c r="X56" s="78"/>
      <c r="Y56" s="78"/>
    </row>
    <row r="57">
      <c r="A57" s="8">
        <v>59.0</v>
      </c>
      <c r="B57" s="8">
        <v>62.0</v>
      </c>
      <c r="C57" s="103" t="s">
        <v>318</v>
      </c>
      <c r="D57" s="8" t="s">
        <v>319</v>
      </c>
      <c r="E57" s="108">
        <v>45588.0</v>
      </c>
      <c r="F57" s="8" t="s">
        <v>28</v>
      </c>
      <c r="G57" s="8" t="s">
        <v>320</v>
      </c>
      <c r="H57" s="8">
        <v>500000.0</v>
      </c>
      <c r="I57" s="8">
        <v>2000000.0</v>
      </c>
      <c r="J57" s="99" t="s">
        <v>323</v>
      </c>
      <c r="K57" s="78"/>
      <c r="L57" s="8" t="str">
        <f t="shared" si="1"/>
        <v>28.10.2024 </v>
      </c>
      <c r="M57" s="8" t="str">
        <f t="shared" si="2"/>
        <v> 28.07.2025</v>
      </c>
      <c r="N57" s="8">
        <f t="shared" si="3"/>
        <v>39</v>
      </c>
      <c r="O57" s="79">
        <v>3.0</v>
      </c>
      <c r="P57" s="79">
        <v>2.0</v>
      </c>
      <c r="Q57" s="78">
        <f t="shared" si="4"/>
        <v>234</v>
      </c>
      <c r="R57" s="100">
        <f t="shared" si="5"/>
        <v>273</v>
      </c>
      <c r="S57" s="78">
        <f t="shared" si="6"/>
        <v>39</v>
      </c>
      <c r="T57" s="78">
        <f t="shared" si="7"/>
        <v>234</v>
      </c>
      <c r="U57" s="78">
        <f t="shared" si="8"/>
        <v>0</v>
      </c>
      <c r="V57" s="78">
        <f t="shared" si="9"/>
        <v>0</v>
      </c>
      <c r="W57" s="78">
        <f t="shared" si="10"/>
        <v>2136.8</v>
      </c>
      <c r="X57" s="78"/>
      <c r="Y57" s="78"/>
    </row>
    <row r="58">
      <c r="A58" s="8">
        <v>60.0</v>
      </c>
      <c r="B58" s="8">
        <v>63.0</v>
      </c>
      <c r="C58" s="8" t="s">
        <v>325</v>
      </c>
      <c r="D58" s="8" t="s">
        <v>319</v>
      </c>
      <c r="E58" s="108">
        <v>45588.0</v>
      </c>
      <c r="F58" s="8" t="s">
        <v>28</v>
      </c>
      <c r="G58" s="8" t="s">
        <v>876</v>
      </c>
      <c r="H58" s="8">
        <v>750000.0</v>
      </c>
      <c r="I58" s="8">
        <v>2500000.0</v>
      </c>
      <c r="J58" s="99" t="s">
        <v>329</v>
      </c>
      <c r="K58" s="78"/>
      <c r="L58" s="8" t="str">
        <f t="shared" si="1"/>
        <v>23.10.2024 </v>
      </c>
      <c r="M58" s="8" t="str">
        <f t="shared" si="2"/>
        <v> 30.10.2025</v>
      </c>
      <c r="N58" s="8">
        <f t="shared" si="3"/>
        <v>53.1</v>
      </c>
      <c r="O58" s="79">
        <v>3.0</v>
      </c>
      <c r="P58" s="79">
        <v>2.0</v>
      </c>
      <c r="Q58" s="78">
        <f t="shared" si="4"/>
        <v>318.6</v>
      </c>
      <c r="R58" s="100">
        <f t="shared" si="5"/>
        <v>372</v>
      </c>
      <c r="S58" s="78">
        <f t="shared" si="6"/>
        <v>53.1</v>
      </c>
      <c r="T58" s="78">
        <f t="shared" si="7"/>
        <v>318.6</v>
      </c>
      <c r="U58" s="78">
        <f t="shared" si="8"/>
        <v>0</v>
      </c>
      <c r="V58" s="78">
        <f t="shared" si="9"/>
        <v>0</v>
      </c>
      <c r="W58" s="78">
        <f t="shared" si="10"/>
        <v>2354</v>
      </c>
      <c r="X58" s="78"/>
      <c r="Y58" s="78"/>
    </row>
    <row r="59" ht="15.0" customHeight="1">
      <c r="A59" s="8">
        <v>61.0</v>
      </c>
      <c r="B59" s="8">
        <v>64.0</v>
      </c>
      <c r="C59" s="8" t="s">
        <v>331</v>
      </c>
      <c r="D59" s="8" t="s">
        <v>62</v>
      </c>
      <c r="E59" s="108">
        <v>45591.0</v>
      </c>
      <c r="F59" s="8" t="s">
        <v>28</v>
      </c>
      <c r="G59" s="8" t="s">
        <v>320</v>
      </c>
      <c r="H59" s="8">
        <v>500000.0</v>
      </c>
      <c r="I59" s="8">
        <v>1490000.0</v>
      </c>
      <c r="J59" s="99" t="s">
        <v>334</v>
      </c>
      <c r="K59" s="78"/>
      <c r="L59" s="8" t="str">
        <f t="shared" si="1"/>
        <v>28.10.2024 </v>
      </c>
      <c r="M59" s="8" t="str">
        <f t="shared" si="2"/>
        <v> 28.07.2025</v>
      </c>
      <c r="N59" s="8">
        <f t="shared" si="3"/>
        <v>39</v>
      </c>
      <c r="O59" s="79">
        <v>3.0</v>
      </c>
      <c r="P59" s="79">
        <v>2.0</v>
      </c>
      <c r="Q59" s="78">
        <f t="shared" si="4"/>
        <v>234</v>
      </c>
      <c r="R59" s="100">
        <f t="shared" si="5"/>
        <v>273</v>
      </c>
      <c r="S59" s="78">
        <f t="shared" si="6"/>
        <v>39</v>
      </c>
      <c r="T59" s="78">
        <f t="shared" si="7"/>
        <v>234</v>
      </c>
      <c r="U59" s="78">
        <f t="shared" si="8"/>
        <v>0</v>
      </c>
      <c r="V59" s="78">
        <f t="shared" si="9"/>
        <v>0</v>
      </c>
      <c r="W59" s="78">
        <f t="shared" si="10"/>
        <v>2136.8</v>
      </c>
      <c r="X59" s="78"/>
      <c r="Y59" s="78"/>
    </row>
    <row r="60">
      <c r="A60" s="8">
        <v>62.0</v>
      </c>
      <c r="B60" s="8">
        <v>64.0</v>
      </c>
      <c r="C60" s="8" t="s">
        <v>336</v>
      </c>
      <c r="D60" s="8" t="s">
        <v>27</v>
      </c>
      <c r="E60" s="108">
        <v>45590.0</v>
      </c>
      <c r="F60" s="8" t="s">
        <v>28</v>
      </c>
      <c r="G60" s="8" t="s">
        <v>320</v>
      </c>
      <c r="H60" s="8">
        <v>625000.0</v>
      </c>
      <c r="I60" s="8">
        <v>2250000.0</v>
      </c>
      <c r="J60" s="99" t="s">
        <v>338</v>
      </c>
      <c r="K60" s="78"/>
      <c r="L60" s="8" t="str">
        <f t="shared" si="1"/>
        <v>28.10.2024 </v>
      </c>
      <c r="M60" s="8" t="str">
        <f t="shared" si="2"/>
        <v> 28.07.2025</v>
      </c>
      <c r="N60" s="8">
        <f t="shared" si="3"/>
        <v>39</v>
      </c>
      <c r="O60" s="79">
        <v>3.0</v>
      </c>
      <c r="P60" s="79">
        <v>2.0</v>
      </c>
      <c r="Q60" s="78">
        <f t="shared" si="4"/>
        <v>234</v>
      </c>
      <c r="R60" s="100">
        <f t="shared" si="5"/>
        <v>273</v>
      </c>
      <c r="S60" s="78">
        <f t="shared" si="6"/>
        <v>39</v>
      </c>
      <c r="T60" s="78">
        <f t="shared" si="7"/>
        <v>234</v>
      </c>
      <c r="U60" s="78">
        <f t="shared" si="8"/>
        <v>0</v>
      </c>
      <c r="V60" s="78">
        <f t="shared" si="9"/>
        <v>0</v>
      </c>
      <c r="W60" s="78">
        <f t="shared" si="10"/>
        <v>2670.9</v>
      </c>
      <c r="X60" s="78"/>
      <c r="Y60" s="78"/>
    </row>
    <row r="61">
      <c r="A61" s="8">
        <v>63.0</v>
      </c>
      <c r="B61" s="8">
        <v>66.0</v>
      </c>
      <c r="C61" s="8" t="s">
        <v>340</v>
      </c>
      <c r="D61" s="8" t="s">
        <v>62</v>
      </c>
      <c r="E61" s="108">
        <v>45593.0</v>
      </c>
      <c r="F61" s="8" t="s">
        <v>341</v>
      </c>
      <c r="G61" s="8" t="s">
        <v>342</v>
      </c>
      <c r="H61" s="8">
        <v>500000.0</v>
      </c>
      <c r="I61" s="8">
        <v>2000000.0</v>
      </c>
      <c r="J61" s="99" t="s">
        <v>343</v>
      </c>
      <c r="K61" s="78"/>
      <c r="L61" s="8" t="str">
        <f t="shared" si="1"/>
        <v>29.10.2024 </v>
      </c>
      <c r="M61" s="8" t="str">
        <f t="shared" si="2"/>
        <v> 29.07.2025</v>
      </c>
      <c r="N61" s="8">
        <f t="shared" si="3"/>
        <v>39</v>
      </c>
      <c r="O61" s="79">
        <v>3.0</v>
      </c>
      <c r="P61" s="79">
        <v>2.0</v>
      </c>
      <c r="Q61" s="78">
        <f t="shared" si="4"/>
        <v>234</v>
      </c>
      <c r="R61" s="100">
        <f t="shared" si="5"/>
        <v>273</v>
      </c>
      <c r="S61" s="78">
        <f t="shared" si="6"/>
        <v>39</v>
      </c>
      <c r="T61" s="78">
        <f t="shared" si="7"/>
        <v>234</v>
      </c>
      <c r="U61" s="78">
        <f t="shared" si="8"/>
        <v>0</v>
      </c>
      <c r="V61" s="78">
        <f t="shared" si="9"/>
        <v>0</v>
      </c>
      <c r="W61" s="78">
        <f t="shared" si="10"/>
        <v>2136.8</v>
      </c>
      <c r="X61" s="78"/>
      <c r="Y61" s="78"/>
    </row>
    <row r="62">
      <c r="A62" s="8">
        <v>64.0</v>
      </c>
      <c r="B62" s="8">
        <v>61.0</v>
      </c>
      <c r="C62" s="8" t="s">
        <v>345</v>
      </c>
      <c r="D62" s="8" t="s">
        <v>27</v>
      </c>
      <c r="E62" s="108">
        <v>45588.0</v>
      </c>
      <c r="F62" s="8" t="s">
        <v>346</v>
      </c>
      <c r="G62" s="8" t="s">
        <v>347</v>
      </c>
      <c r="H62" s="8">
        <v>1000000.0</v>
      </c>
      <c r="I62" s="8">
        <v>3000000.0</v>
      </c>
      <c r="J62" s="99" t="s">
        <v>349</v>
      </c>
      <c r="K62" s="78"/>
      <c r="L62" s="8" t="str">
        <f t="shared" si="1"/>
        <v>23.10.2024 </v>
      </c>
      <c r="M62" s="8" t="str">
        <f t="shared" si="2"/>
        <v> 31.08.2025</v>
      </c>
      <c r="N62" s="8">
        <f t="shared" si="3"/>
        <v>44.6</v>
      </c>
      <c r="O62" s="79">
        <v>3.0</v>
      </c>
      <c r="P62" s="79">
        <v>2.0</v>
      </c>
      <c r="Q62" s="78">
        <f t="shared" si="4"/>
        <v>267.6</v>
      </c>
      <c r="R62" s="100">
        <f t="shared" si="5"/>
        <v>312</v>
      </c>
      <c r="S62" s="78">
        <f t="shared" si="6"/>
        <v>44.6</v>
      </c>
      <c r="T62" s="78">
        <f t="shared" si="7"/>
        <v>267.4</v>
      </c>
      <c r="U62" s="78">
        <f t="shared" si="8"/>
        <v>0.2</v>
      </c>
      <c r="V62" s="78">
        <f t="shared" si="9"/>
        <v>747.4</v>
      </c>
      <c r="W62" s="78">
        <f t="shared" si="10"/>
        <v>3736.9</v>
      </c>
      <c r="X62" s="78"/>
      <c r="Y62" s="78"/>
    </row>
    <row r="63" ht="15.0" customHeight="1">
      <c r="A63" s="8">
        <v>65.0</v>
      </c>
      <c r="B63" s="8">
        <v>69.0</v>
      </c>
      <c r="C63" s="8" t="s">
        <v>352</v>
      </c>
      <c r="D63" s="8" t="s">
        <v>27</v>
      </c>
      <c r="E63" s="108">
        <v>45595.0</v>
      </c>
      <c r="F63" s="8" t="s">
        <v>28</v>
      </c>
      <c r="G63" s="8" t="s">
        <v>353</v>
      </c>
      <c r="H63" s="8">
        <v>400000.0</v>
      </c>
      <c r="I63" s="8">
        <v>1800000.0</v>
      </c>
      <c r="J63" s="99" t="s">
        <v>355</v>
      </c>
      <c r="K63" s="78"/>
      <c r="L63" s="8" t="str">
        <f t="shared" si="1"/>
        <v>30.10.2024 </v>
      </c>
      <c r="M63" s="8" t="str">
        <f t="shared" si="2"/>
        <v> 30.08.2025</v>
      </c>
      <c r="N63" s="8">
        <f t="shared" si="3"/>
        <v>43.4</v>
      </c>
      <c r="O63" s="79">
        <v>3.0</v>
      </c>
      <c r="P63" s="79">
        <v>2.0</v>
      </c>
      <c r="Q63" s="78">
        <f t="shared" si="4"/>
        <v>260.4</v>
      </c>
      <c r="R63" s="100">
        <f t="shared" si="5"/>
        <v>304</v>
      </c>
      <c r="S63" s="78">
        <f t="shared" si="6"/>
        <v>43.4</v>
      </c>
      <c r="T63" s="78">
        <f t="shared" si="7"/>
        <v>260.4</v>
      </c>
      <c r="U63" s="78">
        <f t="shared" si="8"/>
        <v>0</v>
      </c>
      <c r="V63" s="78">
        <f t="shared" si="9"/>
        <v>0</v>
      </c>
      <c r="W63" s="78">
        <f t="shared" si="10"/>
        <v>1536.1</v>
      </c>
      <c r="X63" s="78"/>
      <c r="Y63" s="78"/>
    </row>
    <row r="64">
      <c r="A64" s="8">
        <v>66.0</v>
      </c>
      <c r="B64" s="8">
        <v>70.0</v>
      </c>
      <c r="C64" s="8" t="s">
        <v>357</v>
      </c>
      <c r="D64" s="8" t="s">
        <v>62</v>
      </c>
      <c r="E64" s="108">
        <v>45604.0</v>
      </c>
      <c r="F64" s="8" t="s">
        <v>358</v>
      </c>
      <c r="G64" s="8" t="s">
        <v>359</v>
      </c>
      <c r="H64" s="8">
        <v>350000.0</v>
      </c>
      <c r="I64" s="8">
        <v>1500000.0</v>
      </c>
      <c r="J64" s="99" t="s">
        <v>361</v>
      </c>
      <c r="K64" s="78"/>
      <c r="L64" s="8" t="str">
        <f t="shared" si="1"/>
        <v>11.11.2024 </v>
      </c>
      <c r="M64" s="8" t="str">
        <f t="shared" si="2"/>
        <v> 30.08.2025</v>
      </c>
      <c r="N64" s="8">
        <f t="shared" si="3"/>
        <v>41.7</v>
      </c>
      <c r="O64" s="79">
        <v>3.0</v>
      </c>
      <c r="P64" s="79">
        <v>2.0</v>
      </c>
      <c r="Q64" s="78">
        <f t="shared" si="4"/>
        <v>250.2</v>
      </c>
      <c r="R64" s="100">
        <f t="shared" si="5"/>
        <v>292</v>
      </c>
      <c r="S64" s="78">
        <f t="shared" si="6"/>
        <v>41.7</v>
      </c>
      <c r="T64" s="78">
        <f t="shared" si="7"/>
        <v>250.2</v>
      </c>
      <c r="U64" s="78">
        <f t="shared" si="8"/>
        <v>0</v>
      </c>
      <c r="V64" s="78">
        <f t="shared" si="9"/>
        <v>0</v>
      </c>
      <c r="W64" s="78">
        <f t="shared" si="10"/>
        <v>1398.9</v>
      </c>
      <c r="X64" s="78"/>
      <c r="Y64" s="78"/>
    </row>
    <row r="65">
      <c r="A65" s="8">
        <v>67.0</v>
      </c>
      <c r="B65" s="8">
        <v>143.0</v>
      </c>
      <c r="C65" s="8" t="s">
        <v>363</v>
      </c>
      <c r="D65" s="8" t="s">
        <v>27</v>
      </c>
      <c r="E65" s="108">
        <v>45607.0</v>
      </c>
      <c r="F65" s="8" t="s">
        <v>28</v>
      </c>
      <c r="G65" s="8" t="s">
        <v>364</v>
      </c>
      <c r="H65" s="8">
        <v>500000.0</v>
      </c>
      <c r="I65" s="8">
        <v>1400000.0</v>
      </c>
      <c r="J65" s="99" t="s">
        <v>366</v>
      </c>
      <c r="K65" s="78"/>
      <c r="L65" s="8" t="str">
        <f t="shared" si="1"/>
        <v>04.11.2024</v>
      </c>
      <c r="M65" s="8" t="str">
        <f t="shared" si="2"/>
        <v>04.08.2025</v>
      </c>
      <c r="N65" s="8">
        <f t="shared" si="3"/>
        <v>39</v>
      </c>
      <c r="O65" s="79">
        <v>3.0</v>
      </c>
      <c r="P65" s="79">
        <v>2.0</v>
      </c>
      <c r="Q65" s="78">
        <f t="shared" si="4"/>
        <v>234</v>
      </c>
      <c r="R65" s="100">
        <f t="shared" si="5"/>
        <v>273</v>
      </c>
      <c r="S65" s="78">
        <f t="shared" si="6"/>
        <v>39</v>
      </c>
      <c r="T65" s="78">
        <f t="shared" si="7"/>
        <v>234</v>
      </c>
      <c r="U65" s="78">
        <f t="shared" si="8"/>
        <v>0</v>
      </c>
      <c r="V65" s="78">
        <f t="shared" si="9"/>
        <v>0</v>
      </c>
      <c r="W65" s="78">
        <f t="shared" si="10"/>
        <v>2136.8</v>
      </c>
      <c r="X65" s="78"/>
      <c r="Y65" s="78"/>
    </row>
    <row r="66">
      <c r="A66" s="8">
        <v>68.0</v>
      </c>
      <c r="B66" s="8" t="s">
        <v>30</v>
      </c>
      <c r="C66" s="8" t="s">
        <v>370</v>
      </c>
      <c r="D66" s="8" t="s">
        <v>319</v>
      </c>
      <c r="E66" s="108">
        <v>45616.0</v>
      </c>
      <c r="F66" s="8" t="s">
        <v>371</v>
      </c>
      <c r="G66" s="8" t="s">
        <v>372</v>
      </c>
      <c r="H66" s="8">
        <v>400000.0</v>
      </c>
      <c r="I66" s="8">
        <v>1000000.0</v>
      </c>
      <c r="J66" s="107" t="s">
        <v>375</v>
      </c>
      <c r="K66" s="78"/>
      <c r="L66" s="8" t="str">
        <f t="shared" si="1"/>
        <v>15.11.2024 </v>
      </c>
      <c r="M66" s="8" t="str">
        <f t="shared" si="2"/>
        <v> 22.11.2025</v>
      </c>
      <c r="N66" s="8">
        <f t="shared" si="3"/>
        <v>53.1</v>
      </c>
      <c r="O66" s="79">
        <v>3.0</v>
      </c>
      <c r="P66" s="79">
        <v>2.0</v>
      </c>
      <c r="Q66" s="78">
        <f t="shared" si="4"/>
        <v>318.6</v>
      </c>
      <c r="R66" s="100">
        <f t="shared" si="5"/>
        <v>372</v>
      </c>
      <c r="S66" s="78">
        <f t="shared" si="6"/>
        <v>53.1</v>
      </c>
      <c r="T66" s="78">
        <f t="shared" si="7"/>
        <v>318.6</v>
      </c>
      <c r="U66" s="78">
        <f t="shared" si="8"/>
        <v>0</v>
      </c>
      <c r="V66" s="78">
        <f t="shared" si="9"/>
        <v>0</v>
      </c>
      <c r="W66" s="78">
        <f t="shared" si="10"/>
        <v>1255.5</v>
      </c>
      <c r="X66" s="78"/>
      <c r="Y66" s="78"/>
    </row>
    <row r="67">
      <c r="A67" s="8">
        <v>69.0</v>
      </c>
      <c r="B67" s="8">
        <v>72.0</v>
      </c>
      <c r="C67" s="8" t="s">
        <v>378</v>
      </c>
      <c r="D67" s="8" t="s">
        <v>62</v>
      </c>
      <c r="E67" s="108">
        <v>45619.0</v>
      </c>
      <c r="F67" s="8" t="s">
        <v>30</v>
      </c>
      <c r="G67" s="8" t="s">
        <v>379</v>
      </c>
      <c r="H67" s="8">
        <v>350000.0</v>
      </c>
      <c r="I67" s="8">
        <v>1700000.0</v>
      </c>
      <c r="J67" s="99" t="s">
        <v>381</v>
      </c>
      <c r="K67" s="78"/>
      <c r="L67" s="8" t="str">
        <f t="shared" si="1"/>
        <v>25.11.2024 </v>
      </c>
      <c r="M67" s="8" t="str">
        <f t="shared" si="2"/>
        <v> 25.04.2025</v>
      </c>
      <c r="N67" s="8">
        <f t="shared" si="3"/>
        <v>21.6</v>
      </c>
      <c r="O67" s="79">
        <v>3.0</v>
      </c>
      <c r="P67" s="79">
        <v>2.0</v>
      </c>
      <c r="Q67" s="78">
        <f t="shared" si="4"/>
        <v>129.6</v>
      </c>
      <c r="R67" s="100">
        <f t="shared" si="5"/>
        <v>151</v>
      </c>
      <c r="S67" s="78">
        <f t="shared" si="6"/>
        <v>21.6</v>
      </c>
      <c r="T67" s="78">
        <f t="shared" si="7"/>
        <v>129.4</v>
      </c>
      <c r="U67" s="78">
        <f t="shared" si="8"/>
        <v>0.2</v>
      </c>
      <c r="V67" s="78">
        <f t="shared" si="9"/>
        <v>540.1</v>
      </c>
      <c r="W67" s="78">
        <f t="shared" si="10"/>
        <v>2700.6</v>
      </c>
      <c r="X67" s="78"/>
      <c r="Y67" s="78"/>
    </row>
    <row r="68">
      <c r="A68" s="8">
        <v>70.0</v>
      </c>
      <c r="B68" s="8">
        <v>73.0</v>
      </c>
      <c r="C68" s="8" t="s">
        <v>383</v>
      </c>
      <c r="D68" s="8" t="s">
        <v>62</v>
      </c>
      <c r="E68" s="108">
        <v>45620.0</v>
      </c>
      <c r="F68" s="8" t="s">
        <v>28</v>
      </c>
      <c r="G68" s="8"/>
      <c r="H68" s="8">
        <v>600000.0</v>
      </c>
      <c r="I68" s="8">
        <v>2200000.0</v>
      </c>
      <c r="J68" s="99" t="s">
        <v>384</v>
      </c>
      <c r="K68" s="78"/>
      <c r="L68" s="8" t="str">
        <f t="shared" si="1"/>
        <v>#VALUE!</v>
      </c>
      <c r="M68" s="8" t="str">
        <f t="shared" si="2"/>
        <v>#VALUE!</v>
      </c>
      <c r="N68" s="8" t="str">
        <f t="shared" si="3"/>
        <v>#VALUE!</v>
      </c>
      <c r="O68" s="79">
        <v>3.0</v>
      </c>
      <c r="P68" s="79">
        <v>2.0</v>
      </c>
      <c r="Q68" s="78" t="str">
        <f t="shared" si="4"/>
        <v>#VALUE!</v>
      </c>
      <c r="R68" s="100" t="str">
        <f t="shared" si="5"/>
        <v>#VALUE!</v>
      </c>
      <c r="S68" s="78" t="str">
        <f t="shared" si="6"/>
        <v>#VALUE!</v>
      </c>
      <c r="T68" s="78" t="str">
        <f t="shared" si="7"/>
        <v>#VALUE!</v>
      </c>
      <c r="U68" s="78" t="str">
        <f t="shared" si="8"/>
        <v>#VALUE!</v>
      </c>
      <c r="V68" s="78" t="str">
        <f t="shared" si="9"/>
        <v>#VALUE!</v>
      </c>
      <c r="W68" s="78" t="str">
        <f t="shared" si="10"/>
        <v>#VALUE!</v>
      </c>
      <c r="X68" s="78"/>
      <c r="Y68" s="78"/>
    </row>
    <row r="69">
      <c r="A69" s="8">
        <v>74.0</v>
      </c>
      <c r="B69" s="8">
        <v>78.0</v>
      </c>
      <c r="C69" s="8" t="s">
        <v>399</v>
      </c>
      <c r="D69" s="8" t="s">
        <v>400</v>
      </c>
      <c r="E69" s="108">
        <v>45626.0</v>
      </c>
      <c r="F69" s="8" t="s">
        <v>401</v>
      </c>
      <c r="G69" s="8" t="s">
        <v>402</v>
      </c>
      <c r="H69" s="8">
        <v>700000.0</v>
      </c>
      <c r="I69" s="8">
        <v>1700000.0</v>
      </c>
      <c r="J69" s="99" t="s">
        <v>403</v>
      </c>
      <c r="K69" s="78"/>
      <c r="L69" s="8" t="str">
        <f t="shared" si="1"/>
        <v>02.12.2024 </v>
      </c>
      <c r="M69" s="8" t="str">
        <f t="shared" si="2"/>
        <v> 02.05.2025</v>
      </c>
      <c r="N69" s="8">
        <f t="shared" si="3"/>
        <v>21.6</v>
      </c>
      <c r="O69" s="79">
        <v>3.0</v>
      </c>
      <c r="P69" s="79">
        <v>2.0</v>
      </c>
      <c r="Q69" s="78">
        <f t="shared" si="4"/>
        <v>129.6</v>
      </c>
      <c r="R69" s="100">
        <f t="shared" si="5"/>
        <v>151</v>
      </c>
      <c r="S69" s="78">
        <f t="shared" si="6"/>
        <v>21.6</v>
      </c>
      <c r="T69" s="78">
        <f t="shared" si="7"/>
        <v>129.4</v>
      </c>
      <c r="U69" s="78">
        <f t="shared" si="8"/>
        <v>0.2</v>
      </c>
      <c r="V69" s="78">
        <f t="shared" si="9"/>
        <v>1080.2</v>
      </c>
      <c r="W69" s="78">
        <f t="shared" si="10"/>
        <v>5401.2</v>
      </c>
      <c r="X69" s="78"/>
      <c r="Y69" s="78"/>
    </row>
    <row r="70">
      <c r="A70" s="8">
        <v>75.0</v>
      </c>
      <c r="B70" s="8" t="s">
        <v>30</v>
      </c>
      <c r="C70" s="8" t="s">
        <v>405</v>
      </c>
      <c r="D70" s="8" t="s">
        <v>27</v>
      </c>
      <c r="E70" s="108">
        <v>45626.0</v>
      </c>
      <c r="F70" s="8" t="s">
        <v>28</v>
      </c>
      <c r="G70" s="8" t="s">
        <v>30</v>
      </c>
      <c r="H70" s="8">
        <v>500000.0</v>
      </c>
      <c r="I70" s="8">
        <v>2000000.0</v>
      </c>
      <c r="J70" s="99" t="s">
        <v>407</v>
      </c>
      <c r="K70" s="78"/>
      <c r="L70" s="8" t="str">
        <f t="shared" si="1"/>
        <v>#VALUE!</v>
      </c>
      <c r="M70" s="8" t="str">
        <f t="shared" si="2"/>
        <v>#VALUE!</v>
      </c>
      <c r="N70" s="8" t="str">
        <f t="shared" si="3"/>
        <v>#VALUE!</v>
      </c>
      <c r="O70" s="79">
        <v>3.0</v>
      </c>
      <c r="P70" s="79">
        <v>2.0</v>
      </c>
      <c r="Q70" s="78" t="str">
        <f t="shared" si="4"/>
        <v>#VALUE!</v>
      </c>
      <c r="R70" s="100" t="str">
        <f t="shared" si="5"/>
        <v>#VALUE!</v>
      </c>
      <c r="S70" s="78" t="str">
        <f t="shared" si="6"/>
        <v>#VALUE!</v>
      </c>
      <c r="T70" s="78" t="str">
        <f t="shared" si="7"/>
        <v>#VALUE!</v>
      </c>
      <c r="U70" s="78" t="str">
        <f t="shared" si="8"/>
        <v>#VALUE!</v>
      </c>
      <c r="V70" s="78" t="str">
        <f t="shared" si="9"/>
        <v>#VALUE!</v>
      </c>
      <c r="W70" s="78" t="str">
        <f t="shared" si="10"/>
        <v>#VALUE!</v>
      </c>
      <c r="X70" s="78"/>
      <c r="Y70" s="78"/>
    </row>
    <row r="71">
      <c r="A71" s="8">
        <v>76.0</v>
      </c>
      <c r="B71" s="8">
        <v>79.0</v>
      </c>
      <c r="C71" s="8" t="s">
        <v>411</v>
      </c>
      <c r="D71" s="8" t="s">
        <v>27</v>
      </c>
      <c r="E71" s="108">
        <v>45626.0</v>
      </c>
      <c r="F71" s="8" t="s">
        <v>28</v>
      </c>
      <c r="G71" s="8" t="s">
        <v>877</v>
      </c>
      <c r="H71" s="8">
        <v>500000.0</v>
      </c>
      <c r="I71" s="8">
        <v>2000000.0</v>
      </c>
      <c r="J71" s="99" t="s">
        <v>415</v>
      </c>
      <c r="K71" s="78"/>
      <c r="L71" s="8" t="str">
        <f t="shared" si="1"/>
        <v>02.12.2024 </v>
      </c>
      <c r="M71" s="8" t="str">
        <f t="shared" si="2"/>
        <v> 02.11.2025</v>
      </c>
      <c r="N71" s="8">
        <f t="shared" si="3"/>
        <v>47.9</v>
      </c>
      <c r="O71" s="79">
        <v>3.0</v>
      </c>
      <c r="P71" s="79">
        <v>2.0</v>
      </c>
      <c r="Q71" s="78">
        <f t="shared" si="4"/>
        <v>287.4</v>
      </c>
      <c r="R71" s="100">
        <f t="shared" si="5"/>
        <v>335</v>
      </c>
      <c r="S71" s="78">
        <f t="shared" si="6"/>
        <v>47.9</v>
      </c>
      <c r="T71" s="78">
        <f t="shared" si="7"/>
        <v>287.1</v>
      </c>
      <c r="U71" s="78">
        <f t="shared" si="8"/>
        <v>0.3</v>
      </c>
      <c r="V71" s="78">
        <f t="shared" si="9"/>
        <v>521.9</v>
      </c>
      <c r="W71" s="78">
        <f t="shared" si="10"/>
        <v>1739.7</v>
      </c>
      <c r="X71" s="78"/>
      <c r="Y71" s="78"/>
    </row>
    <row r="72">
      <c r="A72" s="8">
        <v>77.0</v>
      </c>
      <c r="B72" s="8">
        <v>80.0</v>
      </c>
      <c r="C72" s="8" t="s">
        <v>417</v>
      </c>
      <c r="D72" s="8" t="s">
        <v>319</v>
      </c>
      <c r="E72" s="108">
        <v>45629.0</v>
      </c>
      <c r="F72" s="8" t="s">
        <v>401</v>
      </c>
      <c r="G72" s="8" t="s">
        <v>418</v>
      </c>
      <c r="H72" s="8">
        <v>500000.0</v>
      </c>
      <c r="I72" s="8">
        <v>1500000.0</v>
      </c>
      <c r="J72" s="107" t="s">
        <v>419</v>
      </c>
      <c r="K72" s="78"/>
      <c r="L72" s="8" t="str">
        <f t="shared" si="1"/>
        <v>02.12.2024 </v>
      </c>
      <c r="M72" s="8" t="str">
        <f t="shared" si="2"/>
        <v> 02.09.2025</v>
      </c>
      <c r="N72" s="8">
        <f t="shared" si="3"/>
        <v>39.1</v>
      </c>
      <c r="O72" s="79">
        <v>3.0</v>
      </c>
      <c r="P72" s="79">
        <v>2.0</v>
      </c>
      <c r="Q72" s="78">
        <f t="shared" si="4"/>
        <v>234.6</v>
      </c>
      <c r="R72" s="100">
        <f t="shared" si="5"/>
        <v>274</v>
      </c>
      <c r="S72" s="78">
        <f t="shared" si="6"/>
        <v>39.1</v>
      </c>
      <c r="T72" s="78">
        <f t="shared" si="7"/>
        <v>234.6</v>
      </c>
      <c r="U72" s="78">
        <f t="shared" si="8"/>
        <v>0</v>
      </c>
      <c r="V72" s="78">
        <f t="shared" si="9"/>
        <v>0</v>
      </c>
      <c r="W72" s="78">
        <f t="shared" si="10"/>
        <v>2131.3</v>
      </c>
      <c r="X72" s="78"/>
      <c r="Y72" s="78"/>
    </row>
    <row r="73">
      <c r="A73" s="8">
        <v>78.0</v>
      </c>
      <c r="B73" s="8" t="s">
        <v>30</v>
      </c>
      <c r="C73" s="8" t="s">
        <v>422</v>
      </c>
      <c r="D73" s="8" t="s">
        <v>319</v>
      </c>
      <c r="E73" s="108">
        <v>45643.0</v>
      </c>
      <c r="F73" s="8" t="s">
        <v>423</v>
      </c>
      <c r="G73" s="8" t="s">
        <v>878</v>
      </c>
      <c r="H73" s="8">
        <v>800000.0</v>
      </c>
      <c r="I73" s="8">
        <v>1400000.0</v>
      </c>
      <c r="J73" s="99" t="s">
        <v>426</v>
      </c>
      <c r="K73" s="78"/>
      <c r="L73" s="8" t="str">
        <f t="shared" si="1"/>
        <v>17.12.2024</v>
      </c>
      <c r="M73" s="8" t="str">
        <f t="shared" si="2"/>
        <v>17.06.2025</v>
      </c>
      <c r="N73" s="8">
        <f t="shared" si="3"/>
        <v>26</v>
      </c>
      <c r="O73" s="79">
        <v>3.0</v>
      </c>
      <c r="P73" s="79">
        <v>2.0</v>
      </c>
      <c r="Q73" s="78">
        <f t="shared" si="4"/>
        <v>156</v>
      </c>
      <c r="R73" s="100">
        <f t="shared" si="5"/>
        <v>182</v>
      </c>
      <c r="S73" s="78">
        <f t="shared" si="6"/>
        <v>26</v>
      </c>
      <c r="T73" s="78">
        <f t="shared" si="7"/>
        <v>156</v>
      </c>
      <c r="U73" s="78">
        <f t="shared" si="8"/>
        <v>0</v>
      </c>
      <c r="V73" s="78">
        <f t="shared" si="9"/>
        <v>0</v>
      </c>
      <c r="W73" s="78">
        <f t="shared" si="10"/>
        <v>5128.2</v>
      </c>
      <c r="X73" s="78"/>
      <c r="Y73" s="78"/>
    </row>
    <row r="74">
      <c r="A74" s="8">
        <v>79.0</v>
      </c>
      <c r="B74" s="8" t="s">
        <v>30</v>
      </c>
      <c r="C74" s="109" t="s">
        <v>430</v>
      </c>
      <c r="D74" s="8" t="s">
        <v>319</v>
      </c>
      <c r="E74" s="108">
        <v>45646.0</v>
      </c>
      <c r="F74" s="8" t="s">
        <v>28</v>
      </c>
      <c r="G74" s="8" t="s">
        <v>431</v>
      </c>
      <c r="H74" s="8">
        <v>575000.0</v>
      </c>
      <c r="I74" s="8">
        <v>2150000.0</v>
      </c>
      <c r="J74" s="99" t="s">
        <v>434</v>
      </c>
      <c r="K74" s="78"/>
      <c r="L74" s="8" t="str">
        <f t="shared" si="1"/>
        <v>23.12.2024 </v>
      </c>
      <c r="M74" s="8" t="str">
        <f t="shared" si="2"/>
        <v> 07.10.2025</v>
      </c>
      <c r="N74" s="8">
        <f t="shared" si="3"/>
        <v>41.1</v>
      </c>
      <c r="O74" s="79">
        <v>3.0</v>
      </c>
      <c r="P74" s="79">
        <v>2.0</v>
      </c>
      <c r="Q74" s="78">
        <f t="shared" si="4"/>
        <v>246.6</v>
      </c>
      <c r="R74" s="100">
        <f t="shared" si="5"/>
        <v>288</v>
      </c>
      <c r="S74" s="78">
        <f t="shared" si="6"/>
        <v>41.1</v>
      </c>
      <c r="T74" s="78">
        <f t="shared" si="7"/>
        <v>246.6</v>
      </c>
      <c r="U74" s="78">
        <f t="shared" si="8"/>
        <v>0</v>
      </c>
      <c r="V74" s="78">
        <f t="shared" si="9"/>
        <v>0</v>
      </c>
      <c r="W74" s="78">
        <f t="shared" si="10"/>
        <v>2331.7</v>
      </c>
      <c r="X74" s="78"/>
      <c r="Y74" s="78"/>
    </row>
    <row r="75">
      <c r="A75" s="8">
        <v>81.0</v>
      </c>
      <c r="B75" s="8" t="s">
        <v>30</v>
      </c>
      <c r="C75" s="8" t="s">
        <v>442</v>
      </c>
      <c r="D75" s="8" t="s">
        <v>319</v>
      </c>
      <c r="E75" s="108">
        <v>45677.0</v>
      </c>
      <c r="F75" s="8" t="s">
        <v>443</v>
      </c>
      <c r="G75" s="8" t="s">
        <v>444</v>
      </c>
      <c r="H75" s="8">
        <v>750000.0</v>
      </c>
      <c r="I75" s="8">
        <v>1750000.0</v>
      </c>
      <c r="J75" s="99" t="s">
        <v>447</v>
      </c>
      <c r="K75" s="78"/>
      <c r="L75" s="8" t="str">
        <f t="shared" si="1"/>
        <v>21.1.2025 </v>
      </c>
      <c r="M75" s="8" t="str">
        <f t="shared" si="2"/>
        <v>21.10.2025</v>
      </c>
      <c r="N75" s="8">
        <f t="shared" si="3"/>
        <v>39</v>
      </c>
      <c r="O75" s="79">
        <v>3.0</v>
      </c>
      <c r="P75" s="79">
        <v>2.0</v>
      </c>
      <c r="Q75" s="78">
        <f t="shared" si="4"/>
        <v>234</v>
      </c>
      <c r="R75" s="100">
        <f t="shared" si="5"/>
        <v>273</v>
      </c>
      <c r="S75" s="78">
        <f t="shared" si="6"/>
        <v>39</v>
      </c>
      <c r="T75" s="78">
        <f t="shared" si="7"/>
        <v>234</v>
      </c>
      <c r="U75" s="78">
        <f t="shared" si="8"/>
        <v>0</v>
      </c>
      <c r="V75" s="78">
        <f t="shared" si="9"/>
        <v>0</v>
      </c>
      <c r="W75" s="78">
        <f t="shared" si="10"/>
        <v>3205.1</v>
      </c>
      <c r="X75" s="78"/>
      <c r="Y75" s="78"/>
    </row>
    <row r="76">
      <c r="A76" s="8">
        <v>82.0</v>
      </c>
      <c r="B76" s="8">
        <v>87.0</v>
      </c>
      <c r="C76" s="8" t="s">
        <v>449</v>
      </c>
      <c r="D76" s="8" t="s">
        <v>319</v>
      </c>
      <c r="E76" s="108">
        <v>45693.0</v>
      </c>
      <c r="F76" s="8" t="s">
        <v>401</v>
      </c>
      <c r="G76" s="8" t="s">
        <v>879</v>
      </c>
      <c r="H76" s="8">
        <v>700000.0</v>
      </c>
      <c r="I76" s="8">
        <v>1700000.0</v>
      </c>
      <c r="J76" s="99" t="s">
        <v>451</v>
      </c>
      <c r="K76" s="78"/>
      <c r="L76" s="8" t="str">
        <f t="shared" si="1"/>
        <v>05.02.2025 </v>
      </c>
      <c r="M76" s="8" t="str">
        <f t="shared" si="2"/>
        <v>05.11.2025 </v>
      </c>
      <c r="N76" s="8">
        <f t="shared" si="3"/>
        <v>39</v>
      </c>
      <c r="O76" s="79">
        <v>3.0</v>
      </c>
      <c r="P76" s="79">
        <v>2.0</v>
      </c>
      <c r="Q76" s="78">
        <f t="shared" si="4"/>
        <v>234</v>
      </c>
      <c r="R76" s="100">
        <f t="shared" si="5"/>
        <v>273</v>
      </c>
      <c r="S76" s="78">
        <f t="shared" si="6"/>
        <v>39</v>
      </c>
      <c r="T76" s="78">
        <f t="shared" si="7"/>
        <v>234</v>
      </c>
      <c r="U76" s="78">
        <f t="shared" si="8"/>
        <v>0</v>
      </c>
      <c r="V76" s="78">
        <f t="shared" si="9"/>
        <v>0</v>
      </c>
      <c r="W76" s="78">
        <f t="shared" si="10"/>
        <v>2991.5</v>
      </c>
      <c r="X76" s="78"/>
      <c r="Y76" s="78"/>
    </row>
    <row r="77">
      <c r="A77" s="8">
        <v>83.0</v>
      </c>
      <c r="B77" s="8">
        <v>88.0</v>
      </c>
      <c r="C77" s="8" t="s">
        <v>453</v>
      </c>
      <c r="D77" s="8" t="s">
        <v>319</v>
      </c>
      <c r="E77" s="108">
        <v>45693.0</v>
      </c>
      <c r="F77" s="8" t="s">
        <v>28</v>
      </c>
      <c r="G77" s="8" t="s">
        <v>454</v>
      </c>
      <c r="H77" s="8">
        <v>500000.0</v>
      </c>
      <c r="I77" s="8">
        <v>2500000.0</v>
      </c>
      <c r="J77" s="99" t="s">
        <v>455</v>
      </c>
      <c r="K77" s="78"/>
      <c r="L77" s="8" t="str">
        <f t="shared" si="1"/>
        <v>06.02.2025 </v>
      </c>
      <c r="M77" s="8" t="str">
        <f t="shared" si="2"/>
        <v> 06.11.2025</v>
      </c>
      <c r="N77" s="8">
        <f t="shared" si="3"/>
        <v>39</v>
      </c>
      <c r="O77" s="79">
        <v>3.0</v>
      </c>
      <c r="P77" s="79">
        <v>2.0</v>
      </c>
      <c r="Q77" s="78">
        <f t="shared" si="4"/>
        <v>234</v>
      </c>
      <c r="R77" s="100">
        <f t="shared" si="5"/>
        <v>273</v>
      </c>
      <c r="S77" s="78">
        <f t="shared" si="6"/>
        <v>39</v>
      </c>
      <c r="T77" s="78">
        <f t="shared" si="7"/>
        <v>234</v>
      </c>
      <c r="U77" s="78">
        <f t="shared" si="8"/>
        <v>0</v>
      </c>
      <c r="V77" s="78">
        <f t="shared" si="9"/>
        <v>0</v>
      </c>
      <c r="W77" s="78">
        <f t="shared" si="10"/>
        <v>2136.8</v>
      </c>
      <c r="X77" s="78"/>
      <c r="Y77" s="78"/>
    </row>
    <row r="78">
      <c r="A78" s="8">
        <v>84.0</v>
      </c>
      <c r="B78" s="8">
        <v>89.0</v>
      </c>
      <c r="C78" s="8" t="s">
        <v>457</v>
      </c>
      <c r="D78" s="8" t="s">
        <v>319</v>
      </c>
      <c r="E78" s="108">
        <v>45697.0</v>
      </c>
      <c r="F78" s="8" t="s">
        <v>28</v>
      </c>
      <c r="G78" s="8" t="s">
        <v>458</v>
      </c>
      <c r="H78" s="8">
        <v>500000.0</v>
      </c>
      <c r="I78" s="8">
        <v>2000000.0</v>
      </c>
      <c r="J78" s="99" t="s">
        <v>459</v>
      </c>
      <c r="K78" s="78"/>
      <c r="L78" s="8" t="str">
        <f t="shared" si="1"/>
        <v>10.02.2025 </v>
      </c>
      <c r="M78" s="8" t="str">
        <f t="shared" si="2"/>
        <v> 10.11.2025</v>
      </c>
      <c r="N78" s="8">
        <f t="shared" si="3"/>
        <v>39</v>
      </c>
      <c r="O78" s="79">
        <v>3.0</v>
      </c>
      <c r="P78" s="79">
        <v>2.0</v>
      </c>
      <c r="Q78" s="78">
        <f t="shared" si="4"/>
        <v>234</v>
      </c>
      <c r="R78" s="100">
        <f t="shared" si="5"/>
        <v>273</v>
      </c>
      <c r="S78" s="78">
        <f t="shared" si="6"/>
        <v>39</v>
      </c>
      <c r="T78" s="78">
        <f t="shared" si="7"/>
        <v>234</v>
      </c>
      <c r="U78" s="78">
        <f t="shared" si="8"/>
        <v>0</v>
      </c>
      <c r="V78" s="78">
        <f t="shared" si="9"/>
        <v>0</v>
      </c>
      <c r="W78" s="78">
        <f t="shared" si="10"/>
        <v>2136.8</v>
      </c>
      <c r="X78" s="78"/>
      <c r="Y78" s="78"/>
    </row>
    <row r="79">
      <c r="A79" s="8">
        <v>85.0</v>
      </c>
      <c r="B79" s="23"/>
      <c r="C79" s="8" t="s">
        <v>461</v>
      </c>
      <c r="D79" s="8" t="s">
        <v>319</v>
      </c>
      <c r="E79" s="108">
        <v>45698.0</v>
      </c>
      <c r="F79" s="8" t="s">
        <v>401</v>
      </c>
      <c r="G79" s="8" t="s">
        <v>458</v>
      </c>
      <c r="H79" s="8">
        <v>800000.0</v>
      </c>
      <c r="I79" s="8">
        <v>1800000.0</v>
      </c>
      <c r="J79" s="99" t="s">
        <v>462</v>
      </c>
      <c r="K79" s="78"/>
      <c r="L79" s="8" t="str">
        <f t="shared" si="1"/>
        <v>10.02.2025 </v>
      </c>
      <c r="M79" s="8" t="str">
        <f t="shared" si="2"/>
        <v> 10.11.2025</v>
      </c>
      <c r="N79" s="8">
        <f t="shared" si="3"/>
        <v>39</v>
      </c>
      <c r="O79" s="79">
        <v>3.0</v>
      </c>
      <c r="P79" s="79">
        <v>2.0</v>
      </c>
      <c r="Q79" s="78">
        <f t="shared" si="4"/>
        <v>234</v>
      </c>
      <c r="R79" s="100">
        <f t="shared" si="5"/>
        <v>273</v>
      </c>
      <c r="S79" s="78">
        <f t="shared" si="6"/>
        <v>39</v>
      </c>
      <c r="T79" s="78">
        <f t="shared" si="7"/>
        <v>234</v>
      </c>
      <c r="U79" s="78">
        <f t="shared" si="8"/>
        <v>0</v>
      </c>
      <c r="V79" s="78">
        <f t="shared" si="9"/>
        <v>0</v>
      </c>
      <c r="W79" s="78">
        <f t="shared" si="10"/>
        <v>3418.8</v>
      </c>
      <c r="X79" s="78"/>
      <c r="Y79" s="78"/>
    </row>
    <row r="80">
      <c r="A80" s="8">
        <v>86.0</v>
      </c>
      <c r="B80" s="8">
        <v>83.0</v>
      </c>
      <c r="C80" s="8" t="s">
        <v>464</v>
      </c>
      <c r="D80" s="8" t="s">
        <v>27</v>
      </c>
      <c r="E80" s="108">
        <v>45677.0</v>
      </c>
      <c r="F80" s="8" t="s">
        <v>465</v>
      </c>
      <c r="G80" s="8" t="s">
        <v>466</v>
      </c>
      <c r="H80" s="8">
        <v>500000.0</v>
      </c>
      <c r="I80" s="8">
        <v>1000000.0</v>
      </c>
      <c r="J80" s="99" t="s">
        <v>467</v>
      </c>
      <c r="K80" s="78"/>
      <c r="L80" s="8" t="str">
        <f t="shared" si="1"/>
        <v>21.01.2025 </v>
      </c>
      <c r="M80" s="8" t="str">
        <f t="shared" si="2"/>
        <v> 30.10.2025</v>
      </c>
      <c r="N80" s="8">
        <f t="shared" si="3"/>
        <v>40.3</v>
      </c>
      <c r="O80" s="79">
        <v>3.0</v>
      </c>
      <c r="P80" s="79">
        <v>2.0</v>
      </c>
      <c r="Q80" s="78">
        <f t="shared" si="4"/>
        <v>241.8</v>
      </c>
      <c r="R80" s="100">
        <f t="shared" si="5"/>
        <v>282</v>
      </c>
      <c r="S80" s="78">
        <f t="shared" si="6"/>
        <v>40.3</v>
      </c>
      <c r="T80" s="78">
        <f t="shared" si="7"/>
        <v>241.7</v>
      </c>
      <c r="U80" s="78">
        <f t="shared" si="8"/>
        <v>0.1</v>
      </c>
      <c r="V80" s="78">
        <f t="shared" si="9"/>
        <v>206.8</v>
      </c>
      <c r="W80" s="78">
        <f t="shared" si="10"/>
        <v>2067.8</v>
      </c>
      <c r="X80" s="78"/>
      <c r="Y80" s="78"/>
    </row>
    <row r="81">
      <c r="A81" s="48">
        <v>97.0</v>
      </c>
      <c r="B81" s="48">
        <v>86.0</v>
      </c>
      <c r="C81" s="48" t="s">
        <v>470</v>
      </c>
      <c r="D81" s="48" t="s">
        <v>319</v>
      </c>
      <c r="E81" s="110">
        <v>45678.0</v>
      </c>
      <c r="F81" s="48" t="s">
        <v>880</v>
      </c>
      <c r="G81" s="48" t="s">
        <v>881</v>
      </c>
      <c r="H81" s="48">
        <v>1000000.0</v>
      </c>
      <c r="I81" s="48">
        <v>1000000.0</v>
      </c>
      <c r="J81" s="47" t="s">
        <v>474</v>
      </c>
      <c r="K81" s="13"/>
      <c r="L81" s="7" t="str">
        <f t="shared" si="1"/>
        <v>22.01.2025 </v>
      </c>
      <c r="M81" s="7" t="str">
        <f t="shared" si="2"/>
        <v>22.08.2026 </v>
      </c>
      <c r="N81" s="7">
        <f t="shared" si="3"/>
        <v>82.4</v>
      </c>
      <c r="O81" s="14">
        <v>3.0</v>
      </c>
      <c r="P81" s="14">
        <v>2.0</v>
      </c>
      <c r="Q81" s="13">
        <f t="shared" si="4"/>
        <v>494.4</v>
      </c>
      <c r="R81" s="15">
        <f t="shared" si="5"/>
        <v>414</v>
      </c>
      <c r="S81" s="13">
        <f t="shared" si="6"/>
        <v>59.1</v>
      </c>
      <c r="T81" s="13">
        <f t="shared" si="7"/>
        <v>354.9</v>
      </c>
      <c r="U81" s="13">
        <f t="shared" si="8"/>
        <v>139.5</v>
      </c>
      <c r="V81" s="13">
        <f t="shared" si="9"/>
        <v>282166.7</v>
      </c>
      <c r="W81" s="13">
        <f t="shared" si="10"/>
        <v>2022.7</v>
      </c>
      <c r="X81" s="13"/>
      <c r="Y81" s="13"/>
    </row>
    <row r="82">
      <c r="A82" s="8">
        <v>88.0</v>
      </c>
      <c r="B82" s="8">
        <v>92.0</v>
      </c>
      <c r="C82" s="8" t="s">
        <v>477</v>
      </c>
      <c r="D82" s="8" t="s">
        <v>290</v>
      </c>
      <c r="E82" s="98">
        <v>45703.0</v>
      </c>
      <c r="F82" s="8" t="s">
        <v>401</v>
      </c>
      <c r="G82" s="8" t="s">
        <v>478</v>
      </c>
      <c r="H82" s="8">
        <v>1000000.0</v>
      </c>
      <c r="I82" s="8">
        <v>2300000.0</v>
      </c>
      <c r="J82" s="99" t="s">
        <v>479</v>
      </c>
      <c r="K82" s="78"/>
      <c r="L82" s="8" t="str">
        <f t="shared" si="1"/>
        <v>19.02.2025 </v>
      </c>
      <c r="M82" s="8" t="str">
        <f t="shared" si="2"/>
        <v> 19.11.2025</v>
      </c>
      <c r="N82" s="8">
        <f t="shared" si="3"/>
        <v>39</v>
      </c>
      <c r="O82" s="79">
        <v>3.0</v>
      </c>
      <c r="P82" s="79">
        <v>2.0</v>
      </c>
      <c r="Q82" s="78">
        <f t="shared" si="4"/>
        <v>234</v>
      </c>
      <c r="R82" s="100">
        <f t="shared" si="5"/>
        <v>273</v>
      </c>
      <c r="S82" s="78">
        <f t="shared" si="6"/>
        <v>39</v>
      </c>
      <c r="T82" s="78">
        <f t="shared" si="7"/>
        <v>234</v>
      </c>
      <c r="U82" s="78">
        <f t="shared" si="8"/>
        <v>0</v>
      </c>
      <c r="V82" s="78">
        <f t="shared" si="9"/>
        <v>0</v>
      </c>
      <c r="W82" s="78">
        <f t="shared" si="10"/>
        <v>4273.5</v>
      </c>
      <c r="X82" s="78"/>
      <c r="Y82" s="78"/>
    </row>
    <row r="83">
      <c r="A83" s="7">
        <v>90.0</v>
      </c>
      <c r="B83" s="8">
        <v>100.0</v>
      </c>
      <c r="C83" s="7" t="s">
        <v>485</v>
      </c>
      <c r="D83" s="7" t="s">
        <v>62</v>
      </c>
      <c r="E83" s="50">
        <v>45747.0</v>
      </c>
      <c r="F83" s="7" t="s">
        <v>401</v>
      </c>
      <c r="G83" s="7" t="s">
        <v>486</v>
      </c>
      <c r="H83" s="7">
        <v>950000.0</v>
      </c>
      <c r="I83" s="7">
        <v>1950000.0</v>
      </c>
      <c r="J83" s="11" t="s">
        <v>488</v>
      </c>
      <c r="K83" s="13"/>
      <c r="L83" s="7" t="str">
        <f t="shared" si="1"/>
        <v>31.03.2025</v>
      </c>
      <c r="M83" s="7" t="str">
        <f t="shared" si="2"/>
        <v>31.12.2025</v>
      </c>
      <c r="N83" s="7">
        <f t="shared" si="3"/>
        <v>39.3</v>
      </c>
      <c r="O83" s="14">
        <v>3.0</v>
      </c>
      <c r="P83" s="14">
        <v>2.0</v>
      </c>
      <c r="Q83" s="13">
        <f t="shared" si="4"/>
        <v>235.8</v>
      </c>
      <c r="R83" s="15">
        <f t="shared" si="5"/>
        <v>275</v>
      </c>
      <c r="S83" s="13">
        <f t="shared" si="6"/>
        <v>39.3</v>
      </c>
      <c r="T83" s="13">
        <f t="shared" si="7"/>
        <v>235.7</v>
      </c>
      <c r="U83" s="13">
        <f t="shared" si="8"/>
        <v>0.1</v>
      </c>
      <c r="V83" s="13">
        <f t="shared" si="9"/>
        <v>402.9</v>
      </c>
      <c r="W83" s="13">
        <f t="shared" si="10"/>
        <v>4028.8</v>
      </c>
      <c r="X83" s="13"/>
      <c r="Y83" s="13"/>
    </row>
    <row r="84">
      <c r="A84" s="7">
        <v>91.0</v>
      </c>
      <c r="B84" s="8">
        <v>94.0</v>
      </c>
      <c r="C84" s="7" t="s">
        <v>490</v>
      </c>
      <c r="D84" s="7" t="s">
        <v>27</v>
      </c>
      <c r="E84" s="50">
        <v>45713.0</v>
      </c>
      <c r="F84" s="7" t="s">
        <v>491</v>
      </c>
      <c r="G84" s="7" t="s">
        <v>492</v>
      </c>
      <c r="H84" s="7">
        <v>750000.0</v>
      </c>
      <c r="I84" s="7">
        <v>2500000.0</v>
      </c>
      <c r="J84" s="11" t="s">
        <v>493</v>
      </c>
      <c r="K84" s="13"/>
      <c r="L84" s="7" t="str">
        <f t="shared" si="1"/>
        <v>26.02.2025</v>
      </c>
      <c r="M84" s="7" t="str">
        <f t="shared" si="2"/>
        <v>26.11.2025</v>
      </c>
      <c r="N84" s="7">
        <f t="shared" si="3"/>
        <v>39</v>
      </c>
      <c r="O84" s="14">
        <v>3.0</v>
      </c>
      <c r="P84" s="14">
        <v>2.0</v>
      </c>
      <c r="Q84" s="13">
        <f t="shared" si="4"/>
        <v>234</v>
      </c>
      <c r="R84" s="15">
        <f t="shared" si="5"/>
        <v>273</v>
      </c>
      <c r="S84" s="13">
        <f t="shared" si="6"/>
        <v>39</v>
      </c>
      <c r="T84" s="13">
        <f t="shared" si="7"/>
        <v>234</v>
      </c>
      <c r="U84" s="13">
        <f t="shared" si="8"/>
        <v>0</v>
      </c>
      <c r="V84" s="13">
        <f t="shared" si="9"/>
        <v>0</v>
      </c>
      <c r="W84" s="13">
        <f t="shared" si="10"/>
        <v>3205.1</v>
      </c>
      <c r="X84" s="13"/>
      <c r="Y84" s="13"/>
    </row>
    <row r="85">
      <c r="A85" s="7">
        <v>92.0</v>
      </c>
      <c r="B85" s="8">
        <v>95.0</v>
      </c>
      <c r="C85" s="7" t="s">
        <v>495</v>
      </c>
      <c r="D85" s="7" t="s">
        <v>62</v>
      </c>
      <c r="E85" s="50">
        <v>45726.0</v>
      </c>
      <c r="F85" s="12"/>
      <c r="G85" s="12"/>
      <c r="H85" s="12"/>
      <c r="I85" s="12"/>
      <c r="J85" s="11" t="s">
        <v>496</v>
      </c>
      <c r="K85" s="13"/>
      <c r="L85" s="7" t="str">
        <f t="shared" si="1"/>
        <v>#VALUE!</v>
      </c>
      <c r="M85" s="7" t="str">
        <f t="shared" si="2"/>
        <v>#VALUE!</v>
      </c>
      <c r="N85" s="7" t="str">
        <f t="shared" si="3"/>
        <v>#VALUE!</v>
      </c>
      <c r="O85" s="14">
        <v>3.0</v>
      </c>
      <c r="P85" s="14">
        <v>2.0</v>
      </c>
      <c r="Q85" s="13" t="str">
        <f t="shared" si="4"/>
        <v>#VALUE!</v>
      </c>
      <c r="R85" s="15" t="str">
        <f t="shared" si="5"/>
        <v>#VALUE!</v>
      </c>
      <c r="S85" s="13" t="str">
        <f t="shared" si="6"/>
        <v>#VALUE!</v>
      </c>
      <c r="T85" s="13" t="str">
        <f t="shared" si="7"/>
        <v>#VALUE!</v>
      </c>
      <c r="U85" s="13" t="str">
        <f t="shared" si="8"/>
        <v>#VALUE!</v>
      </c>
      <c r="V85" s="13" t="str">
        <f t="shared" si="9"/>
        <v>#VALUE!</v>
      </c>
      <c r="W85" s="13" t="str">
        <f t="shared" si="10"/>
        <v>#VALUE!</v>
      </c>
      <c r="X85" s="13"/>
      <c r="Y85" s="13"/>
    </row>
    <row r="86">
      <c r="A86" s="7">
        <v>93.0</v>
      </c>
      <c r="B86" s="8">
        <v>96.0</v>
      </c>
      <c r="C86" s="7" t="s">
        <v>498</v>
      </c>
      <c r="D86" s="7" t="s">
        <v>290</v>
      </c>
      <c r="E86" s="9">
        <v>45716.0</v>
      </c>
      <c r="F86" s="7" t="s">
        <v>401</v>
      </c>
      <c r="G86" s="7" t="s">
        <v>499</v>
      </c>
      <c r="H86" s="7">
        <v>1000000.0</v>
      </c>
      <c r="I86" s="7">
        <v>2000000.0</v>
      </c>
      <c r="J86" s="11" t="s">
        <v>500</v>
      </c>
      <c r="K86" s="13"/>
      <c r="L86" s="7" t="str">
        <f t="shared" si="1"/>
        <v>03.03.2025</v>
      </c>
      <c r="M86" s="7" t="str">
        <f t="shared" si="2"/>
        <v>03.12.2025</v>
      </c>
      <c r="N86" s="7">
        <f t="shared" si="3"/>
        <v>39.3</v>
      </c>
      <c r="O86" s="14">
        <v>3.0</v>
      </c>
      <c r="P86" s="14">
        <v>2.0</v>
      </c>
      <c r="Q86" s="13">
        <f t="shared" si="4"/>
        <v>235.8</v>
      </c>
      <c r="R86" s="15">
        <f t="shared" si="5"/>
        <v>275</v>
      </c>
      <c r="S86" s="13">
        <f t="shared" si="6"/>
        <v>39.3</v>
      </c>
      <c r="T86" s="13">
        <f t="shared" si="7"/>
        <v>235.7</v>
      </c>
      <c r="U86" s="13">
        <f t="shared" si="8"/>
        <v>0.1</v>
      </c>
      <c r="V86" s="13">
        <f t="shared" si="9"/>
        <v>424.1</v>
      </c>
      <c r="W86" s="13">
        <f t="shared" si="10"/>
        <v>4240.9</v>
      </c>
      <c r="X86" s="13"/>
      <c r="Y86" s="13"/>
    </row>
    <row r="87">
      <c r="A87" s="7">
        <v>94.0</v>
      </c>
      <c r="B87" s="8">
        <v>96.0</v>
      </c>
      <c r="C87" s="7" t="s">
        <v>503</v>
      </c>
      <c r="D87" s="7" t="s">
        <v>319</v>
      </c>
      <c r="E87" s="9">
        <v>45728.0</v>
      </c>
      <c r="F87" s="7" t="s">
        <v>28</v>
      </c>
      <c r="G87" s="7" t="s">
        <v>504</v>
      </c>
      <c r="H87" s="7">
        <v>650000.0</v>
      </c>
      <c r="I87" s="7">
        <v>2300000.0</v>
      </c>
      <c r="J87" s="11" t="s">
        <v>506</v>
      </c>
      <c r="K87" s="13"/>
      <c r="L87" s="7" t="str">
        <f t="shared" si="1"/>
        <v>12.03.2025</v>
      </c>
      <c r="M87" s="7" t="str">
        <f t="shared" si="2"/>
        <v>12.12.2025</v>
      </c>
      <c r="N87" s="7">
        <f t="shared" si="3"/>
        <v>39.3</v>
      </c>
      <c r="O87" s="14">
        <v>3.0</v>
      </c>
      <c r="P87" s="14">
        <v>2.0</v>
      </c>
      <c r="Q87" s="13">
        <f t="shared" si="4"/>
        <v>235.8</v>
      </c>
      <c r="R87" s="15">
        <f t="shared" si="5"/>
        <v>275</v>
      </c>
      <c r="S87" s="13">
        <f t="shared" si="6"/>
        <v>39.3</v>
      </c>
      <c r="T87" s="13">
        <f t="shared" si="7"/>
        <v>235.7</v>
      </c>
      <c r="U87" s="13">
        <f t="shared" si="8"/>
        <v>0.1</v>
      </c>
      <c r="V87" s="13">
        <f t="shared" si="9"/>
        <v>275.7</v>
      </c>
      <c r="W87" s="13">
        <f t="shared" si="10"/>
        <v>2756.6</v>
      </c>
      <c r="X87" s="13"/>
      <c r="Y87" s="13"/>
    </row>
    <row r="88">
      <c r="A88" s="8">
        <v>95.0</v>
      </c>
      <c r="B88" s="8">
        <v>96.0</v>
      </c>
      <c r="C88" s="8" t="s">
        <v>508</v>
      </c>
      <c r="D88" s="8" t="s">
        <v>319</v>
      </c>
      <c r="E88" s="111">
        <v>45731.0</v>
      </c>
      <c r="F88" s="8" t="s">
        <v>509</v>
      </c>
      <c r="G88" s="8" t="s">
        <v>510</v>
      </c>
      <c r="H88" s="8">
        <v>90000.0</v>
      </c>
      <c r="I88" s="8">
        <v>940000.0</v>
      </c>
      <c r="J88" s="99" t="s">
        <v>511</v>
      </c>
      <c r="K88" s="78"/>
      <c r="L88" s="8" t="str">
        <f t="shared" si="1"/>
        <v>15.03.2025</v>
      </c>
      <c r="M88" s="8" t="str">
        <f t="shared" si="2"/>
        <v>31.08.2025</v>
      </c>
      <c r="N88" s="8">
        <f t="shared" si="3"/>
        <v>24.1</v>
      </c>
      <c r="O88" s="79">
        <v>3.0</v>
      </c>
      <c r="P88" s="79">
        <v>2.0</v>
      </c>
      <c r="Q88" s="78">
        <f t="shared" si="4"/>
        <v>144.6</v>
      </c>
      <c r="R88" s="100">
        <f t="shared" si="5"/>
        <v>169</v>
      </c>
      <c r="S88" s="78">
        <f t="shared" si="6"/>
        <v>24.1</v>
      </c>
      <c r="T88" s="78">
        <f t="shared" si="7"/>
        <v>144.6</v>
      </c>
      <c r="U88" s="78">
        <f t="shared" si="8"/>
        <v>0</v>
      </c>
      <c r="V88" s="78">
        <f t="shared" si="9"/>
        <v>0</v>
      </c>
      <c r="W88" s="78">
        <f t="shared" si="10"/>
        <v>622.4</v>
      </c>
      <c r="X88" s="78"/>
      <c r="Y88" s="78"/>
    </row>
    <row r="89">
      <c r="A89" s="8">
        <v>96.0</v>
      </c>
      <c r="B89" s="8">
        <v>98.0</v>
      </c>
      <c r="C89" s="8" t="s">
        <v>513</v>
      </c>
      <c r="D89" s="8" t="s">
        <v>319</v>
      </c>
      <c r="E89" s="98">
        <v>45743.0</v>
      </c>
      <c r="F89" s="8" t="s">
        <v>514</v>
      </c>
      <c r="G89" s="8" t="s">
        <v>882</v>
      </c>
      <c r="H89" s="8">
        <v>115000.0</v>
      </c>
      <c r="I89" s="8">
        <v>1150000.0</v>
      </c>
      <c r="J89" s="99" t="s">
        <v>515</v>
      </c>
      <c r="K89" s="78"/>
      <c r="L89" s="8" t="str">
        <f t="shared" si="1"/>
        <v>27.03.2025</v>
      </c>
      <c r="M89" s="8" t="str">
        <f t="shared" si="2"/>
        <v>27.04.2025</v>
      </c>
      <c r="N89" s="8">
        <f t="shared" si="3"/>
        <v>4.4</v>
      </c>
      <c r="O89" s="79">
        <v>3.0</v>
      </c>
      <c r="P89" s="79">
        <v>2.0</v>
      </c>
      <c r="Q89" s="78">
        <f t="shared" si="4"/>
        <v>26.4</v>
      </c>
      <c r="R89" s="100">
        <f t="shared" si="5"/>
        <v>31</v>
      </c>
      <c r="S89" s="78">
        <f t="shared" si="6"/>
        <v>4.4</v>
      </c>
      <c r="T89" s="78">
        <f t="shared" si="7"/>
        <v>26.4</v>
      </c>
      <c r="U89" s="78">
        <f t="shared" si="8"/>
        <v>0</v>
      </c>
      <c r="V89" s="78">
        <f t="shared" si="9"/>
        <v>0</v>
      </c>
      <c r="W89" s="78">
        <f t="shared" si="10"/>
        <v>4356.1</v>
      </c>
      <c r="X89" s="78"/>
      <c r="Y89" s="78"/>
    </row>
    <row r="90">
      <c r="A90" s="7">
        <v>104.0</v>
      </c>
      <c r="B90" s="8">
        <v>101.0</v>
      </c>
      <c r="C90" s="7" t="s">
        <v>517</v>
      </c>
      <c r="D90" s="7" t="s">
        <v>62</v>
      </c>
      <c r="E90" s="9">
        <v>45747.0</v>
      </c>
      <c r="F90" s="7" t="s">
        <v>28</v>
      </c>
      <c r="G90" s="7" t="s">
        <v>518</v>
      </c>
      <c r="H90" s="7">
        <v>1025000.0</v>
      </c>
      <c r="I90" s="7">
        <v>3050000.0</v>
      </c>
      <c r="J90" s="11" t="s">
        <v>521</v>
      </c>
      <c r="K90" s="13"/>
      <c r="L90" s="7" t="str">
        <f t="shared" si="1"/>
        <v>01.04.2025</v>
      </c>
      <c r="M90" s="7" t="str">
        <f t="shared" si="2"/>
        <v>01.12.2025</v>
      </c>
      <c r="N90" s="7">
        <f t="shared" si="3"/>
        <v>34.9</v>
      </c>
      <c r="O90" s="14">
        <v>3.0</v>
      </c>
      <c r="P90" s="14">
        <v>2.0</v>
      </c>
      <c r="Q90" s="13">
        <f t="shared" si="4"/>
        <v>209.4</v>
      </c>
      <c r="R90" s="15">
        <f t="shared" si="5"/>
        <v>244</v>
      </c>
      <c r="S90" s="13">
        <f t="shared" si="6"/>
        <v>34.9</v>
      </c>
      <c r="T90" s="13">
        <f t="shared" si="7"/>
        <v>209.1</v>
      </c>
      <c r="U90" s="13">
        <f t="shared" si="8"/>
        <v>0.3</v>
      </c>
      <c r="V90" s="13">
        <f t="shared" si="9"/>
        <v>1468.5</v>
      </c>
      <c r="W90" s="13">
        <f t="shared" si="10"/>
        <v>4894.9</v>
      </c>
      <c r="X90" s="13"/>
      <c r="Y90" s="13"/>
    </row>
    <row r="91">
      <c r="A91" s="7">
        <v>98.0</v>
      </c>
      <c r="B91" s="7">
        <v>104.0</v>
      </c>
      <c r="C91" s="7" t="s">
        <v>531</v>
      </c>
      <c r="D91" s="51" t="s">
        <v>62</v>
      </c>
      <c r="E91" s="9">
        <v>45752.0</v>
      </c>
      <c r="F91" s="7" t="s">
        <v>532</v>
      </c>
      <c r="G91" s="48" t="s">
        <v>533</v>
      </c>
      <c r="H91" s="7">
        <v>90000.0</v>
      </c>
      <c r="I91" s="7">
        <v>740000.0</v>
      </c>
      <c r="J91" s="12"/>
      <c r="K91" s="13"/>
      <c r="L91" s="7" t="str">
        <f t="shared" si="1"/>
        <v>07.04.2025</v>
      </c>
      <c r="M91" s="7" t="str">
        <f t="shared" si="2"/>
        <v>31.08.2026</v>
      </c>
      <c r="N91" s="7">
        <f t="shared" si="3"/>
        <v>73</v>
      </c>
      <c r="O91" s="14">
        <v>3.0</v>
      </c>
      <c r="P91" s="14">
        <v>2.0</v>
      </c>
      <c r="Q91" s="13">
        <f t="shared" si="4"/>
        <v>438</v>
      </c>
      <c r="R91" s="15">
        <f t="shared" si="5"/>
        <v>339</v>
      </c>
      <c r="S91" s="13">
        <f t="shared" si="6"/>
        <v>48.4</v>
      </c>
      <c r="T91" s="13">
        <f t="shared" si="7"/>
        <v>290.6</v>
      </c>
      <c r="U91" s="13">
        <f t="shared" si="8"/>
        <v>147.4</v>
      </c>
      <c r="V91" s="13">
        <f t="shared" si="9"/>
        <v>30290.7</v>
      </c>
      <c r="W91" s="13">
        <f t="shared" si="10"/>
        <v>205.5</v>
      </c>
      <c r="X91" s="13"/>
      <c r="Y91" s="13"/>
    </row>
    <row r="92">
      <c r="A92" s="7">
        <v>99.0</v>
      </c>
      <c r="B92" s="8">
        <v>103.0</v>
      </c>
      <c r="C92" s="7" t="s">
        <v>535</v>
      </c>
      <c r="D92" s="7" t="s">
        <v>62</v>
      </c>
      <c r="E92" s="9">
        <v>45751.0</v>
      </c>
      <c r="F92" s="7" t="s">
        <v>401</v>
      </c>
      <c r="G92" s="48" t="s">
        <v>533</v>
      </c>
      <c r="H92" s="7">
        <v>595000.0</v>
      </c>
      <c r="I92" s="7">
        <v>1595000.0</v>
      </c>
      <c r="J92" s="29" t="s">
        <v>537</v>
      </c>
      <c r="K92" s="13"/>
      <c r="L92" s="7" t="str">
        <f t="shared" si="1"/>
        <v>07.04.2025</v>
      </c>
      <c r="M92" s="7" t="str">
        <f t="shared" si="2"/>
        <v>31.08.2026</v>
      </c>
      <c r="N92" s="7">
        <f t="shared" si="3"/>
        <v>73</v>
      </c>
      <c r="O92" s="14">
        <v>3.0</v>
      </c>
      <c r="P92" s="14">
        <v>2.0</v>
      </c>
      <c r="Q92" s="13">
        <f t="shared" si="4"/>
        <v>438</v>
      </c>
      <c r="R92" s="15">
        <f t="shared" si="5"/>
        <v>339</v>
      </c>
      <c r="S92" s="13">
        <f t="shared" si="6"/>
        <v>48.4</v>
      </c>
      <c r="T92" s="13">
        <f t="shared" si="7"/>
        <v>290.6</v>
      </c>
      <c r="U92" s="13">
        <f t="shared" si="8"/>
        <v>147.4</v>
      </c>
      <c r="V92" s="13">
        <f t="shared" si="9"/>
        <v>200228.2</v>
      </c>
      <c r="W92" s="13">
        <f t="shared" si="10"/>
        <v>1358.4</v>
      </c>
      <c r="X92" s="13"/>
      <c r="Y92" s="13"/>
    </row>
    <row r="93">
      <c r="A93" s="8">
        <v>100.0</v>
      </c>
      <c r="B93" s="23"/>
      <c r="C93" s="8" t="s">
        <v>539</v>
      </c>
      <c r="D93" s="8" t="s">
        <v>27</v>
      </c>
      <c r="E93" s="98">
        <v>45726.0</v>
      </c>
      <c r="F93" s="8" t="s">
        <v>465</v>
      </c>
      <c r="G93" s="8" t="s">
        <v>540</v>
      </c>
      <c r="H93" s="23"/>
      <c r="I93" s="23"/>
      <c r="J93" s="23"/>
      <c r="K93" s="78"/>
      <c r="L93" s="8" t="str">
        <f t="shared" si="1"/>
        <v>10.03.2025</v>
      </c>
      <c r="M93" s="8" t="str">
        <f t="shared" si="2"/>
        <v>10.12.2025</v>
      </c>
      <c r="N93" s="8">
        <f t="shared" si="3"/>
        <v>39.3</v>
      </c>
      <c r="O93" s="79">
        <v>3.0</v>
      </c>
      <c r="P93" s="79">
        <v>2.0</v>
      </c>
      <c r="Q93" s="78">
        <f t="shared" si="4"/>
        <v>235.8</v>
      </c>
      <c r="R93" s="100">
        <f t="shared" si="5"/>
        <v>275</v>
      </c>
      <c r="S93" s="78">
        <f t="shared" si="6"/>
        <v>39.3</v>
      </c>
      <c r="T93" s="78">
        <f t="shared" si="7"/>
        <v>235.7</v>
      </c>
      <c r="U93" s="78">
        <f t="shared" si="8"/>
        <v>0.1</v>
      </c>
      <c r="V93" s="78">
        <f t="shared" si="9"/>
        <v>0</v>
      </c>
      <c r="W93" s="78">
        <f t="shared" si="10"/>
        <v>0</v>
      </c>
      <c r="X93" s="78"/>
      <c r="Y93" s="78"/>
    </row>
    <row r="94" ht="27.75" customHeight="1">
      <c r="A94" s="10">
        <v>102.0</v>
      </c>
      <c r="B94" s="10">
        <v>95.0</v>
      </c>
      <c r="C94" s="10" t="s">
        <v>542</v>
      </c>
      <c r="D94" s="10" t="s">
        <v>290</v>
      </c>
      <c r="E94" s="18">
        <v>45734.0</v>
      </c>
      <c r="F94" s="10" t="s">
        <v>543</v>
      </c>
      <c r="G94" s="10" t="s">
        <v>883</v>
      </c>
      <c r="H94" s="10">
        <v>1500000.0</v>
      </c>
      <c r="I94" s="10">
        <v>100000.0</v>
      </c>
      <c r="J94" s="20"/>
      <c r="K94" s="21"/>
      <c r="L94" s="7" t="str">
        <f t="shared" si="1"/>
        <v>18.03.2025</v>
      </c>
      <c r="M94" s="7" t="str">
        <f t="shared" si="2"/>
        <v>18.06.2025</v>
      </c>
      <c r="N94" s="7">
        <f t="shared" si="3"/>
        <v>13.1</v>
      </c>
      <c r="O94" s="14">
        <v>3.0</v>
      </c>
      <c r="P94" s="14">
        <v>2.0</v>
      </c>
      <c r="Q94" s="13">
        <f t="shared" si="4"/>
        <v>78.6</v>
      </c>
      <c r="R94" s="15">
        <f t="shared" si="5"/>
        <v>92</v>
      </c>
      <c r="S94" s="13">
        <f t="shared" si="6"/>
        <v>13.1</v>
      </c>
      <c r="T94" s="13">
        <f t="shared" si="7"/>
        <v>78.6</v>
      </c>
      <c r="U94" s="13">
        <f t="shared" si="8"/>
        <v>0</v>
      </c>
      <c r="V94" s="13">
        <f t="shared" si="9"/>
        <v>0</v>
      </c>
      <c r="W94" s="13">
        <f t="shared" si="10"/>
        <v>19084</v>
      </c>
      <c r="X94" s="13"/>
      <c r="Y94" s="13"/>
    </row>
    <row r="95">
      <c r="A95" s="7">
        <v>103.0</v>
      </c>
      <c r="B95" s="23"/>
      <c r="C95" s="7" t="s">
        <v>546</v>
      </c>
      <c r="D95" s="7" t="s">
        <v>290</v>
      </c>
      <c r="E95" s="12"/>
      <c r="F95" s="12"/>
      <c r="G95" s="12"/>
      <c r="H95" s="12"/>
      <c r="I95" s="12"/>
      <c r="J95" s="12"/>
      <c r="K95" s="13"/>
      <c r="L95" s="7" t="str">
        <f t="shared" si="1"/>
        <v>#VALUE!</v>
      </c>
      <c r="M95" s="7" t="str">
        <f t="shared" si="2"/>
        <v>#VALUE!</v>
      </c>
      <c r="N95" s="7" t="str">
        <f t="shared" si="3"/>
        <v>#VALUE!</v>
      </c>
      <c r="O95" s="14">
        <v>3.0</v>
      </c>
      <c r="P95" s="14">
        <v>2.0</v>
      </c>
      <c r="Q95" s="13" t="str">
        <f t="shared" si="4"/>
        <v>#VALUE!</v>
      </c>
      <c r="R95" s="15" t="str">
        <f t="shared" si="5"/>
        <v>#VALUE!</v>
      </c>
      <c r="S95" s="13" t="str">
        <f t="shared" si="6"/>
        <v>#VALUE!</v>
      </c>
      <c r="T95" s="13" t="str">
        <f t="shared" si="7"/>
        <v>#VALUE!</v>
      </c>
      <c r="U95" s="13" t="str">
        <f t="shared" si="8"/>
        <v>#VALUE!</v>
      </c>
      <c r="V95" s="13" t="str">
        <f t="shared" si="9"/>
        <v>#VALUE!</v>
      </c>
      <c r="W95" s="13" t="str">
        <f t="shared" si="10"/>
        <v>#VALUE!</v>
      </c>
      <c r="X95" s="13"/>
      <c r="Y95" s="13"/>
    </row>
    <row r="96">
      <c r="A96" s="12"/>
      <c r="B96" s="12"/>
      <c r="C96" s="10" t="s">
        <v>547</v>
      </c>
      <c r="D96" s="12"/>
      <c r="E96" s="12"/>
      <c r="F96" s="12"/>
      <c r="G96" s="12"/>
      <c r="H96" s="12"/>
      <c r="I96" s="12"/>
      <c r="J96" s="12"/>
      <c r="K96" s="13"/>
      <c r="L96" s="7" t="str">
        <f t="shared" si="1"/>
        <v>#VALUE!</v>
      </c>
      <c r="M96" s="7" t="str">
        <f t="shared" si="2"/>
        <v>#VALUE!</v>
      </c>
      <c r="N96" s="7" t="str">
        <f t="shared" si="3"/>
        <v>#VALUE!</v>
      </c>
      <c r="O96" s="14">
        <v>3.0</v>
      </c>
      <c r="P96" s="14">
        <v>2.0</v>
      </c>
      <c r="Q96" s="13" t="str">
        <f t="shared" si="4"/>
        <v>#VALUE!</v>
      </c>
      <c r="R96" s="15" t="str">
        <f t="shared" si="5"/>
        <v>#VALUE!</v>
      </c>
      <c r="S96" s="13" t="str">
        <f t="shared" si="6"/>
        <v>#VALUE!</v>
      </c>
      <c r="T96" s="13" t="str">
        <f t="shared" si="7"/>
        <v>#VALUE!</v>
      </c>
      <c r="U96" s="13" t="str">
        <f t="shared" si="8"/>
        <v>#VALUE!</v>
      </c>
      <c r="V96" s="13" t="str">
        <f t="shared" si="9"/>
        <v>#VALUE!</v>
      </c>
      <c r="W96" s="13" t="str">
        <f t="shared" si="10"/>
        <v>#VALUE!</v>
      </c>
      <c r="X96" s="13"/>
      <c r="Y96" s="13"/>
    </row>
    <row r="97">
      <c r="A97" s="12"/>
      <c r="B97" s="12"/>
      <c r="C97" s="10" t="s">
        <v>884</v>
      </c>
      <c r="D97" s="12"/>
      <c r="E97" s="12"/>
      <c r="F97" s="12"/>
      <c r="G97" s="12"/>
      <c r="H97" s="12"/>
      <c r="I97" s="12"/>
      <c r="J97" s="12"/>
      <c r="K97" s="13"/>
      <c r="L97" s="7" t="str">
        <f t="shared" si="1"/>
        <v>#VALUE!</v>
      </c>
      <c r="M97" s="7" t="str">
        <f t="shared" si="2"/>
        <v>#VALUE!</v>
      </c>
      <c r="N97" s="7" t="str">
        <f t="shared" si="3"/>
        <v>#VALUE!</v>
      </c>
      <c r="O97" s="14">
        <v>3.0</v>
      </c>
      <c r="P97" s="14">
        <v>2.0</v>
      </c>
      <c r="Q97" s="13" t="str">
        <f t="shared" si="4"/>
        <v>#VALUE!</v>
      </c>
      <c r="R97" s="15" t="str">
        <f t="shared" si="5"/>
        <v>#VALUE!</v>
      </c>
      <c r="S97" s="13" t="str">
        <f t="shared" si="6"/>
        <v>#VALUE!</v>
      </c>
      <c r="T97" s="13" t="str">
        <f t="shared" si="7"/>
        <v>#VALUE!</v>
      </c>
      <c r="U97" s="13" t="str">
        <f t="shared" si="8"/>
        <v>#VALUE!</v>
      </c>
      <c r="V97" s="13" t="str">
        <f t="shared" si="9"/>
        <v>#VALUE!</v>
      </c>
      <c r="W97" s="13" t="str">
        <f t="shared" si="10"/>
        <v>#VALUE!</v>
      </c>
      <c r="X97" s="13"/>
      <c r="Y97" s="13"/>
    </row>
    <row r="98">
      <c r="A98" s="12"/>
      <c r="B98" s="12"/>
      <c r="C98" s="10" t="s">
        <v>552</v>
      </c>
      <c r="D98" s="12"/>
      <c r="E98" s="12"/>
      <c r="F98" s="12"/>
      <c r="G98" s="12"/>
      <c r="H98" s="12"/>
      <c r="I98" s="12"/>
      <c r="J98" s="12"/>
      <c r="K98" s="13"/>
      <c r="L98" s="7" t="str">
        <f t="shared" si="1"/>
        <v>#VALUE!</v>
      </c>
      <c r="M98" s="7" t="str">
        <f t="shared" si="2"/>
        <v>#VALUE!</v>
      </c>
      <c r="N98" s="7" t="str">
        <f t="shared" si="3"/>
        <v>#VALUE!</v>
      </c>
      <c r="O98" s="14">
        <v>3.0</v>
      </c>
      <c r="P98" s="14">
        <v>2.0</v>
      </c>
      <c r="Q98" s="13" t="str">
        <f t="shared" si="4"/>
        <v>#VALUE!</v>
      </c>
      <c r="R98" s="15" t="str">
        <f t="shared" si="5"/>
        <v>#VALUE!</v>
      </c>
      <c r="S98" s="13" t="str">
        <f t="shared" si="6"/>
        <v>#VALUE!</v>
      </c>
      <c r="T98" s="13" t="str">
        <f t="shared" si="7"/>
        <v>#VALUE!</v>
      </c>
      <c r="U98" s="13" t="str">
        <f t="shared" si="8"/>
        <v>#VALUE!</v>
      </c>
      <c r="V98" s="13" t="str">
        <f t="shared" si="9"/>
        <v>#VALUE!</v>
      </c>
      <c r="W98" s="13" t="str">
        <f t="shared" si="10"/>
        <v>#VALUE!</v>
      </c>
      <c r="X98" s="13"/>
      <c r="Y98" s="13"/>
    </row>
    <row r="99">
      <c r="A99" s="7"/>
      <c r="B99" s="7">
        <v>105.0</v>
      </c>
      <c r="C99" s="7" t="s">
        <v>554</v>
      </c>
      <c r="D99" s="7" t="s">
        <v>27</v>
      </c>
      <c r="E99" s="9">
        <v>45804.0</v>
      </c>
      <c r="F99" s="53" t="s">
        <v>555</v>
      </c>
      <c r="G99" s="7" t="s">
        <v>556</v>
      </c>
      <c r="H99" s="7">
        <v>400000.0</v>
      </c>
      <c r="I99" s="7">
        <v>1800000.0</v>
      </c>
      <c r="J99" s="7"/>
      <c r="K99" s="13"/>
      <c r="L99" s="7" t="str">
        <f t="shared" si="1"/>
        <v>27.05.2025</v>
      </c>
      <c r="M99" s="7" t="str">
        <f t="shared" si="2"/>
        <v>27.02.2026</v>
      </c>
      <c r="N99" s="7">
        <f t="shared" si="3"/>
        <v>39.4</v>
      </c>
      <c r="O99" s="14">
        <v>3.0</v>
      </c>
      <c r="P99" s="14">
        <v>2.0</v>
      </c>
      <c r="Q99" s="13">
        <f t="shared" si="4"/>
        <v>236.4</v>
      </c>
      <c r="R99" s="15">
        <f t="shared" si="5"/>
        <v>276</v>
      </c>
      <c r="S99" s="13">
        <f t="shared" si="6"/>
        <v>39.4</v>
      </c>
      <c r="T99" s="13">
        <f t="shared" si="7"/>
        <v>236.4</v>
      </c>
      <c r="U99" s="13">
        <f t="shared" si="8"/>
        <v>0</v>
      </c>
      <c r="V99" s="13">
        <f t="shared" si="9"/>
        <v>0</v>
      </c>
      <c r="W99" s="13">
        <f t="shared" si="10"/>
        <v>1692</v>
      </c>
      <c r="X99" s="13"/>
      <c r="Y99" s="13"/>
    </row>
    <row r="100">
      <c r="A100" s="8"/>
      <c r="B100" s="8">
        <v>106.0</v>
      </c>
      <c r="C100" s="8" t="s">
        <v>559</v>
      </c>
      <c r="D100" s="8" t="s">
        <v>62</v>
      </c>
      <c r="E100" s="98">
        <v>45808.0</v>
      </c>
      <c r="F100" s="8" t="s">
        <v>560</v>
      </c>
      <c r="G100" s="8" t="s">
        <v>561</v>
      </c>
      <c r="H100" s="8">
        <v>300000.0</v>
      </c>
      <c r="I100" s="8">
        <v>1300000.0</v>
      </c>
      <c r="J100" s="99" t="s">
        <v>563</v>
      </c>
      <c r="K100" s="78"/>
      <c r="L100" s="8" t="str">
        <f t="shared" si="1"/>
        <v>02.06.2025 </v>
      </c>
      <c r="M100" s="8" t="str">
        <f t="shared" si="2"/>
        <v> 02.11.2025</v>
      </c>
      <c r="N100" s="8">
        <f t="shared" si="3"/>
        <v>21.9</v>
      </c>
      <c r="O100" s="79">
        <v>3.0</v>
      </c>
      <c r="P100" s="79">
        <v>2.0</v>
      </c>
      <c r="Q100" s="78">
        <f t="shared" si="4"/>
        <v>131.4</v>
      </c>
      <c r="R100" s="100">
        <f t="shared" si="5"/>
        <v>153</v>
      </c>
      <c r="S100" s="78">
        <f t="shared" si="6"/>
        <v>21.9</v>
      </c>
      <c r="T100" s="78">
        <f t="shared" si="7"/>
        <v>131.1</v>
      </c>
      <c r="U100" s="78">
        <f t="shared" si="8"/>
        <v>0.3</v>
      </c>
      <c r="V100" s="78">
        <f t="shared" si="9"/>
        <v>684.9</v>
      </c>
      <c r="W100" s="78">
        <f t="shared" si="10"/>
        <v>2283.1</v>
      </c>
      <c r="X100" s="78"/>
      <c r="Y100" s="78"/>
    </row>
    <row r="101" ht="21.75" customHeight="1">
      <c r="A101" s="12"/>
      <c r="B101" s="7">
        <v>108.0</v>
      </c>
      <c r="C101" s="7" t="s">
        <v>572</v>
      </c>
      <c r="D101" s="7" t="s">
        <v>27</v>
      </c>
      <c r="E101" s="9">
        <v>45810.0</v>
      </c>
      <c r="F101" s="7" t="s">
        <v>573</v>
      </c>
      <c r="G101" s="7" t="s">
        <v>574</v>
      </c>
      <c r="H101" s="7">
        <v>500000.0</v>
      </c>
      <c r="I101" s="7">
        <v>1500000.0</v>
      </c>
      <c r="J101" s="11" t="s">
        <v>576</v>
      </c>
      <c r="K101" s="13"/>
      <c r="L101" s="7" t="str">
        <f t="shared" si="1"/>
        <v>02.06.2025 </v>
      </c>
      <c r="M101" s="7" t="str">
        <f t="shared" si="2"/>
        <v> 02.03.2026</v>
      </c>
      <c r="N101" s="7">
        <f t="shared" si="3"/>
        <v>39</v>
      </c>
      <c r="O101" s="14">
        <v>3.0</v>
      </c>
      <c r="P101" s="14">
        <v>2.0</v>
      </c>
      <c r="Q101" s="13">
        <f t="shared" si="4"/>
        <v>234</v>
      </c>
      <c r="R101" s="15">
        <f t="shared" si="5"/>
        <v>273</v>
      </c>
      <c r="S101" s="13">
        <f t="shared" si="6"/>
        <v>39</v>
      </c>
      <c r="T101" s="13">
        <f t="shared" si="7"/>
        <v>234</v>
      </c>
      <c r="U101" s="13">
        <f t="shared" si="8"/>
        <v>0</v>
      </c>
      <c r="V101" s="13">
        <f t="shared" si="9"/>
        <v>0</v>
      </c>
      <c r="W101" s="13">
        <f t="shared" si="10"/>
        <v>2136.8</v>
      </c>
      <c r="X101" s="13"/>
      <c r="Y101" s="13"/>
    </row>
    <row r="102">
      <c r="A102" s="53"/>
      <c r="B102" s="53">
        <v>109.0</v>
      </c>
      <c r="C102" s="56" t="s">
        <v>584</v>
      </c>
      <c r="D102" s="53" t="s">
        <v>62</v>
      </c>
      <c r="E102" s="57">
        <v>45853.0</v>
      </c>
      <c r="F102" s="53" t="s">
        <v>585</v>
      </c>
      <c r="G102" s="53" t="s">
        <v>586</v>
      </c>
      <c r="H102" s="61">
        <v>750000.0</v>
      </c>
      <c r="I102" s="53">
        <v>1800000.0</v>
      </c>
      <c r="J102" s="59" t="s">
        <v>589</v>
      </c>
      <c r="K102" s="60"/>
      <c r="L102" s="7" t="str">
        <f t="shared" si="1"/>
        <v>16.07.2025</v>
      </c>
      <c r="M102" s="7" t="str">
        <f t="shared" si="2"/>
        <v>16.04.2026</v>
      </c>
      <c r="N102" s="7">
        <f t="shared" si="3"/>
        <v>39.1</v>
      </c>
      <c r="O102" s="14">
        <v>3.0</v>
      </c>
      <c r="P102" s="14">
        <v>2.0</v>
      </c>
      <c r="Q102" s="13">
        <f t="shared" si="4"/>
        <v>234.6</v>
      </c>
      <c r="R102" s="15">
        <f t="shared" si="5"/>
        <v>239</v>
      </c>
      <c r="S102" s="13">
        <f t="shared" si="6"/>
        <v>34.1</v>
      </c>
      <c r="T102" s="13">
        <f t="shared" si="7"/>
        <v>204.9</v>
      </c>
      <c r="U102" s="13">
        <f t="shared" si="8"/>
        <v>29.7</v>
      </c>
      <c r="V102" s="13">
        <f t="shared" si="9"/>
        <v>94947.9</v>
      </c>
      <c r="W102" s="13">
        <f t="shared" si="10"/>
        <v>3196.9</v>
      </c>
      <c r="X102" s="60"/>
      <c r="Y102" s="60"/>
    </row>
    <row r="103" ht="27.75" customHeight="1">
      <c r="A103" s="53"/>
      <c r="B103" s="53">
        <v>110.0</v>
      </c>
      <c r="C103" s="53" t="s">
        <v>592</v>
      </c>
      <c r="D103" s="53" t="s">
        <v>27</v>
      </c>
      <c r="E103" s="57">
        <v>45861.0</v>
      </c>
      <c r="F103" s="53" t="s">
        <v>555</v>
      </c>
      <c r="G103" s="61" t="s">
        <v>885</v>
      </c>
      <c r="H103" s="61">
        <v>450000.0</v>
      </c>
      <c r="I103" s="53">
        <v>1900000.0</v>
      </c>
      <c r="J103" s="59" t="s">
        <v>595</v>
      </c>
      <c r="K103" s="60"/>
      <c r="L103" s="7" t="str">
        <f t="shared" si="1"/>
        <v>23.07.2025</v>
      </c>
      <c r="M103" s="7" t="str">
        <f t="shared" si="2"/>
        <v>3.04.2026 </v>
      </c>
      <c r="N103" s="7">
        <f t="shared" si="3"/>
        <v>36.3</v>
      </c>
      <c r="O103" s="14">
        <v>3.0</v>
      </c>
      <c r="P103" s="14">
        <v>2.0</v>
      </c>
      <c r="Q103" s="13">
        <f t="shared" si="4"/>
        <v>217.8</v>
      </c>
      <c r="R103" s="15">
        <f t="shared" si="5"/>
        <v>232</v>
      </c>
      <c r="S103" s="13">
        <f t="shared" si="6"/>
        <v>33.1</v>
      </c>
      <c r="T103" s="13">
        <f t="shared" si="7"/>
        <v>198.9</v>
      </c>
      <c r="U103" s="13">
        <f t="shared" si="8"/>
        <v>18.9</v>
      </c>
      <c r="V103" s="13">
        <f t="shared" si="9"/>
        <v>39049.3</v>
      </c>
      <c r="W103" s="13">
        <f t="shared" si="10"/>
        <v>2066.1</v>
      </c>
      <c r="X103" s="60"/>
      <c r="Y103" s="60"/>
    </row>
    <row r="104">
      <c r="A104" s="53"/>
      <c r="B104" s="53">
        <v>111.0</v>
      </c>
      <c r="C104" s="61" t="s">
        <v>597</v>
      </c>
      <c r="D104" s="61" t="s">
        <v>27</v>
      </c>
      <c r="E104" s="62">
        <v>45862.0</v>
      </c>
      <c r="F104" s="61" t="s">
        <v>598</v>
      </c>
      <c r="G104" s="61" t="s">
        <v>599</v>
      </c>
      <c r="H104" s="61">
        <v>500000.0</v>
      </c>
      <c r="I104" s="61">
        <v>1500000.0</v>
      </c>
      <c r="J104" s="59" t="s">
        <v>600</v>
      </c>
      <c r="K104" s="60"/>
      <c r="L104" s="7" t="str">
        <f t="shared" si="1"/>
        <v>24.07.2025</v>
      </c>
      <c r="M104" s="7" t="str">
        <f t="shared" si="2"/>
        <v>24.04.2026</v>
      </c>
      <c r="N104" s="7">
        <f t="shared" si="3"/>
        <v>39.1</v>
      </c>
      <c r="O104" s="14">
        <v>3.0</v>
      </c>
      <c r="P104" s="14">
        <v>2.0</v>
      </c>
      <c r="Q104" s="13">
        <f t="shared" si="4"/>
        <v>234.6</v>
      </c>
      <c r="R104" s="15">
        <f t="shared" si="5"/>
        <v>231</v>
      </c>
      <c r="S104" s="13">
        <f t="shared" si="6"/>
        <v>33</v>
      </c>
      <c r="T104" s="13">
        <f t="shared" si="7"/>
        <v>198</v>
      </c>
      <c r="U104" s="13">
        <f t="shared" si="8"/>
        <v>36.6</v>
      </c>
      <c r="V104" s="13">
        <f t="shared" si="9"/>
        <v>78005.6</v>
      </c>
      <c r="W104" s="13">
        <f t="shared" si="10"/>
        <v>2131.3</v>
      </c>
      <c r="X104" s="60"/>
      <c r="Y104" s="60"/>
    </row>
    <row r="105">
      <c r="A105" s="53"/>
      <c r="B105" s="53">
        <v>112.0</v>
      </c>
      <c r="C105" s="53" t="s">
        <v>602</v>
      </c>
      <c r="D105" s="53" t="s">
        <v>62</v>
      </c>
      <c r="E105" s="57">
        <v>45870.0</v>
      </c>
      <c r="F105" s="53" t="s">
        <v>555</v>
      </c>
      <c r="G105" s="53" t="s">
        <v>603</v>
      </c>
      <c r="H105" s="61">
        <v>400000.0</v>
      </c>
      <c r="I105" s="53">
        <v>1300000.0</v>
      </c>
      <c r="J105" s="59" t="s">
        <v>606</v>
      </c>
      <c r="K105" s="60"/>
      <c r="L105" s="7" t="str">
        <f t="shared" si="1"/>
        <v>04.08.2025</v>
      </c>
      <c r="M105" s="7" t="str">
        <f t="shared" si="2"/>
        <v>08.05.2026</v>
      </c>
      <c r="N105" s="7">
        <f t="shared" si="3"/>
        <v>39.6</v>
      </c>
      <c r="O105" s="14">
        <v>3.0</v>
      </c>
      <c r="P105" s="14">
        <v>2.0</v>
      </c>
      <c r="Q105" s="13">
        <f t="shared" si="4"/>
        <v>237.6</v>
      </c>
      <c r="R105" s="15">
        <f t="shared" si="5"/>
        <v>220</v>
      </c>
      <c r="S105" s="13">
        <f t="shared" si="6"/>
        <v>31.4</v>
      </c>
      <c r="T105" s="13">
        <f t="shared" si="7"/>
        <v>188.6</v>
      </c>
      <c r="U105" s="13">
        <f t="shared" si="8"/>
        <v>49</v>
      </c>
      <c r="V105" s="13">
        <f t="shared" si="9"/>
        <v>82491.5</v>
      </c>
      <c r="W105" s="13">
        <f t="shared" si="10"/>
        <v>1683.5</v>
      </c>
      <c r="X105" s="60"/>
      <c r="Y105" s="60"/>
    </row>
    <row r="106">
      <c r="A106" s="53"/>
      <c r="B106" s="53">
        <v>113.0</v>
      </c>
      <c r="C106" s="53" t="s">
        <v>608</v>
      </c>
      <c r="D106" s="53" t="s">
        <v>62</v>
      </c>
      <c r="E106" s="57">
        <v>45870.0</v>
      </c>
      <c r="F106" s="61" t="s">
        <v>609</v>
      </c>
      <c r="G106" s="61" t="s">
        <v>603</v>
      </c>
      <c r="H106" s="61">
        <v>300000.0</v>
      </c>
      <c r="I106" s="61">
        <v>1300000.0</v>
      </c>
      <c r="J106" s="59" t="s">
        <v>610</v>
      </c>
      <c r="K106" s="60"/>
      <c r="L106" s="7" t="str">
        <f t="shared" si="1"/>
        <v>04.08.2025</v>
      </c>
      <c r="M106" s="7" t="str">
        <f t="shared" si="2"/>
        <v>08.05.2026</v>
      </c>
      <c r="N106" s="7">
        <f t="shared" si="3"/>
        <v>39.6</v>
      </c>
      <c r="O106" s="14">
        <v>3.0</v>
      </c>
      <c r="P106" s="14">
        <v>2.0</v>
      </c>
      <c r="Q106" s="13">
        <f t="shared" si="4"/>
        <v>237.6</v>
      </c>
      <c r="R106" s="15">
        <f t="shared" si="5"/>
        <v>220</v>
      </c>
      <c r="S106" s="13">
        <f t="shared" si="6"/>
        <v>31.4</v>
      </c>
      <c r="T106" s="13">
        <f t="shared" si="7"/>
        <v>188.6</v>
      </c>
      <c r="U106" s="13">
        <f t="shared" si="8"/>
        <v>49</v>
      </c>
      <c r="V106" s="13">
        <f t="shared" si="9"/>
        <v>61867.4</v>
      </c>
      <c r="W106" s="13">
        <f t="shared" si="10"/>
        <v>1262.6</v>
      </c>
      <c r="X106" s="60"/>
      <c r="Y106" s="60"/>
    </row>
    <row r="107">
      <c r="A107" s="12"/>
      <c r="B107" s="7">
        <v>114.0</v>
      </c>
      <c r="C107" s="7" t="s">
        <v>612</v>
      </c>
      <c r="D107" s="7" t="s">
        <v>27</v>
      </c>
      <c r="E107" s="9">
        <v>45877.0</v>
      </c>
      <c r="F107" s="7" t="s">
        <v>613</v>
      </c>
      <c r="G107" s="7" t="s">
        <v>614</v>
      </c>
      <c r="H107" s="7">
        <v>500000.0</v>
      </c>
      <c r="I107" s="7">
        <v>1500000.0</v>
      </c>
      <c r="J107" s="11" t="s">
        <v>615</v>
      </c>
      <c r="K107" s="13"/>
      <c r="L107" s="7" t="str">
        <f t="shared" si="1"/>
        <v>09.08.2025</v>
      </c>
      <c r="M107" s="7" t="str">
        <f t="shared" si="2"/>
        <v>09.05.2026</v>
      </c>
      <c r="N107" s="7">
        <f t="shared" si="3"/>
        <v>39</v>
      </c>
      <c r="O107" s="14">
        <v>3.0</v>
      </c>
      <c r="P107" s="14">
        <v>2.0</v>
      </c>
      <c r="Q107" s="13">
        <f t="shared" si="4"/>
        <v>234</v>
      </c>
      <c r="R107" s="15">
        <f t="shared" si="5"/>
        <v>215</v>
      </c>
      <c r="S107" s="13">
        <f t="shared" si="6"/>
        <v>30.7</v>
      </c>
      <c r="T107" s="13">
        <f t="shared" si="7"/>
        <v>184.3</v>
      </c>
      <c r="U107" s="13">
        <f t="shared" si="8"/>
        <v>49.7</v>
      </c>
      <c r="V107" s="13">
        <f t="shared" si="9"/>
        <v>106199</v>
      </c>
      <c r="W107" s="13">
        <f t="shared" si="10"/>
        <v>2136.8</v>
      </c>
      <c r="X107" s="13"/>
      <c r="Y107" s="13"/>
    </row>
    <row r="108">
      <c r="A108" s="12"/>
      <c r="B108" s="7">
        <v>116.0</v>
      </c>
      <c r="C108" s="7" t="s">
        <v>623</v>
      </c>
      <c r="D108" s="7" t="s">
        <v>27</v>
      </c>
      <c r="E108" s="9">
        <v>45885.0</v>
      </c>
      <c r="F108" s="7" t="s">
        <v>624</v>
      </c>
      <c r="G108" s="7" t="s">
        <v>625</v>
      </c>
      <c r="H108" s="7">
        <v>500000.0</v>
      </c>
      <c r="I108" s="7">
        <v>1500000.0</v>
      </c>
      <c r="J108" s="11" t="s">
        <v>626</v>
      </c>
      <c r="K108" s="13"/>
      <c r="L108" s="7" t="str">
        <f t="shared" si="1"/>
        <v>18.08.2025</v>
      </c>
      <c r="M108" s="7" t="str">
        <f t="shared" si="2"/>
        <v>18.05.2026</v>
      </c>
      <c r="N108" s="7">
        <f t="shared" si="3"/>
        <v>39</v>
      </c>
      <c r="O108" s="14">
        <v>3.0</v>
      </c>
      <c r="P108" s="14">
        <v>2.0</v>
      </c>
      <c r="Q108" s="13">
        <f t="shared" si="4"/>
        <v>234</v>
      </c>
      <c r="R108" s="15">
        <f t="shared" si="5"/>
        <v>206</v>
      </c>
      <c r="S108" s="13">
        <f t="shared" si="6"/>
        <v>29.4</v>
      </c>
      <c r="T108" s="13">
        <f t="shared" si="7"/>
        <v>176.6</v>
      </c>
      <c r="U108" s="13">
        <f t="shared" si="8"/>
        <v>57.4</v>
      </c>
      <c r="V108" s="13">
        <f t="shared" si="9"/>
        <v>122652.3</v>
      </c>
      <c r="W108" s="13">
        <f t="shared" si="10"/>
        <v>2136.8</v>
      </c>
      <c r="X108" s="13"/>
      <c r="Y108" s="13"/>
    </row>
    <row r="109">
      <c r="A109" s="12"/>
      <c r="B109" s="7">
        <v>117.0</v>
      </c>
      <c r="C109" s="7" t="s">
        <v>886</v>
      </c>
      <c r="D109" s="7" t="s">
        <v>62</v>
      </c>
      <c r="E109" s="9">
        <v>45886.0</v>
      </c>
      <c r="F109" s="7" t="s">
        <v>629</v>
      </c>
      <c r="G109" s="7" t="s">
        <v>630</v>
      </c>
      <c r="H109" s="7">
        <v>400000.0</v>
      </c>
      <c r="I109" s="7">
        <v>1400000.0</v>
      </c>
      <c r="J109" s="11" t="s">
        <v>631</v>
      </c>
      <c r="K109" s="13"/>
      <c r="L109" s="7" t="str">
        <f t="shared" si="1"/>
        <v>18.08.2025 </v>
      </c>
      <c r="M109" s="7" t="str">
        <f t="shared" si="2"/>
        <v> 18.05.2026</v>
      </c>
      <c r="N109" s="7">
        <f t="shared" si="3"/>
        <v>39</v>
      </c>
      <c r="O109" s="14">
        <v>3.0</v>
      </c>
      <c r="P109" s="14">
        <v>2.0</v>
      </c>
      <c r="Q109" s="13">
        <f t="shared" si="4"/>
        <v>234</v>
      </c>
      <c r="R109" s="15">
        <f t="shared" si="5"/>
        <v>206</v>
      </c>
      <c r="S109" s="13">
        <f t="shared" si="6"/>
        <v>29.4</v>
      </c>
      <c r="T109" s="13">
        <f t="shared" si="7"/>
        <v>176.6</v>
      </c>
      <c r="U109" s="13">
        <f t="shared" si="8"/>
        <v>57.4</v>
      </c>
      <c r="V109" s="13">
        <f t="shared" si="9"/>
        <v>98119.6</v>
      </c>
      <c r="W109" s="13">
        <f t="shared" si="10"/>
        <v>1709.4</v>
      </c>
      <c r="X109" s="13"/>
      <c r="Y109" s="13"/>
    </row>
    <row r="110" ht="21.75" customHeight="1">
      <c r="A110" s="12"/>
      <c r="B110" s="7">
        <v>118.0</v>
      </c>
      <c r="C110" s="7" t="s">
        <v>633</v>
      </c>
      <c r="D110" s="7" t="s">
        <v>62</v>
      </c>
      <c r="E110" s="9">
        <v>45889.0</v>
      </c>
      <c r="F110" s="7" t="s">
        <v>634</v>
      </c>
      <c r="G110" s="7" t="s">
        <v>635</v>
      </c>
      <c r="H110" s="7">
        <v>1000000.0</v>
      </c>
      <c r="I110" s="7">
        <v>3000000.0</v>
      </c>
      <c r="J110" s="11" t="s">
        <v>637</v>
      </c>
      <c r="K110" s="13"/>
      <c r="L110" s="7" t="str">
        <f t="shared" si="1"/>
        <v>01.09.2025</v>
      </c>
      <c r="M110" s="7" t="str">
        <f t="shared" si="2"/>
        <v>01.06.2026</v>
      </c>
      <c r="N110" s="7">
        <f t="shared" si="3"/>
        <v>39</v>
      </c>
      <c r="O110" s="14">
        <v>3.0</v>
      </c>
      <c r="P110" s="14">
        <v>2.0</v>
      </c>
      <c r="Q110" s="13">
        <f t="shared" si="4"/>
        <v>234</v>
      </c>
      <c r="R110" s="15">
        <f t="shared" si="5"/>
        <v>192</v>
      </c>
      <c r="S110" s="13">
        <f t="shared" si="6"/>
        <v>27.4</v>
      </c>
      <c r="T110" s="13">
        <f t="shared" si="7"/>
        <v>164.6</v>
      </c>
      <c r="U110" s="13">
        <f t="shared" si="8"/>
        <v>69.4</v>
      </c>
      <c r="V110" s="13">
        <f t="shared" si="9"/>
        <v>296580.9</v>
      </c>
      <c r="W110" s="13">
        <f t="shared" si="10"/>
        <v>4273.5</v>
      </c>
      <c r="X110" s="13"/>
      <c r="Y110" s="13"/>
    </row>
    <row r="111" ht="26.25" customHeight="1">
      <c r="A111" s="20"/>
      <c r="B111" s="10">
        <v>119.0</v>
      </c>
      <c r="C111" s="71" t="s">
        <v>639</v>
      </c>
      <c r="D111" s="10" t="s">
        <v>62</v>
      </c>
      <c r="E111" s="18">
        <v>45896.0</v>
      </c>
      <c r="F111" s="10" t="s">
        <v>640</v>
      </c>
      <c r="G111" s="10" t="s">
        <v>641</v>
      </c>
      <c r="H111" s="10">
        <v>350000.0</v>
      </c>
      <c r="I111" s="10">
        <v>1500000.0</v>
      </c>
      <c r="J111" s="19" t="s">
        <v>642</v>
      </c>
      <c r="K111" s="21"/>
      <c r="L111" s="7" t="str">
        <f t="shared" si="1"/>
        <v>29.08.2025</v>
      </c>
      <c r="M111" s="7" t="str">
        <f t="shared" si="2"/>
        <v>29.07.2026</v>
      </c>
      <c r="N111" s="7">
        <f t="shared" si="3"/>
        <v>47.7</v>
      </c>
      <c r="O111" s="14">
        <v>3.0</v>
      </c>
      <c r="P111" s="14">
        <v>2.0</v>
      </c>
      <c r="Q111" s="13">
        <f t="shared" si="4"/>
        <v>286.2</v>
      </c>
      <c r="R111" s="15">
        <f t="shared" si="5"/>
        <v>195</v>
      </c>
      <c r="S111" s="13">
        <f t="shared" si="6"/>
        <v>27.9</v>
      </c>
      <c r="T111" s="13">
        <f t="shared" si="7"/>
        <v>167.1</v>
      </c>
      <c r="U111" s="13">
        <f t="shared" si="8"/>
        <v>119.1</v>
      </c>
      <c r="V111" s="13">
        <f t="shared" si="9"/>
        <v>145647.4</v>
      </c>
      <c r="W111" s="13">
        <f t="shared" si="10"/>
        <v>1222.9</v>
      </c>
      <c r="X111" s="13"/>
      <c r="Y111" s="13"/>
    </row>
    <row r="112">
      <c r="A112" s="12"/>
      <c r="B112" s="7">
        <v>120.0</v>
      </c>
      <c r="C112" s="7" t="s">
        <v>649</v>
      </c>
      <c r="D112" s="7" t="s">
        <v>27</v>
      </c>
      <c r="E112" s="9">
        <v>45897.0</v>
      </c>
      <c r="F112" s="7" t="s">
        <v>650</v>
      </c>
      <c r="G112" s="7" t="s">
        <v>651</v>
      </c>
      <c r="H112" s="7">
        <v>500000.0</v>
      </c>
      <c r="I112" s="7">
        <v>2000000.0</v>
      </c>
      <c r="J112" s="11" t="s">
        <v>653</v>
      </c>
      <c r="K112" s="13"/>
      <c r="L112" s="7" t="str">
        <f t="shared" si="1"/>
        <v>29.08.2025</v>
      </c>
      <c r="M112" s="7" t="str">
        <f t="shared" si="2"/>
        <v>29.05.2026</v>
      </c>
      <c r="N112" s="7">
        <f t="shared" si="3"/>
        <v>39</v>
      </c>
      <c r="O112" s="14">
        <v>3.0</v>
      </c>
      <c r="P112" s="14">
        <v>2.0</v>
      </c>
      <c r="Q112" s="13">
        <f t="shared" si="4"/>
        <v>234</v>
      </c>
      <c r="R112" s="15">
        <f t="shared" si="5"/>
        <v>195</v>
      </c>
      <c r="S112" s="13">
        <f t="shared" si="6"/>
        <v>27.9</v>
      </c>
      <c r="T112" s="13">
        <f t="shared" si="7"/>
        <v>167.1</v>
      </c>
      <c r="U112" s="13">
        <f t="shared" si="8"/>
        <v>66.9</v>
      </c>
      <c r="V112" s="13">
        <f t="shared" si="9"/>
        <v>142951.9</v>
      </c>
      <c r="W112" s="13">
        <f t="shared" si="10"/>
        <v>2136.8</v>
      </c>
      <c r="X112" s="13"/>
      <c r="Y112" s="13"/>
    </row>
    <row r="113">
      <c r="A113" s="12"/>
      <c r="B113" s="7">
        <v>122.0</v>
      </c>
      <c r="C113" s="7" t="s">
        <v>655</v>
      </c>
      <c r="D113" s="7" t="s">
        <v>62</v>
      </c>
      <c r="E113" s="9">
        <v>45905.0</v>
      </c>
      <c r="F113" s="51" t="s">
        <v>656</v>
      </c>
      <c r="G113" s="7" t="s">
        <v>657</v>
      </c>
      <c r="H113" s="7">
        <v>350000.0</v>
      </c>
      <c r="I113" s="7">
        <v>1500000.0</v>
      </c>
      <c r="J113" s="11" t="s">
        <v>658</v>
      </c>
      <c r="K113" s="13"/>
      <c r="L113" s="7" t="str">
        <f t="shared" si="1"/>
        <v>05.09.2025</v>
      </c>
      <c r="M113" s="7" t="str">
        <f t="shared" si="2"/>
        <v>05.06.2026</v>
      </c>
      <c r="N113" s="7">
        <f t="shared" si="3"/>
        <v>39</v>
      </c>
      <c r="O113" s="14">
        <v>3.0</v>
      </c>
      <c r="P113" s="14">
        <v>2.0</v>
      </c>
      <c r="Q113" s="13">
        <f t="shared" si="4"/>
        <v>234</v>
      </c>
      <c r="R113" s="15">
        <f t="shared" si="5"/>
        <v>188</v>
      </c>
      <c r="S113" s="13">
        <f t="shared" si="6"/>
        <v>26.9</v>
      </c>
      <c r="T113" s="13">
        <f t="shared" si="7"/>
        <v>161.1</v>
      </c>
      <c r="U113" s="13">
        <f t="shared" si="8"/>
        <v>72.9</v>
      </c>
      <c r="V113" s="13">
        <f t="shared" si="9"/>
        <v>109036.5</v>
      </c>
      <c r="W113" s="13">
        <f t="shared" si="10"/>
        <v>1495.7</v>
      </c>
      <c r="X113" s="13"/>
      <c r="Y113" s="13"/>
    </row>
    <row r="114">
      <c r="A114" s="12"/>
      <c r="B114" s="7">
        <v>123.0</v>
      </c>
      <c r="C114" s="7" t="s">
        <v>660</v>
      </c>
      <c r="D114" s="7" t="s">
        <v>62</v>
      </c>
      <c r="E114" s="9">
        <v>45905.0</v>
      </c>
      <c r="F114" s="7" t="s">
        <v>661</v>
      </c>
      <c r="G114" s="7" t="s">
        <v>662</v>
      </c>
      <c r="H114" s="7">
        <v>450000.0</v>
      </c>
      <c r="I114" s="7">
        <v>1900000.0</v>
      </c>
      <c r="J114" s="11" t="s">
        <v>663</v>
      </c>
      <c r="K114" s="13"/>
      <c r="L114" s="7" t="str">
        <f t="shared" si="1"/>
        <v>06.09.2025</v>
      </c>
      <c r="M114" s="7" t="str">
        <f t="shared" si="2"/>
        <v>06.06.2026</v>
      </c>
      <c r="N114" s="7">
        <f t="shared" si="3"/>
        <v>39</v>
      </c>
      <c r="O114" s="14">
        <v>3.0</v>
      </c>
      <c r="P114" s="14">
        <v>2.0</v>
      </c>
      <c r="Q114" s="13">
        <f t="shared" si="4"/>
        <v>234</v>
      </c>
      <c r="R114" s="15">
        <f t="shared" si="5"/>
        <v>187</v>
      </c>
      <c r="S114" s="13">
        <f t="shared" si="6"/>
        <v>26.7</v>
      </c>
      <c r="T114" s="13">
        <f t="shared" si="7"/>
        <v>160.3</v>
      </c>
      <c r="U114" s="13">
        <f t="shared" si="8"/>
        <v>73.7</v>
      </c>
      <c r="V114" s="13">
        <f t="shared" si="9"/>
        <v>141732.5</v>
      </c>
      <c r="W114" s="13">
        <f t="shared" si="10"/>
        <v>1923.1</v>
      </c>
      <c r="X114" s="13"/>
      <c r="Y114" s="13"/>
    </row>
    <row r="115">
      <c r="A115" s="12"/>
      <c r="B115" s="7">
        <v>124.0</v>
      </c>
      <c r="C115" s="7" t="s">
        <v>665</v>
      </c>
      <c r="D115" s="7" t="s">
        <v>62</v>
      </c>
      <c r="E115" s="9">
        <v>45906.0</v>
      </c>
      <c r="F115" s="7" t="s">
        <v>629</v>
      </c>
      <c r="G115" s="7" t="s">
        <v>666</v>
      </c>
      <c r="H115" s="7">
        <v>500000.0</v>
      </c>
      <c r="I115" s="7">
        <v>1500000.0</v>
      </c>
      <c r="J115" s="11" t="s">
        <v>667</v>
      </c>
      <c r="K115" s="13"/>
      <c r="L115" s="7" t="str">
        <f t="shared" si="1"/>
        <v>08.09.2025</v>
      </c>
      <c r="M115" s="7" t="str">
        <f t="shared" si="2"/>
        <v>08.06.2026</v>
      </c>
      <c r="N115" s="7">
        <f t="shared" si="3"/>
        <v>39</v>
      </c>
      <c r="O115" s="14">
        <v>3.0</v>
      </c>
      <c r="P115" s="14">
        <v>2.0</v>
      </c>
      <c r="Q115" s="13">
        <f t="shared" si="4"/>
        <v>234</v>
      </c>
      <c r="R115" s="15">
        <f t="shared" si="5"/>
        <v>185</v>
      </c>
      <c r="S115" s="13">
        <f t="shared" si="6"/>
        <v>26.4</v>
      </c>
      <c r="T115" s="13">
        <f t="shared" si="7"/>
        <v>158.6</v>
      </c>
      <c r="U115" s="13">
        <f t="shared" si="8"/>
        <v>75.4</v>
      </c>
      <c r="V115" s="13">
        <f t="shared" si="9"/>
        <v>161114.7</v>
      </c>
      <c r="W115" s="13">
        <f t="shared" si="10"/>
        <v>2136.8</v>
      </c>
      <c r="X115" s="13"/>
      <c r="Y115" s="13"/>
    </row>
    <row r="116">
      <c r="A116" s="12"/>
      <c r="B116" s="7">
        <v>125.0</v>
      </c>
      <c r="C116" s="7" t="s">
        <v>669</v>
      </c>
      <c r="D116" s="7" t="s">
        <v>27</v>
      </c>
      <c r="E116" s="9">
        <v>45912.0</v>
      </c>
      <c r="F116" s="7" t="s">
        <v>629</v>
      </c>
      <c r="G116" s="7" t="s">
        <v>670</v>
      </c>
      <c r="H116" s="7">
        <v>1000000.0</v>
      </c>
      <c r="I116" s="7">
        <v>1100000.0</v>
      </c>
      <c r="J116" s="11" t="s">
        <v>673</v>
      </c>
      <c r="K116" s="13"/>
      <c r="L116" s="7" t="str">
        <f t="shared" si="1"/>
        <v>15.09.2025</v>
      </c>
      <c r="M116" s="7" t="str">
        <f t="shared" si="2"/>
        <v>15.06.2026</v>
      </c>
      <c r="N116" s="7">
        <f t="shared" si="3"/>
        <v>39</v>
      </c>
      <c r="O116" s="14">
        <v>3.0</v>
      </c>
      <c r="P116" s="14">
        <v>2.0</v>
      </c>
      <c r="Q116" s="13">
        <f t="shared" si="4"/>
        <v>234</v>
      </c>
      <c r="R116" s="15">
        <f t="shared" si="5"/>
        <v>178</v>
      </c>
      <c r="S116" s="13">
        <f t="shared" si="6"/>
        <v>25.4</v>
      </c>
      <c r="T116" s="13">
        <f t="shared" si="7"/>
        <v>152.6</v>
      </c>
      <c r="U116" s="13">
        <f t="shared" si="8"/>
        <v>81.4</v>
      </c>
      <c r="V116" s="13">
        <f t="shared" si="9"/>
        <v>347862.9</v>
      </c>
      <c r="W116" s="13">
        <f t="shared" si="10"/>
        <v>4273.5</v>
      </c>
      <c r="X116" s="13"/>
      <c r="Y116" s="13"/>
    </row>
    <row r="117">
      <c r="A117" s="12"/>
      <c r="B117" s="7">
        <v>126.0</v>
      </c>
      <c r="C117" s="7" t="s">
        <v>680</v>
      </c>
      <c r="D117" s="7" t="s">
        <v>62</v>
      </c>
      <c r="E117" s="9">
        <v>45918.0</v>
      </c>
      <c r="F117" s="7" t="s">
        <v>629</v>
      </c>
      <c r="G117" s="7" t="s">
        <v>681</v>
      </c>
      <c r="H117" s="7">
        <v>500000.0</v>
      </c>
      <c r="I117" s="7">
        <v>1500000.0</v>
      </c>
      <c r="J117" s="11" t="s">
        <v>682</v>
      </c>
      <c r="K117" s="13"/>
      <c r="L117" s="7" t="str">
        <f t="shared" si="1"/>
        <v>18.09.2025</v>
      </c>
      <c r="M117" s="7" t="str">
        <f t="shared" si="2"/>
        <v>18.06.2026</v>
      </c>
      <c r="N117" s="7">
        <f t="shared" si="3"/>
        <v>39</v>
      </c>
      <c r="O117" s="14">
        <v>3.0</v>
      </c>
      <c r="P117" s="14">
        <v>2.0</v>
      </c>
      <c r="Q117" s="13">
        <f t="shared" si="4"/>
        <v>234</v>
      </c>
      <c r="R117" s="15">
        <f t="shared" si="5"/>
        <v>175</v>
      </c>
      <c r="S117" s="13">
        <f t="shared" si="6"/>
        <v>25</v>
      </c>
      <c r="T117" s="13">
        <f t="shared" si="7"/>
        <v>150</v>
      </c>
      <c r="U117" s="13">
        <f t="shared" si="8"/>
        <v>84</v>
      </c>
      <c r="V117" s="13">
        <f t="shared" si="9"/>
        <v>179491.2</v>
      </c>
      <c r="W117" s="13">
        <f t="shared" si="10"/>
        <v>2136.8</v>
      </c>
      <c r="X117" s="13"/>
      <c r="Y117" s="13"/>
    </row>
    <row r="118" ht="21.75" customHeight="1">
      <c r="A118" s="12"/>
      <c r="B118" s="7">
        <v>127.0</v>
      </c>
      <c r="C118" s="7" t="s">
        <v>684</v>
      </c>
      <c r="D118" s="7" t="s">
        <v>27</v>
      </c>
      <c r="E118" s="9">
        <v>45920.0</v>
      </c>
      <c r="F118" s="7" t="s">
        <v>629</v>
      </c>
      <c r="G118" s="7" t="s">
        <v>685</v>
      </c>
      <c r="H118" s="7">
        <v>420000.0</v>
      </c>
      <c r="I118" s="7">
        <v>1420000.0</v>
      </c>
      <c r="J118" s="29" t="s">
        <v>687</v>
      </c>
      <c r="K118" s="13"/>
      <c r="L118" s="7" t="str">
        <f t="shared" si="1"/>
        <v>22.09.2025</v>
      </c>
      <c r="M118" s="7" t="str">
        <f t="shared" si="2"/>
        <v>22.06.2026</v>
      </c>
      <c r="N118" s="7">
        <f t="shared" si="3"/>
        <v>39</v>
      </c>
      <c r="O118" s="14">
        <v>3.0</v>
      </c>
      <c r="P118" s="14">
        <v>2.0</v>
      </c>
      <c r="Q118" s="13">
        <f t="shared" si="4"/>
        <v>234</v>
      </c>
      <c r="R118" s="15">
        <f t="shared" si="5"/>
        <v>171</v>
      </c>
      <c r="S118" s="13">
        <f t="shared" si="6"/>
        <v>24.4</v>
      </c>
      <c r="T118" s="13">
        <f t="shared" si="7"/>
        <v>146.6</v>
      </c>
      <c r="U118" s="13">
        <f t="shared" si="8"/>
        <v>87.4</v>
      </c>
      <c r="V118" s="13">
        <f t="shared" si="9"/>
        <v>156874.3</v>
      </c>
      <c r="W118" s="13">
        <f t="shared" si="10"/>
        <v>1794.9</v>
      </c>
      <c r="X118" s="13"/>
      <c r="Y118" s="13"/>
    </row>
    <row r="119" ht="26.25" customHeight="1">
      <c r="A119" s="12"/>
      <c r="B119" s="7">
        <v>128.0</v>
      </c>
      <c r="C119" s="7" t="s">
        <v>689</v>
      </c>
      <c r="D119" s="7" t="s">
        <v>27</v>
      </c>
      <c r="E119" s="9">
        <v>45920.0</v>
      </c>
      <c r="F119" s="7" t="s">
        <v>629</v>
      </c>
      <c r="G119" s="7" t="s">
        <v>685</v>
      </c>
      <c r="H119" s="7">
        <v>400000.0</v>
      </c>
      <c r="I119" s="7">
        <f>155000+155000+155000</f>
        <v>465000</v>
      </c>
      <c r="J119" s="11" t="s">
        <v>691</v>
      </c>
      <c r="K119" s="13"/>
      <c r="L119" s="7" t="str">
        <f t="shared" si="1"/>
        <v>22.09.2025</v>
      </c>
      <c r="M119" s="7" t="str">
        <f t="shared" si="2"/>
        <v>22.06.2026</v>
      </c>
      <c r="N119" s="7">
        <f t="shared" si="3"/>
        <v>39</v>
      </c>
      <c r="O119" s="14">
        <v>3.0</v>
      </c>
      <c r="P119" s="14">
        <v>2.0</v>
      </c>
      <c r="Q119" s="13">
        <f t="shared" si="4"/>
        <v>234</v>
      </c>
      <c r="R119" s="15">
        <f t="shared" si="5"/>
        <v>171</v>
      </c>
      <c r="S119" s="13">
        <f t="shared" si="6"/>
        <v>24.4</v>
      </c>
      <c r="T119" s="13">
        <f t="shared" si="7"/>
        <v>146.6</v>
      </c>
      <c r="U119" s="13">
        <f t="shared" si="8"/>
        <v>87.4</v>
      </c>
      <c r="V119" s="13">
        <f t="shared" si="9"/>
        <v>149401.6</v>
      </c>
      <c r="W119" s="13">
        <f t="shared" si="10"/>
        <v>1709.4</v>
      </c>
      <c r="X119" s="13"/>
      <c r="Y119" s="13"/>
    </row>
    <row r="120">
      <c r="A120" s="12"/>
      <c r="B120" s="7">
        <v>130.0</v>
      </c>
      <c r="C120" s="7" t="s">
        <v>698</v>
      </c>
      <c r="D120" s="7" t="s">
        <v>62</v>
      </c>
      <c r="E120" s="9">
        <v>45924.0</v>
      </c>
      <c r="F120" s="7" t="s">
        <v>699</v>
      </c>
      <c r="G120" s="7" t="s">
        <v>700</v>
      </c>
      <c r="H120" s="7">
        <v>300000.0</v>
      </c>
      <c r="I120" s="7">
        <v>1000000.0</v>
      </c>
      <c r="J120" s="11" t="s">
        <v>703</v>
      </c>
      <c r="K120" s="13"/>
      <c r="L120" s="7" t="str">
        <f t="shared" si="1"/>
        <v>25.09.2025</v>
      </c>
      <c r="M120" s="7" t="str">
        <f t="shared" si="2"/>
        <v>25.12.2025</v>
      </c>
      <c r="N120" s="7">
        <f t="shared" si="3"/>
        <v>13</v>
      </c>
      <c r="O120" s="14">
        <v>3.0</v>
      </c>
      <c r="P120" s="14">
        <v>2.0</v>
      </c>
      <c r="Q120" s="13">
        <f t="shared" si="4"/>
        <v>78</v>
      </c>
      <c r="R120" s="15">
        <f t="shared" si="5"/>
        <v>91</v>
      </c>
      <c r="S120" s="13">
        <f t="shared" si="6"/>
        <v>13</v>
      </c>
      <c r="T120" s="13">
        <f t="shared" si="7"/>
        <v>78</v>
      </c>
      <c r="U120" s="13">
        <f t="shared" si="8"/>
        <v>0</v>
      </c>
      <c r="V120" s="13">
        <f t="shared" si="9"/>
        <v>0</v>
      </c>
      <c r="W120" s="13">
        <f t="shared" si="10"/>
        <v>3846.2</v>
      </c>
      <c r="X120" s="13"/>
      <c r="Y120" s="13"/>
    </row>
    <row r="121">
      <c r="A121" s="13"/>
      <c r="B121" s="14">
        <v>133.0</v>
      </c>
      <c r="C121" s="14" t="s">
        <v>713</v>
      </c>
      <c r="D121" s="14" t="s">
        <v>27</v>
      </c>
      <c r="E121" s="72">
        <v>45936.0</v>
      </c>
      <c r="F121" s="7" t="s">
        <v>629</v>
      </c>
      <c r="G121" s="14" t="s">
        <v>714</v>
      </c>
      <c r="H121" s="14">
        <v>500000.0</v>
      </c>
      <c r="I121" s="14">
        <v>1500000.0</v>
      </c>
      <c r="J121" s="73" t="s">
        <v>717</v>
      </c>
      <c r="K121" s="13"/>
      <c r="L121" s="7" t="str">
        <f t="shared" si="1"/>
        <v>07.10.2025</v>
      </c>
      <c r="M121" s="7" t="str">
        <f t="shared" si="2"/>
        <v>07.07.2026</v>
      </c>
      <c r="N121" s="7">
        <f t="shared" si="3"/>
        <v>39</v>
      </c>
      <c r="O121" s="14">
        <v>3.0</v>
      </c>
      <c r="P121" s="14">
        <v>2.0</v>
      </c>
      <c r="Q121" s="13">
        <f t="shared" si="4"/>
        <v>234</v>
      </c>
      <c r="R121" s="15">
        <f t="shared" si="5"/>
        <v>156</v>
      </c>
      <c r="S121" s="13">
        <f t="shared" si="6"/>
        <v>22.3</v>
      </c>
      <c r="T121" s="13">
        <f t="shared" si="7"/>
        <v>133.7</v>
      </c>
      <c r="U121" s="13">
        <f t="shared" si="8"/>
        <v>100.3</v>
      </c>
      <c r="V121" s="13">
        <f t="shared" si="9"/>
        <v>214321</v>
      </c>
      <c r="W121" s="13">
        <f t="shared" si="10"/>
        <v>2136.8</v>
      </c>
      <c r="X121" s="13"/>
      <c r="Y121" s="13"/>
    </row>
    <row r="122">
      <c r="A122" s="13"/>
      <c r="B122" s="14">
        <v>134.0</v>
      </c>
      <c r="C122" s="14" t="s">
        <v>719</v>
      </c>
      <c r="D122" s="14" t="s">
        <v>27</v>
      </c>
      <c r="E122" s="72">
        <v>45937.0</v>
      </c>
      <c r="F122" s="7" t="s">
        <v>613</v>
      </c>
      <c r="G122" s="14" t="s">
        <v>720</v>
      </c>
      <c r="H122" s="14">
        <v>500000.0</v>
      </c>
      <c r="I122" s="14">
        <v>1500000.0</v>
      </c>
      <c r="J122" s="73" t="s">
        <v>721</v>
      </c>
      <c r="K122" s="13"/>
      <c r="L122" s="7" t="str">
        <f t="shared" si="1"/>
        <v>08.10.2025</v>
      </c>
      <c r="M122" s="7" t="str">
        <f t="shared" si="2"/>
        <v>08.07.2026</v>
      </c>
      <c r="N122" s="7">
        <f t="shared" si="3"/>
        <v>39</v>
      </c>
      <c r="O122" s="14">
        <v>3.0</v>
      </c>
      <c r="P122" s="14">
        <v>2.0</v>
      </c>
      <c r="Q122" s="13">
        <f t="shared" si="4"/>
        <v>234</v>
      </c>
      <c r="R122" s="15">
        <f t="shared" si="5"/>
        <v>155</v>
      </c>
      <c r="S122" s="13">
        <f t="shared" si="6"/>
        <v>22.1</v>
      </c>
      <c r="T122" s="13">
        <f t="shared" si="7"/>
        <v>132.9</v>
      </c>
      <c r="U122" s="13">
        <f t="shared" si="8"/>
        <v>101.1</v>
      </c>
      <c r="V122" s="13">
        <f t="shared" si="9"/>
        <v>216030.5</v>
      </c>
      <c r="W122" s="13">
        <f t="shared" si="10"/>
        <v>2136.8</v>
      </c>
      <c r="X122" s="13"/>
      <c r="Y122" s="13"/>
    </row>
    <row r="123">
      <c r="A123" s="21"/>
      <c r="B123" s="54">
        <v>137.0</v>
      </c>
      <c r="C123" s="54" t="s">
        <v>727</v>
      </c>
      <c r="D123" s="54" t="s">
        <v>62</v>
      </c>
      <c r="E123" s="74">
        <v>45938.0</v>
      </c>
      <c r="F123" s="10" t="s">
        <v>728</v>
      </c>
      <c r="G123" s="54" t="s">
        <v>729</v>
      </c>
      <c r="H123" s="54">
        <v>90000.0</v>
      </c>
      <c r="I123" s="54">
        <v>1000000.0</v>
      </c>
      <c r="J123" s="75" t="s">
        <v>730</v>
      </c>
      <c r="K123" s="21"/>
      <c r="L123" s="7" t="str">
        <f t="shared" si="1"/>
        <v>09.10.2025</v>
      </c>
      <c r="M123" s="7" t="str">
        <f t="shared" si="2"/>
        <v>09.11.2025</v>
      </c>
      <c r="N123" s="7">
        <f t="shared" si="3"/>
        <v>4.4</v>
      </c>
      <c r="O123" s="14">
        <v>3.0</v>
      </c>
      <c r="P123" s="14">
        <v>2.0</v>
      </c>
      <c r="Q123" s="13">
        <f t="shared" si="4"/>
        <v>26.4</v>
      </c>
      <c r="R123" s="15">
        <f t="shared" si="5"/>
        <v>31</v>
      </c>
      <c r="S123" s="13">
        <f t="shared" si="6"/>
        <v>4.4</v>
      </c>
      <c r="T123" s="13">
        <f t="shared" si="7"/>
        <v>26.4</v>
      </c>
      <c r="U123" s="13">
        <f t="shared" si="8"/>
        <v>0</v>
      </c>
      <c r="V123" s="13">
        <f t="shared" si="9"/>
        <v>0</v>
      </c>
      <c r="W123" s="13">
        <f t="shared" si="10"/>
        <v>3409.1</v>
      </c>
      <c r="X123" s="13"/>
      <c r="Y123" s="13"/>
    </row>
    <row r="124">
      <c r="A124" s="13"/>
      <c r="B124" s="14">
        <v>138.0</v>
      </c>
      <c r="C124" s="14" t="s">
        <v>732</v>
      </c>
      <c r="D124" s="14" t="s">
        <v>62</v>
      </c>
      <c r="E124" s="76">
        <v>45942.0</v>
      </c>
      <c r="F124" s="14" t="s">
        <v>613</v>
      </c>
      <c r="G124" s="14" t="s">
        <v>733</v>
      </c>
      <c r="H124" s="14">
        <v>1000000.0</v>
      </c>
      <c r="I124" s="14">
        <v>1200000.0</v>
      </c>
      <c r="J124" s="73" t="s">
        <v>735</v>
      </c>
      <c r="K124" s="13"/>
      <c r="L124" s="7" t="str">
        <f t="shared" si="1"/>
        <v>13.09.2025</v>
      </c>
      <c r="M124" s="7" t="str">
        <f t="shared" si="2"/>
        <v>13.06.2026</v>
      </c>
      <c r="N124" s="7">
        <f t="shared" si="3"/>
        <v>39</v>
      </c>
      <c r="O124" s="14">
        <v>3.0</v>
      </c>
      <c r="P124" s="14">
        <v>2.0</v>
      </c>
      <c r="Q124" s="13">
        <f t="shared" si="4"/>
        <v>234</v>
      </c>
      <c r="R124" s="15">
        <f t="shared" si="5"/>
        <v>180</v>
      </c>
      <c r="S124" s="13">
        <f t="shared" si="6"/>
        <v>25.7</v>
      </c>
      <c r="T124" s="13">
        <f t="shared" si="7"/>
        <v>154.3</v>
      </c>
      <c r="U124" s="13">
        <f t="shared" si="8"/>
        <v>79.7</v>
      </c>
      <c r="V124" s="13">
        <f t="shared" si="9"/>
        <v>340598</v>
      </c>
      <c r="W124" s="13">
        <f t="shared" si="10"/>
        <v>4273.5</v>
      </c>
      <c r="X124" s="13"/>
      <c r="Y124" s="13"/>
    </row>
    <row r="125">
      <c r="A125" s="13"/>
      <c r="B125" s="14">
        <v>139.0</v>
      </c>
      <c r="C125" s="14" t="s">
        <v>737</v>
      </c>
      <c r="D125" s="14" t="s">
        <v>62</v>
      </c>
      <c r="E125" s="76">
        <v>45943.0</v>
      </c>
      <c r="F125" s="14" t="s">
        <v>661</v>
      </c>
      <c r="G125" s="14" t="s">
        <v>738</v>
      </c>
      <c r="H125" s="14">
        <v>750000.0</v>
      </c>
      <c r="I125" s="14">
        <v>10000.0</v>
      </c>
      <c r="J125" s="73" t="s">
        <v>740</v>
      </c>
      <c r="K125" s="13"/>
      <c r="L125" s="7" t="str">
        <f t="shared" si="1"/>
        <v>14.10.2025</v>
      </c>
      <c r="M125" s="7" t="str">
        <f t="shared" si="2"/>
        <v>14.07.2026</v>
      </c>
      <c r="N125" s="7">
        <f t="shared" si="3"/>
        <v>39</v>
      </c>
      <c r="O125" s="14">
        <v>3.0</v>
      </c>
      <c r="P125" s="14">
        <v>2.0</v>
      </c>
      <c r="Q125" s="13">
        <f t="shared" si="4"/>
        <v>234</v>
      </c>
      <c r="R125" s="15">
        <f t="shared" si="5"/>
        <v>149</v>
      </c>
      <c r="S125" s="13">
        <f t="shared" si="6"/>
        <v>21.3</v>
      </c>
      <c r="T125" s="13">
        <f t="shared" si="7"/>
        <v>127.7</v>
      </c>
      <c r="U125" s="13">
        <f t="shared" si="8"/>
        <v>106.3</v>
      </c>
      <c r="V125" s="13">
        <f t="shared" si="9"/>
        <v>340702.1</v>
      </c>
      <c r="W125" s="13">
        <f t="shared" si="10"/>
        <v>3205.1</v>
      </c>
      <c r="X125" s="13"/>
      <c r="Y125" s="13"/>
    </row>
    <row r="126">
      <c r="A126" s="13"/>
      <c r="B126" s="14">
        <v>140.0</v>
      </c>
      <c r="C126" s="14" t="s">
        <v>743</v>
      </c>
      <c r="D126" s="14" t="s">
        <v>27</v>
      </c>
      <c r="E126" s="76">
        <v>45944.0</v>
      </c>
      <c r="F126" s="14" t="s">
        <v>744</v>
      </c>
      <c r="G126" s="14" t="s">
        <v>738</v>
      </c>
      <c r="H126" s="14">
        <v>1000000.0</v>
      </c>
      <c r="I126" s="14">
        <v>860000.0</v>
      </c>
      <c r="J126" s="73" t="s">
        <v>747</v>
      </c>
      <c r="K126" s="13"/>
      <c r="L126" s="7" t="str">
        <f t="shared" si="1"/>
        <v>14.10.2025</v>
      </c>
      <c r="M126" s="7" t="str">
        <f t="shared" si="2"/>
        <v>14.07.2026</v>
      </c>
      <c r="N126" s="7">
        <f t="shared" si="3"/>
        <v>39</v>
      </c>
      <c r="O126" s="14">
        <v>3.0</v>
      </c>
      <c r="P126" s="14">
        <v>2.0</v>
      </c>
      <c r="Q126" s="13">
        <f t="shared" si="4"/>
        <v>234</v>
      </c>
      <c r="R126" s="15">
        <f t="shared" si="5"/>
        <v>149</v>
      </c>
      <c r="S126" s="13">
        <f t="shared" si="6"/>
        <v>21.3</v>
      </c>
      <c r="T126" s="13">
        <f t="shared" si="7"/>
        <v>127.7</v>
      </c>
      <c r="U126" s="13">
        <f t="shared" si="8"/>
        <v>106.3</v>
      </c>
      <c r="V126" s="13">
        <f t="shared" si="9"/>
        <v>454273.1</v>
      </c>
      <c r="W126" s="13">
        <f t="shared" si="10"/>
        <v>4273.5</v>
      </c>
      <c r="X126" s="13"/>
      <c r="Y126" s="13"/>
    </row>
    <row r="127">
      <c r="A127" s="13"/>
      <c r="B127" s="14">
        <v>141.0</v>
      </c>
      <c r="C127" s="14" t="s">
        <v>749</v>
      </c>
      <c r="D127" s="14" t="s">
        <v>62</v>
      </c>
      <c r="E127" s="76">
        <v>45952.0</v>
      </c>
      <c r="F127" s="14" t="s">
        <v>750</v>
      </c>
      <c r="G127" s="14" t="s">
        <v>751</v>
      </c>
      <c r="H127" s="14">
        <v>750000.0</v>
      </c>
      <c r="I127" s="14">
        <v>2000000.0</v>
      </c>
      <c r="J127" s="73" t="s">
        <v>752</v>
      </c>
      <c r="K127" s="13"/>
      <c r="L127" s="7" t="str">
        <f t="shared" si="1"/>
        <v>22.10.2025</v>
      </c>
      <c r="M127" s="7" t="str">
        <f t="shared" si="2"/>
        <v>22.07.2026</v>
      </c>
      <c r="N127" s="7">
        <f t="shared" si="3"/>
        <v>39</v>
      </c>
      <c r="O127" s="14">
        <v>3.0</v>
      </c>
      <c r="P127" s="14">
        <v>2.0</v>
      </c>
      <c r="Q127" s="13">
        <f t="shared" si="4"/>
        <v>234</v>
      </c>
      <c r="R127" s="15">
        <f t="shared" si="5"/>
        <v>141</v>
      </c>
      <c r="S127" s="13">
        <f t="shared" si="6"/>
        <v>20.1</v>
      </c>
      <c r="T127" s="13">
        <f t="shared" si="7"/>
        <v>120.9</v>
      </c>
      <c r="U127" s="13">
        <f t="shared" si="8"/>
        <v>113.1</v>
      </c>
      <c r="V127" s="13">
        <f t="shared" si="9"/>
        <v>362496.8</v>
      </c>
      <c r="W127" s="13">
        <f t="shared" si="10"/>
        <v>3205.1</v>
      </c>
      <c r="X127" s="13"/>
      <c r="Y127" s="13"/>
    </row>
    <row r="128">
      <c r="A128" s="13"/>
      <c r="B128" s="13"/>
      <c r="C128" s="13"/>
      <c r="D128" s="13"/>
      <c r="E128" s="76">
        <v>46020.0</v>
      </c>
      <c r="F128" s="14" t="s">
        <v>887</v>
      </c>
      <c r="G128" s="7" t="s">
        <v>810</v>
      </c>
      <c r="H128" s="14">
        <v>1800000.0</v>
      </c>
      <c r="I128" s="14">
        <v>1000000.0</v>
      </c>
      <c r="J128" s="13"/>
      <c r="K128" s="13"/>
      <c r="L128" s="7" t="str">
        <f t="shared" si="1"/>
        <v>05.01.2026 </v>
      </c>
      <c r="M128" s="7" t="str">
        <f t="shared" si="2"/>
        <v> 05.10.2026</v>
      </c>
      <c r="N128" s="7">
        <f t="shared" si="3"/>
        <v>39</v>
      </c>
      <c r="O128" s="14">
        <v>3.0</v>
      </c>
      <c r="P128" s="14">
        <v>1.5</v>
      </c>
      <c r="Q128" s="13">
        <f t="shared" si="4"/>
        <v>175.5</v>
      </c>
      <c r="R128" s="15">
        <f t="shared" si="5"/>
        <v>66</v>
      </c>
      <c r="S128" s="13">
        <f t="shared" si="6"/>
        <v>9.4</v>
      </c>
      <c r="T128" s="13">
        <f t="shared" si="7"/>
        <v>42.4</v>
      </c>
      <c r="U128" s="13">
        <f t="shared" si="8"/>
        <v>133.1</v>
      </c>
      <c r="V128" s="13">
        <f t="shared" si="9"/>
        <v>1365126.8</v>
      </c>
      <c r="W128" s="13">
        <f t="shared" si="10"/>
        <v>10256.4</v>
      </c>
      <c r="X128" s="13"/>
      <c r="Y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2"/>
    <hyperlink r:id="rId91" ref="J100"/>
    <hyperlink r:id="rId92" ref="J101"/>
    <hyperlink r:id="rId93" ref="J102"/>
    <hyperlink r:id="rId94" ref="J103"/>
    <hyperlink r:id="rId95" ref="J104"/>
    <hyperlink r:id="rId96" ref="J105"/>
    <hyperlink r:id="rId97" ref="J106"/>
    <hyperlink r:id="rId98" ref="J107"/>
    <hyperlink r:id="rId99" ref="J108"/>
    <hyperlink r:id="rId100" ref="J109"/>
    <hyperlink r:id="rId101" ref="J110"/>
    <hyperlink r:id="rId102" ref="J111"/>
    <hyperlink r:id="rId103" ref="J112"/>
    <hyperlink r:id="rId104" ref="J113"/>
    <hyperlink r:id="rId105" ref="J114"/>
    <hyperlink r:id="rId106" ref="J115"/>
    <hyperlink r:id="rId107" ref="J116"/>
    <hyperlink r:id="rId108" ref="J117"/>
    <hyperlink r:id="rId109" ref="J118"/>
    <hyperlink r:id="rId110" ref="J119"/>
    <hyperlink r:id="rId111" ref="J120"/>
    <hyperlink r:id="rId112" ref="J121"/>
    <hyperlink r:id="rId113" ref="J122"/>
    <hyperlink r:id="rId114" ref="J123"/>
    <hyperlink r:id="rId115" ref="J124"/>
    <hyperlink r:id="rId116" ref="J125"/>
    <hyperlink r:id="rId117" ref="J126"/>
    <hyperlink r:id="rId118" ref="J127"/>
  </hyperlinks>
  <drawing r:id="rId119"/>
</worksheet>
</file>